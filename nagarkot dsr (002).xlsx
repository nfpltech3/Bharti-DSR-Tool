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ownloads\"/>
    </mc:Choice>
  </mc:AlternateContent>
  <xr:revisionPtr revIDLastSave="0" documentId="8_{3C6F7F88-C8E8-4AFC-AB07-1AB44CB0B10E}" xr6:coauthVersionLast="47" xr6:coauthVersionMax="47" xr10:uidLastSave="{00000000-0000-0000-0000-000000000000}"/>
  <bookViews>
    <workbookView xWindow="-108" yWindow="-108" windowWidth="23256" windowHeight="12456" tabRatio="621" xr2:uid="{00000000-000D-0000-FFFF-FFFF00000000}"/>
  </bookViews>
  <sheets>
    <sheet name="FTA Pending " sheetId="1" r:id="rId1"/>
    <sheet name="FTA Cleared " sheetId="2" r:id="rId2"/>
    <sheet name="Normal shipment" sheetId="3" r:id="rId3"/>
    <sheet name="Normal cleared " sheetId="4" r:id="rId4"/>
    <sheet name="Sheet5" sheetId="5" r:id="rId5"/>
  </sheets>
  <definedNames>
    <definedName name="_xlnm._FilterDatabase" localSheetId="1" hidden="1">'FTA Cleared '!$A$1:$BT$648</definedName>
    <definedName name="_xlnm._FilterDatabase" localSheetId="0" hidden="1">'FTA Pending '!$A$1:$BR$52</definedName>
    <definedName name="_xlnm._FilterDatabase" localSheetId="3" hidden="1">'Normal cleared '!$A$1:$AW$134</definedName>
    <definedName name="_xlnm._FilterDatabase" localSheetId="2" hidden="1">'Normal shipment'!$A$1:$AV$1</definedName>
    <definedName name="_Hlk199421349" localSheetId="0">'FTA Pending '!#REF!</definedName>
    <definedName name="_Hlk206080015" localSheetId="0">'FTA Cleared '!$BH$260</definedName>
    <definedName name="_Hlk218513507" localSheetId="0">'FTA Cleared '!$B$459</definedName>
    <definedName name="_Hlk220152987" localSheetId="0">'FTA Cleared '!$AW$623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44" i="2" l="1"/>
  <c r="S644" i="2" s="1"/>
  <c r="R645" i="2"/>
  <c r="S645" i="2" s="1"/>
  <c r="R646" i="2"/>
  <c r="R647" i="2"/>
  <c r="S647" i="2" s="1"/>
  <c r="R648" i="2"/>
  <c r="S648" i="2" s="1"/>
  <c r="Q648" i="2"/>
  <c r="Q647" i="2"/>
  <c r="Q644" i="2"/>
  <c r="Q645" i="2"/>
  <c r="Q646" i="2"/>
  <c r="S646" i="2"/>
  <c r="R622" i="2" l="1"/>
  <c r="R623" i="2"/>
  <c r="R624" i="2"/>
  <c r="R625" i="2"/>
  <c r="R626" i="2"/>
  <c r="R627" i="2"/>
  <c r="R628" i="2"/>
  <c r="R629" i="2"/>
  <c r="R630" i="2"/>
  <c r="R631" i="2"/>
  <c r="R632" i="2"/>
  <c r="R633" i="2"/>
  <c r="R634" i="2"/>
  <c r="S634" i="2" s="1"/>
  <c r="R635" i="2"/>
  <c r="R636" i="2"/>
  <c r="S636" i="2" s="1"/>
  <c r="R637" i="2"/>
  <c r="S637" i="2" s="1"/>
  <c r="R638" i="2"/>
  <c r="R639" i="2"/>
  <c r="R640" i="2"/>
  <c r="S640" i="2" s="1"/>
  <c r="R641" i="2"/>
  <c r="S641" i="2" s="1"/>
  <c r="R642" i="2"/>
  <c r="S642" i="2" s="1"/>
  <c r="R643" i="2"/>
  <c r="S643" i="2" s="1"/>
  <c r="Q633" i="2"/>
  <c r="S633" i="2"/>
  <c r="Q634" i="2"/>
  <c r="Q635" i="2"/>
  <c r="S635" i="2"/>
  <c r="Q636" i="2"/>
  <c r="Q637" i="2"/>
  <c r="Q638" i="2"/>
  <c r="S638" i="2"/>
  <c r="Q639" i="2"/>
  <c r="S639" i="2"/>
  <c r="Q640" i="2"/>
  <c r="Q641" i="2"/>
  <c r="Q642" i="2"/>
  <c r="Q643" i="2"/>
  <c r="R46" i="1"/>
  <c r="S46" i="1" s="1"/>
  <c r="R47" i="1"/>
  <c r="S47" i="1" s="1"/>
  <c r="R48" i="1"/>
  <c r="S48" i="1" s="1"/>
  <c r="R49" i="1"/>
  <c r="S49" i="1" s="1"/>
  <c r="R50" i="1"/>
  <c r="S50" i="1" s="1"/>
  <c r="R51" i="1"/>
  <c r="S51" i="1" s="1"/>
  <c r="Q46" i="1"/>
  <c r="Q47" i="1"/>
  <c r="Q48" i="1"/>
  <c r="Q49" i="1"/>
  <c r="Q50" i="1"/>
  <c r="Q51" i="1"/>
  <c r="Q630" i="2" l="1"/>
  <c r="S630" i="2"/>
  <c r="Q631" i="2"/>
  <c r="S631" i="2"/>
  <c r="Q632" i="2"/>
  <c r="S632" i="2"/>
  <c r="Q628" i="2"/>
  <c r="S628" i="2"/>
  <c r="Q629" i="2"/>
  <c r="S629" i="2"/>
  <c r="Q626" i="2"/>
  <c r="S626" i="2"/>
  <c r="Q627" i="2"/>
  <c r="S627" i="2"/>
  <c r="Q625" i="2"/>
  <c r="S625" i="2"/>
  <c r="Q623" i="2"/>
  <c r="S623" i="2"/>
  <c r="Q624" i="2"/>
  <c r="S624" i="2"/>
  <c r="Q622" i="2"/>
  <c r="S622" i="2"/>
  <c r="J136" i="4"/>
  <c r="R26" i="1" l="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Q26" i="1"/>
  <c r="Q27" i="1"/>
  <c r="Q28" i="1"/>
  <c r="Q29" i="1"/>
  <c r="Q30" i="1"/>
  <c r="Q31" i="1"/>
  <c r="Q32" i="1"/>
  <c r="Q33" i="1"/>
  <c r="Q34" i="1"/>
  <c r="Q35" i="1"/>
  <c r="Q36" i="1"/>
  <c r="Q37" i="1"/>
  <c r="Q38" i="1"/>
  <c r="Q39" i="1"/>
  <c r="Q40" i="1"/>
  <c r="Q41" i="1"/>
  <c r="Q42" i="1"/>
  <c r="Q43" i="1"/>
  <c r="Q44" i="1"/>
  <c r="Q45" i="1"/>
  <c r="J135" i="4"/>
  <c r="R615" i="2" l="1"/>
  <c r="R616" i="2"/>
  <c r="R617" i="2"/>
  <c r="S617" i="2" s="1"/>
  <c r="R618" i="2"/>
  <c r="S618" i="2" s="1"/>
  <c r="R619" i="2"/>
  <c r="R620" i="2"/>
  <c r="S620" i="2" s="1"/>
  <c r="R621" i="2"/>
  <c r="S621" i="2" s="1"/>
  <c r="Q621" i="2"/>
  <c r="Q617" i="2"/>
  <c r="Q618" i="2"/>
  <c r="Q619" i="2"/>
  <c r="S619" i="2"/>
  <c r="Q620" i="2"/>
  <c r="Q616" i="2" l="1"/>
  <c r="S616" i="2"/>
  <c r="Q615" i="2"/>
  <c r="S615" i="2"/>
  <c r="R612" i="2" l="1"/>
  <c r="S612" i="2" s="1"/>
  <c r="R613" i="2"/>
  <c r="S613" i="2" s="1"/>
  <c r="R614" i="2"/>
  <c r="S614" i="2" s="1"/>
  <c r="Q613" i="2"/>
  <c r="Q614" i="2"/>
  <c r="Q612" i="2"/>
  <c r="R611" i="2" l="1"/>
  <c r="S611" i="2" s="1"/>
  <c r="Q611" i="2"/>
  <c r="J134" i="4" l="1"/>
  <c r="R17" i="1" l="1"/>
  <c r="S17" i="1" s="1"/>
  <c r="R18" i="1"/>
  <c r="S18" i="1" s="1"/>
  <c r="R19" i="1"/>
  <c r="S19" i="1" s="1"/>
  <c r="R20" i="1"/>
  <c r="S20" i="1" s="1"/>
  <c r="R21" i="1"/>
  <c r="S21" i="1" s="1"/>
  <c r="R22" i="1"/>
  <c r="S22" i="1" s="1"/>
  <c r="R23" i="1"/>
  <c r="S23" i="1" s="1"/>
  <c r="R24" i="1"/>
  <c r="S24" i="1" s="1"/>
  <c r="R25" i="1"/>
  <c r="S25" i="1" s="1"/>
  <c r="Q17" i="1"/>
  <c r="Q18" i="1"/>
  <c r="Q19" i="1"/>
  <c r="Q20" i="1"/>
  <c r="Q21" i="1"/>
  <c r="Q22" i="1"/>
  <c r="Q23" i="1"/>
  <c r="Q24" i="1"/>
  <c r="Q25" i="1"/>
  <c r="R608" i="2" l="1"/>
  <c r="S608" i="2" s="1"/>
  <c r="R609" i="2"/>
  <c r="S609" i="2" s="1"/>
  <c r="R610" i="2"/>
  <c r="S610" i="2" s="1"/>
  <c r="Q608" i="2"/>
  <c r="Q609" i="2"/>
  <c r="Q610" i="2"/>
  <c r="R607" i="2"/>
  <c r="S607" i="2" s="1"/>
  <c r="Q607" i="2"/>
  <c r="J133" i="4" l="1"/>
  <c r="R606" i="2" l="1"/>
  <c r="S606" i="2" s="1"/>
  <c r="Q606" i="2"/>
  <c r="J128" i="4"/>
  <c r="J129" i="4"/>
  <c r="J130" i="4"/>
  <c r="J131" i="4"/>
  <c r="J132" i="4"/>
  <c r="J127" i="4" l="1"/>
  <c r="R599" i="2" l="1"/>
  <c r="S599" i="2" s="1"/>
  <c r="R600" i="2"/>
  <c r="S600" i="2" s="1"/>
  <c r="R601" i="2"/>
  <c r="S601" i="2" s="1"/>
  <c r="R602" i="2"/>
  <c r="S602" i="2" s="1"/>
  <c r="R603" i="2"/>
  <c r="R604" i="2"/>
  <c r="R605" i="2"/>
  <c r="S605" i="2" s="1"/>
  <c r="Q603" i="2"/>
  <c r="S603" i="2"/>
  <c r="Q604" i="2"/>
  <c r="S604" i="2"/>
  <c r="Q605" i="2"/>
  <c r="Q599" i="2"/>
  <c r="Q600" i="2"/>
  <c r="Q601" i="2"/>
  <c r="Q602" i="2"/>
  <c r="R595" i="2"/>
  <c r="S595" i="2" s="1"/>
  <c r="R596" i="2"/>
  <c r="S596" i="2" s="1"/>
  <c r="R597" i="2"/>
  <c r="S597" i="2" s="1"/>
  <c r="R598" i="2"/>
  <c r="S598" i="2" s="1"/>
  <c r="Q598" i="2"/>
  <c r="Q595" i="2"/>
  <c r="Q596" i="2"/>
  <c r="Q597" i="2"/>
  <c r="R16" i="1"/>
  <c r="S16" i="1" s="1"/>
  <c r="Q16" i="1"/>
  <c r="R15" i="1"/>
  <c r="S15" i="1" s="1"/>
  <c r="Q15" i="1"/>
  <c r="Q13" i="1" l="1"/>
  <c r="R13" i="1"/>
  <c r="R14" i="1" l="1"/>
  <c r="S14" i="1" s="1"/>
  <c r="Q14" i="1"/>
  <c r="R594" i="2" l="1"/>
  <c r="Q594" i="2"/>
  <c r="R589" i="2" l="1"/>
  <c r="R590" i="2"/>
  <c r="R591" i="2"/>
  <c r="R592" i="2"/>
  <c r="R593" i="2"/>
  <c r="Q589" i="2"/>
  <c r="Q590" i="2"/>
  <c r="Q591" i="2"/>
  <c r="Q592" i="2"/>
  <c r="Q593" i="2"/>
  <c r="R587" i="2"/>
  <c r="R588" i="2"/>
  <c r="Q587" i="2"/>
  <c r="Q588" i="2"/>
  <c r="S13" i="1"/>
  <c r="R11" i="1" l="1"/>
  <c r="S11" i="1" s="1"/>
  <c r="Q11" i="1"/>
  <c r="R12" i="1"/>
  <c r="S12" i="1" s="1"/>
  <c r="Q12" i="1"/>
  <c r="R586" i="2"/>
  <c r="Q586" i="2"/>
  <c r="R584" i="2" l="1"/>
  <c r="R585" i="2"/>
  <c r="Q584" i="2"/>
  <c r="Q585" i="2"/>
  <c r="R582" i="2"/>
  <c r="R583" i="2"/>
  <c r="Q583" i="2"/>
  <c r="Q582" i="2"/>
  <c r="R580" i="2"/>
  <c r="R581" i="2"/>
  <c r="Q580" i="2"/>
  <c r="Q581" i="2"/>
  <c r="J126" i="4" l="1"/>
  <c r="R578" i="2" l="1"/>
  <c r="R579" i="2"/>
  <c r="Q578" i="2"/>
  <c r="Q579" i="2"/>
  <c r="J125" i="4" l="1"/>
  <c r="R577" i="2" l="1"/>
  <c r="Q577" i="2"/>
  <c r="R576" i="2"/>
  <c r="Q576" i="2"/>
  <c r="R572" i="2" l="1"/>
  <c r="R573" i="2"/>
  <c r="R574" i="2"/>
  <c r="R575" i="2"/>
  <c r="Q575" i="2"/>
  <c r="Q574" i="2"/>
  <c r="Q573" i="2"/>
  <c r="Q572" i="2"/>
  <c r="J116" i="4" l="1"/>
  <c r="J117" i="4"/>
  <c r="J118" i="4"/>
  <c r="J119" i="4"/>
  <c r="J120" i="4"/>
  <c r="J121" i="4"/>
  <c r="J122" i="4"/>
  <c r="J123" i="4"/>
  <c r="J124" i="4"/>
  <c r="R567" i="2" l="1"/>
  <c r="R568" i="2"/>
  <c r="R569" i="2"/>
  <c r="R570" i="2"/>
  <c r="R571" i="2"/>
  <c r="Q567" i="2"/>
  <c r="Q568" i="2"/>
  <c r="Q569" i="2"/>
  <c r="Q570" i="2"/>
  <c r="Q571" i="2"/>
  <c r="R566" i="2" l="1"/>
  <c r="Q566" i="2"/>
  <c r="J115" i="4"/>
  <c r="R563" i="2" l="1"/>
  <c r="R564" i="2"/>
  <c r="R565" i="2"/>
  <c r="Q564" i="2"/>
  <c r="Q565" i="2"/>
  <c r="Q563" i="2"/>
  <c r="J114" i="4" l="1"/>
  <c r="R562" i="2"/>
  <c r="Q562" i="2"/>
  <c r="R559" i="2"/>
  <c r="R560" i="2"/>
  <c r="R561" i="2"/>
  <c r="Q561" i="2"/>
  <c r="Q559" i="2"/>
  <c r="Q560" i="2"/>
  <c r="J112" i="4" l="1"/>
  <c r="J113" i="4"/>
  <c r="R554" i="2" l="1"/>
  <c r="R555" i="2"/>
  <c r="R556" i="2"/>
  <c r="R557" i="2"/>
  <c r="R558" i="2"/>
  <c r="Q558" i="2"/>
  <c r="Q557" i="2"/>
  <c r="Q556" i="2"/>
  <c r="Q555" i="2"/>
  <c r="Q554" i="2"/>
  <c r="J110" i="4" l="1"/>
  <c r="J111" i="4"/>
  <c r="R553" i="2" l="1"/>
  <c r="Q553" i="2"/>
  <c r="R550" i="2"/>
  <c r="R551" i="2"/>
  <c r="R552" i="2"/>
  <c r="Q551" i="2"/>
  <c r="Q552" i="2"/>
  <c r="Q550" i="2"/>
  <c r="R549" i="2" l="1"/>
  <c r="Q549" i="2"/>
  <c r="R546" i="2"/>
  <c r="R547" i="2"/>
  <c r="R548" i="2"/>
  <c r="Q548" i="2"/>
  <c r="Q546" i="2"/>
  <c r="Q547" i="2"/>
  <c r="R543" i="2" l="1"/>
  <c r="R544" i="2"/>
  <c r="R545" i="2"/>
  <c r="Q545" i="2"/>
  <c r="Q544" i="2"/>
  <c r="Q543" i="2"/>
  <c r="R10" i="1" l="1"/>
  <c r="S10" i="1" s="1"/>
  <c r="R9" i="1"/>
  <c r="S9" i="1" s="1"/>
  <c r="R8" i="1"/>
  <c r="S8" i="1" s="1"/>
  <c r="Q9" i="1"/>
  <c r="Q10" i="1"/>
  <c r="J108" i="4"/>
  <c r="J109" i="4"/>
  <c r="R541" i="2" l="1"/>
  <c r="R542" i="2"/>
  <c r="Q542" i="2"/>
  <c r="Q541" i="2"/>
  <c r="R538" i="2" l="1"/>
  <c r="R539" i="2"/>
  <c r="R540" i="2"/>
  <c r="Q540" i="2"/>
  <c r="Q539" i="2"/>
  <c r="Q538" i="2"/>
  <c r="J107" i="4" l="1"/>
  <c r="R536" i="2"/>
  <c r="R537" i="2"/>
  <c r="Q537" i="2"/>
  <c r="Q536" i="2"/>
  <c r="R533" i="2"/>
  <c r="R534" i="2"/>
  <c r="R535" i="2"/>
  <c r="Q534" i="2"/>
  <c r="Q535" i="2"/>
  <c r="Q533" i="2"/>
  <c r="R530" i="2"/>
  <c r="R531" i="2"/>
  <c r="R532" i="2"/>
  <c r="Q530" i="2"/>
  <c r="Q531" i="2"/>
  <c r="Q532" i="2"/>
  <c r="R527" i="2" l="1"/>
  <c r="R528" i="2"/>
  <c r="R529" i="2"/>
  <c r="Q529" i="2"/>
  <c r="Q527" i="2"/>
  <c r="Q528" i="2"/>
  <c r="R525" i="2" l="1"/>
  <c r="R526" i="2"/>
  <c r="Q526" i="2"/>
  <c r="Q525" i="2"/>
  <c r="R521" i="2"/>
  <c r="R522" i="2"/>
  <c r="R523" i="2"/>
  <c r="R524" i="2"/>
  <c r="Q521" i="2"/>
  <c r="Q522" i="2"/>
  <c r="Q523" i="2"/>
  <c r="Q524" i="2"/>
  <c r="R519" i="2"/>
  <c r="R520" i="2"/>
  <c r="Q520" i="2"/>
  <c r="Q519" i="2"/>
  <c r="R518" i="2" l="1"/>
  <c r="Q518" i="2"/>
  <c r="R517" i="2" l="1"/>
  <c r="R516" i="2"/>
  <c r="R515" i="2"/>
  <c r="Q517" i="2"/>
  <c r="Q516" i="2"/>
  <c r="Q515" i="2"/>
  <c r="R510" i="2" l="1"/>
  <c r="R511" i="2"/>
  <c r="R512" i="2"/>
  <c r="R513" i="2"/>
  <c r="R514" i="2"/>
  <c r="Q514" i="2"/>
  <c r="Q513" i="2"/>
  <c r="Q511" i="2"/>
  <c r="Q512" i="2"/>
  <c r="Q510" i="2"/>
  <c r="J106" i="4"/>
  <c r="R508" i="2" l="1"/>
  <c r="R509" i="2"/>
  <c r="Q509" i="2"/>
  <c r="Q508" i="2"/>
  <c r="R498" i="2" l="1"/>
  <c r="R499" i="2"/>
  <c r="R500" i="2"/>
  <c r="R501" i="2"/>
  <c r="R502" i="2"/>
  <c r="R503" i="2"/>
  <c r="R504" i="2"/>
  <c r="R505" i="2"/>
  <c r="R506" i="2"/>
  <c r="R507" i="2"/>
  <c r="Q507" i="2"/>
  <c r="Q506" i="2"/>
  <c r="Q505" i="2"/>
  <c r="Q504" i="2"/>
  <c r="Q503" i="2"/>
  <c r="Q501" i="2"/>
  <c r="Q502" i="2"/>
  <c r="R495" i="2"/>
  <c r="R496" i="2"/>
  <c r="R497" i="2"/>
  <c r="Q498" i="2"/>
  <c r="Q499" i="2"/>
  <c r="Q500" i="2"/>
  <c r="Q497" i="2"/>
  <c r="Q495" i="2"/>
  <c r="Q496" i="2"/>
  <c r="Q8" i="1"/>
  <c r="R491" i="2" l="1"/>
  <c r="R492" i="2"/>
  <c r="R493" i="2"/>
  <c r="R494" i="2"/>
  <c r="Q492" i="2"/>
  <c r="Q493" i="2"/>
  <c r="Q494" i="2"/>
  <c r="Q491" i="2"/>
  <c r="J100" i="4" l="1"/>
  <c r="J101" i="4"/>
  <c r="J102" i="4"/>
  <c r="J103" i="4"/>
  <c r="J104" i="4"/>
  <c r="J105" i="4"/>
  <c r="R490" i="2" l="1"/>
  <c r="Q490" i="2"/>
  <c r="R486" i="2"/>
  <c r="R487" i="2"/>
  <c r="R488" i="2"/>
  <c r="R489" i="2"/>
  <c r="Q486" i="2"/>
  <c r="Q487" i="2"/>
  <c r="Q488" i="2"/>
  <c r="Q489" i="2"/>
  <c r="R481" i="2"/>
  <c r="R482" i="2"/>
  <c r="R483" i="2"/>
  <c r="R484" i="2"/>
  <c r="R485" i="2"/>
  <c r="Q481" i="2"/>
  <c r="Q482" i="2"/>
  <c r="Q483" i="2"/>
  <c r="Q484" i="2"/>
  <c r="Q485" i="2"/>
  <c r="R453" i="2" l="1"/>
  <c r="Q453" i="2"/>
  <c r="R464" i="2" l="1"/>
  <c r="R465" i="2"/>
  <c r="R466" i="2"/>
  <c r="R467" i="2"/>
  <c r="R468" i="2"/>
  <c r="R469" i="2"/>
  <c r="R470" i="2"/>
  <c r="R471" i="2"/>
  <c r="R472" i="2"/>
  <c r="R473" i="2"/>
  <c r="R474" i="2"/>
  <c r="R475" i="2"/>
  <c r="R476" i="2"/>
  <c r="R477" i="2"/>
  <c r="R478" i="2"/>
  <c r="R479" i="2"/>
  <c r="Q476" i="2"/>
  <c r="Q477" i="2"/>
  <c r="Q478" i="2"/>
  <c r="Q479" i="2"/>
  <c r="Q468" i="2"/>
  <c r="Q469" i="2"/>
  <c r="Q470" i="2"/>
  <c r="Q471" i="2"/>
  <c r="Q472" i="2"/>
  <c r="Q473" i="2"/>
  <c r="Q474" i="2"/>
  <c r="Q475" i="2"/>
  <c r="Q465" i="2"/>
  <c r="Q466" i="2"/>
  <c r="Q467" i="2"/>
  <c r="Q464" i="2"/>
  <c r="R7" i="1"/>
  <c r="S7" i="1" s="1"/>
  <c r="Q4" i="1"/>
  <c r="Q5" i="1"/>
  <c r="Q6" i="1"/>
  <c r="Q7" i="1"/>
  <c r="Q463" i="2"/>
  <c r="R462" i="2"/>
  <c r="R463" i="2"/>
  <c r="Q462" i="2"/>
  <c r="Q459" i="2" l="1"/>
  <c r="Q460" i="2"/>
  <c r="Q461" i="2"/>
  <c r="R480" i="2"/>
  <c r="R454" i="2"/>
  <c r="R455" i="2"/>
  <c r="R456" i="2"/>
  <c r="R457" i="2"/>
  <c r="R458" i="2"/>
  <c r="R459" i="2"/>
  <c r="R460" i="2"/>
  <c r="R461" i="2"/>
  <c r="Q456" i="2"/>
  <c r="Q457" i="2"/>
  <c r="Q458" i="2"/>
  <c r="Q455" i="2"/>
  <c r="Q454" i="2"/>
  <c r="R449" i="2" l="1"/>
  <c r="R450" i="2"/>
  <c r="R451" i="2"/>
  <c r="R452" i="2"/>
  <c r="Q480" i="2"/>
  <c r="Q451" i="2"/>
  <c r="Q452" i="2"/>
  <c r="Q449" i="2"/>
  <c r="Q450" i="2"/>
  <c r="R6" i="1" l="1"/>
  <c r="S6" i="1" s="1"/>
  <c r="R445" i="2" l="1"/>
  <c r="R446" i="2"/>
  <c r="R447" i="2"/>
  <c r="R448" i="2"/>
  <c r="Q447" i="2"/>
  <c r="Q448" i="2"/>
  <c r="Q446" i="2"/>
  <c r="R443" i="2"/>
  <c r="R444" i="2"/>
  <c r="Q445" i="2"/>
  <c r="Q443" i="2"/>
  <c r="Q444" i="2"/>
  <c r="R5" i="1"/>
  <c r="S5" i="1" s="1"/>
  <c r="R437" i="2" l="1"/>
  <c r="R438" i="2"/>
  <c r="R439" i="2"/>
  <c r="R440" i="2"/>
  <c r="R441" i="2"/>
  <c r="R442" i="2"/>
  <c r="Q441" i="2"/>
  <c r="Q442" i="2"/>
  <c r="Q440" i="2"/>
  <c r="R436" i="2"/>
  <c r="Q436" i="2"/>
  <c r="Q437" i="2"/>
  <c r="Q438" i="2"/>
  <c r="Q439" i="2"/>
  <c r="R435" i="2" l="1"/>
  <c r="Q435" i="2"/>
  <c r="R393" i="2" l="1"/>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Q434" i="2"/>
  <c r="Q433" i="2"/>
  <c r="Q432" i="2"/>
  <c r="Q431" i="2"/>
  <c r="Q430" i="2"/>
  <c r="Q429" i="2"/>
  <c r="Q423" i="2"/>
  <c r="Q424" i="2"/>
  <c r="Q425" i="2"/>
  <c r="Q426" i="2"/>
  <c r="Q427" i="2"/>
  <c r="Q428" i="2"/>
  <c r="Q422" i="2"/>
  <c r="Q421" i="2"/>
  <c r="Q420" i="2"/>
  <c r="Q419" i="2"/>
  <c r="Q417" i="2"/>
  <c r="Q418" i="2"/>
  <c r="Q414" i="2"/>
  <c r="Q415" i="2"/>
  <c r="Q416" i="2"/>
  <c r="Q412" i="2"/>
  <c r="Q413" i="2"/>
  <c r="Q408" i="2" l="1"/>
  <c r="Q409" i="2"/>
  <c r="Q410" i="2"/>
  <c r="Q411" i="2"/>
  <c r="Q407" i="2"/>
  <c r="Q404" i="2"/>
  <c r="Q405" i="2"/>
  <c r="Q406" i="2"/>
  <c r="Q399" i="2"/>
  <c r="Q400" i="2"/>
  <c r="Q401" i="2"/>
  <c r="Q402" i="2"/>
  <c r="Q403" i="2"/>
  <c r="Q394" i="2"/>
  <c r="Q395" i="2"/>
  <c r="Q396" i="2"/>
  <c r="Q397" i="2"/>
  <c r="Q398" i="2"/>
  <c r="R392" i="2"/>
  <c r="Q392" i="2"/>
  <c r="Q393" i="2"/>
  <c r="R4" i="1" l="1"/>
  <c r="S4" i="1" s="1"/>
  <c r="J99" i="4"/>
  <c r="R390" i="2"/>
  <c r="R391" i="2"/>
  <c r="Q391" i="2"/>
  <c r="Q390" i="2"/>
  <c r="R388" i="2" l="1"/>
  <c r="R389" i="2"/>
  <c r="Q389" i="2"/>
  <c r="Q388" i="2"/>
  <c r="R383" i="2" l="1"/>
  <c r="R384" i="2"/>
  <c r="R385" i="2"/>
  <c r="R386" i="2"/>
  <c r="R387" i="2"/>
  <c r="Q384" i="2"/>
  <c r="Q385" i="2"/>
  <c r="Q386" i="2"/>
  <c r="Q387" i="2"/>
  <c r="R382" i="2" l="1"/>
  <c r="Q383" i="2"/>
  <c r="Q382" i="2"/>
  <c r="R381" i="2" l="1"/>
  <c r="Q381" i="2"/>
  <c r="R3" i="1"/>
  <c r="S3" i="1" s="1"/>
  <c r="Q3" i="1"/>
  <c r="R2" i="1" l="1"/>
  <c r="S2" i="1" s="1"/>
  <c r="Q2" i="1"/>
  <c r="J97" i="4" l="1"/>
  <c r="J98" i="4"/>
  <c r="J95" i="4" l="1"/>
  <c r="J96" i="4"/>
  <c r="J93" i="4" l="1"/>
  <c r="J94" i="4"/>
  <c r="J90" i="4" l="1"/>
  <c r="J91" i="4"/>
  <c r="J92" i="4"/>
  <c r="J89" i="4" l="1"/>
  <c r="J87" i="4"/>
  <c r="J88" i="4"/>
  <c r="J86" i="4" l="1"/>
  <c r="R375" i="2" l="1"/>
  <c r="R376" i="2"/>
  <c r="R377" i="2"/>
  <c r="R378" i="2"/>
  <c r="R379" i="2"/>
  <c r="R380" i="2"/>
  <c r="Q380" i="2"/>
  <c r="Q375" i="2"/>
  <c r="Q376" i="2"/>
  <c r="Q377" i="2"/>
  <c r="Q378" i="2"/>
  <c r="Q379" i="2"/>
  <c r="R373" i="2" l="1"/>
  <c r="R374" i="2"/>
  <c r="Q374" i="2"/>
  <c r="Q373" i="2"/>
  <c r="Q371" i="2" l="1"/>
  <c r="Q372" i="2"/>
  <c r="R371" i="2"/>
  <c r="R372" i="2"/>
  <c r="R369" i="2" l="1"/>
  <c r="R370" i="2"/>
  <c r="Q369" i="2"/>
  <c r="Q370" i="2"/>
  <c r="J84" i="4" l="1"/>
  <c r="J85" i="4"/>
  <c r="R368" i="2" l="1"/>
  <c r="Q368" i="2"/>
  <c r="R366" i="2" l="1"/>
  <c r="R367" i="2"/>
  <c r="Q367" i="2"/>
  <c r="Q366" i="2"/>
  <c r="R365" i="2" l="1"/>
  <c r="Q365" i="2"/>
  <c r="R363" i="2" l="1"/>
  <c r="R364" i="2"/>
  <c r="Q364" i="2"/>
  <c r="Q363" i="2"/>
  <c r="J79" i="4" l="1"/>
  <c r="J80" i="4"/>
  <c r="J81" i="4"/>
  <c r="J82" i="4"/>
  <c r="J83" i="4"/>
  <c r="R358" i="2" l="1"/>
  <c r="R359" i="2"/>
  <c r="R360" i="2"/>
  <c r="R361" i="2"/>
  <c r="R362" i="2"/>
  <c r="Q358" i="2"/>
  <c r="Q359" i="2"/>
  <c r="Q360" i="2"/>
  <c r="Q361" i="2"/>
  <c r="Q362" i="2"/>
  <c r="R356" i="2"/>
  <c r="R357" i="2"/>
  <c r="Q357" i="2"/>
  <c r="Q356" i="2"/>
  <c r="J78" i="4" l="1"/>
  <c r="J76" i="4" l="1"/>
  <c r="J77" i="4"/>
  <c r="R354" i="2" l="1"/>
  <c r="R355" i="2"/>
  <c r="Q355" i="2"/>
  <c r="Q354" i="2"/>
  <c r="J75" i="4" l="1"/>
  <c r="R345" i="2" l="1"/>
  <c r="R346" i="2"/>
  <c r="R347" i="2"/>
  <c r="R348" i="2"/>
  <c r="R349" i="2"/>
  <c r="R350" i="2"/>
  <c r="R351" i="2"/>
  <c r="R352" i="2"/>
  <c r="R353" i="2"/>
  <c r="Q351" i="2"/>
  <c r="Q352" i="2"/>
  <c r="Q353" i="2"/>
  <c r="Q345" i="2"/>
  <c r="Q346" i="2"/>
  <c r="Q347" i="2"/>
  <c r="Q348" i="2"/>
  <c r="Q349" i="2"/>
  <c r="Q350" i="2"/>
  <c r="J74" i="4" l="1"/>
  <c r="J70" i="4" l="1"/>
  <c r="J71" i="4"/>
  <c r="J72" i="4"/>
  <c r="J73" i="4"/>
  <c r="R344" i="2"/>
  <c r="Q344" i="2"/>
  <c r="R343" i="2"/>
  <c r="Q343" i="2"/>
  <c r="J69" i="4" l="1"/>
  <c r="J68" i="4" l="1"/>
  <c r="R342" i="2" l="1"/>
  <c r="Q342" i="2"/>
  <c r="R336" i="2" l="1"/>
  <c r="R337" i="2"/>
  <c r="R338" i="2"/>
  <c r="R339" i="2"/>
  <c r="R340" i="2"/>
  <c r="R341" i="2"/>
  <c r="Q336" i="2"/>
  <c r="Q337" i="2"/>
  <c r="Q338" i="2"/>
  <c r="Q339" i="2"/>
  <c r="Q340" i="2"/>
  <c r="Q341" i="2"/>
  <c r="R331" i="2" l="1"/>
  <c r="R332" i="2"/>
  <c r="R333" i="2"/>
  <c r="R334" i="2"/>
  <c r="R335" i="2"/>
  <c r="Q334" i="2"/>
  <c r="Q335" i="2"/>
  <c r="Q332" i="2"/>
  <c r="Q333" i="2"/>
  <c r="Q331" i="2"/>
  <c r="R330" i="2" l="1"/>
  <c r="Q330" i="2"/>
  <c r="J64" i="4" l="1"/>
  <c r="J65" i="4"/>
  <c r="J66" i="4"/>
  <c r="J67" i="4"/>
  <c r="R329" i="2" l="1"/>
  <c r="Q329" i="2"/>
  <c r="R326" i="2" l="1"/>
  <c r="R327" i="2"/>
  <c r="R328" i="2"/>
  <c r="Q326" i="2"/>
  <c r="Q327" i="2"/>
  <c r="Q328" i="2"/>
  <c r="R319" i="2" l="1"/>
  <c r="R320" i="2"/>
  <c r="R321" i="2"/>
  <c r="R322" i="2"/>
  <c r="R323" i="2"/>
  <c r="R324" i="2"/>
  <c r="R325" i="2"/>
  <c r="Q323" i="2"/>
  <c r="Q324" i="2"/>
  <c r="Q325" i="2"/>
  <c r="Q319" i="2"/>
  <c r="Q320" i="2"/>
  <c r="Q321" i="2"/>
  <c r="Q322" i="2"/>
  <c r="R318" i="2" l="1"/>
  <c r="Q318" i="2"/>
  <c r="R317" i="2" l="1"/>
  <c r="Q317" i="2"/>
  <c r="R316" i="2" l="1"/>
  <c r="Q316" i="2"/>
  <c r="R315" i="2" l="1"/>
  <c r="R314" i="2"/>
  <c r="Q314" i="2"/>
  <c r="Q315" i="2"/>
  <c r="R310" i="2" l="1"/>
  <c r="R311" i="2"/>
  <c r="R312" i="2"/>
  <c r="R313" i="2"/>
  <c r="Q312" i="2"/>
  <c r="Q313" i="2"/>
  <c r="Q310" i="2"/>
  <c r="Q311" i="2"/>
  <c r="R309" i="2" l="1"/>
  <c r="R308" i="2"/>
  <c r="R307" i="2"/>
  <c r="Q307" i="2"/>
  <c r="Q308" i="2"/>
  <c r="Q309" i="2"/>
  <c r="R306" i="2" l="1"/>
  <c r="Q306" i="2"/>
  <c r="R305" i="2" l="1"/>
  <c r="R304" i="2"/>
  <c r="Q304" i="2"/>
  <c r="Q305" i="2"/>
  <c r="R303" i="2" l="1"/>
  <c r="Q303" i="2"/>
  <c r="R302" i="2" l="1"/>
  <c r="R301" i="2"/>
  <c r="Q302" i="2"/>
  <c r="Q301" i="2"/>
  <c r="R300" i="2" l="1"/>
  <c r="R299" i="2"/>
  <c r="Q300" i="2"/>
  <c r="Q299" i="2"/>
  <c r="R298" i="2"/>
  <c r="R297" i="2"/>
  <c r="R296" i="2"/>
  <c r="R295" i="2"/>
  <c r="R294" i="2"/>
  <c r="R293" i="2"/>
  <c r="Q297" i="2"/>
  <c r="Q298" i="2"/>
  <c r="Q293" i="2"/>
  <c r="Q294" i="2"/>
  <c r="Q295" i="2"/>
  <c r="Q296" i="2"/>
  <c r="R292" i="2" l="1"/>
  <c r="R291" i="2"/>
  <c r="R290" i="2"/>
  <c r="R289" i="2"/>
  <c r="Q292" i="2"/>
  <c r="Q290" i="2"/>
  <c r="Q291" i="2"/>
  <c r="Q289" i="2"/>
  <c r="R285" i="2" l="1"/>
  <c r="R286" i="2"/>
  <c r="R287" i="2"/>
  <c r="R288" i="2"/>
  <c r="R284" i="2"/>
  <c r="Q284" i="2"/>
  <c r="Q285" i="2"/>
  <c r="Q286" i="2"/>
  <c r="Q287" i="2"/>
  <c r="Q288" i="2"/>
  <c r="R283" i="2" l="1"/>
  <c r="R282" i="2"/>
  <c r="Q282" i="2"/>
  <c r="Q283" i="2"/>
  <c r="J63" i="4" l="1"/>
  <c r="R281" i="2" l="1"/>
  <c r="Q281" i="2"/>
  <c r="R280" i="2" l="1"/>
  <c r="Q280" i="2"/>
  <c r="R279" i="2"/>
  <c r="R278" i="2"/>
  <c r="Q279" i="2"/>
  <c r="Q278" i="2"/>
  <c r="R277" i="2" l="1"/>
  <c r="R276" i="2"/>
  <c r="R275" i="2"/>
  <c r="Q276" i="2"/>
  <c r="Q277" i="2"/>
  <c r="Q275" i="2"/>
  <c r="R274" i="2"/>
  <c r="Q274" i="2"/>
  <c r="R273" i="2"/>
  <c r="R272" i="2"/>
  <c r="Q272" i="2"/>
  <c r="Q273" i="2"/>
  <c r="R271" i="2" l="1"/>
  <c r="R270" i="2"/>
  <c r="Q271" i="2"/>
  <c r="Q270" i="2"/>
  <c r="R266" i="2" l="1"/>
  <c r="R267" i="2"/>
  <c r="R268" i="2"/>
  <c r="R269" i="2"/>
  <c r="Q269" i="2"/>
  <c r="Q268" i="2"/>
  <c r="Q266" i="2"/>
  <c r="Q267" i="2"/>
  <c r="R265" i="2" l="1"/>
  <c r="Q265" i="2"/>
  <c r="R264" i="2" l="1"/>
  <c r="R263" i="2"/>
  <c r="R262" i="2"/>
  <c r="Q262" i="2"/>
  <c r="Q263" i="2"/>
  <c r="Q264" i="2"/>
  <c r="R261" i="2"/>
  <c r="R260" i="2"/>
  <c r="Q261" i="2"/>
  <c r="Q260" i="2"/>
  <c r="R259" i="2" l="1"/>
  <c r="Q259" i="2"/>
  <c r="R258" i="2" l="1"/>
  <c r="Q258" i="2"/>
  <c r="R257" i="2" l="1"/>
  <c r="R256" i="2"/>
  <c r="R255" i="2"/>
  <c r="Q256" i="2"/>
  <c r="Q257" i="2"/>
  <c r="Q255" i="2"/>
  <c r="R254" i="2" l="1"/>
  <c r="Q254" i="2"/>
  <c r="J61" i="4" l="1"/>
  <c r="J62" i="4"/>
  <c r="R250" i="2" l="1"/>
  <c r="R251" i="2"/>
  <c r="R252" i="2"/>
  <c r="R253" i="2"/>
  <c r="Q250" i="2"/>
  <c r="Q251" i="2"/>
  <c r="Q252" i="2"/>
  <c r="Q253" i="2"/>
  <c r="R247" i="2"/>
  <c r="R248" i="2"/>
  <c r="R249" i="2"/>
  <c r="Q249" i="2"/>
  <c r="Q248" i="2"/>
  <c r="Q247" i="2"/>
  <c r="J60" i="4"/>
  <c r="R246" i="2" l="1"/>
  <c r="R245" i="2"/>
  <c r="R244" i="2"/>
  <c r="R243" i="2"/>
  <c r="R242" i="2"/>
  <c r="R241" i="2"/>
  <c r="R240" i="2"/>
  <c r="R239" i="2"/>
  <c r="R238" i="2"/>
  <c r="Q246" i="2"/>
  <c r="Q243" i="2"/>
  <c r="Q244" i="2"/>
  <c r="Q245" i="2"/>
  <c r="Q240" i="2"/>
  <c r="Q241" i="2"/>
  <c r="Q242" i="2"/>
  <c r="Q238" i="2"/>
  <c r="Q239" i="2"/>
  <c r="R237" i="2"/>
  <c r="R236" i="2"/>
  <c r="Q237" i="2"/>
  <c r="Q236" i="2"/>
  <c r="R231" i="2" l="1"/>
  <c r="R232" i="2"/>
  <c r="R233" i="2"/>
  <c r="R234" i="2"/>
  <c r="R235" i="2"/>
  <c r="Q235" i="2"/>
  <c r="Q234" i="2"/>
  <c r="Q231" i="2"/>
  <c r="Q232" i="2"/>
  <c r="Q233" i="2"/>
  <c r="R230" i="2" l="1"/>
  <c r="Q230" i="2"/>
  <c r="R229" i="2" l="1"/>
  <c r="Q229" i="2"/>
  <c r="R228" i="2"/>
  <c r="Q228" i="2"/>
  <c r="R227" i="2"/>
  <c r="Q227" i="2"/>
  <c r="R225" i="2"/>
  <c r="R226" i="2"/>
  <c r="Q225" i="2"/>
  <c r="Q226" i="2"/>
  <c r="J59" i="4"/>
  <c r="R220" i="2" l="1"/>
  <c r="R221" i="2"/>
  <c r="R222" i="2"/>
  <c r="R223" i="2"/>
  <c r="R224" i="2"/>
  <c r="Q224" i="2"/>
  <c r="Q221" i="2"/>
  <c r="Q222" i="2"/>
  <c r="Q223" i="2"/>
  <c r="Q220" i="2"/>
  <c r="R214" i="2" l="1"/>
  <c r="R215" i="2"/>
  <c r="R216" i="2"/>
  <c r="R217" i="2"/>
  <c r="R218" i="2"/>
  <c r="R219" i="2"/>
  <c r="Q219" i="2"/>
  <c r="Q218" i="2" l="1"/>
  <c r="Q217" i="2"/>
  <c r="Q214" i="2"/>
  <c r="Q215" i="2"/>
  <c r="Q216" i="2"/>
  <c r="R208" i="2" l="1"/>
  <c r="R209" i="2"/>
  <c r="R210" i="2"/>
  <c r="R211" i="2"/>
  <c r="R212" i="2"/>
  <c r="R213" i="2"/>
  <c r="Q210" i="2"/>
  <c r="Q211" i="2"/>
  <c r="Q212" i="2"/>
  <c r="Q213" i="2"/>
  <c r="Q208" i="2"/>
  <c r="Q209" i="2"/>
  <c r="R207" i="2"/>
  <c r="R206" i="2"/>
  <c r="Q206" i="2"/>
  <c r="Q207" i="2"/>
  <c r="R197" i="2" l="1"/>
  <c r="R198" i="2"/>
  <c r="R199" i="2"/>
  <c r="R200" i="2"/>
  <c r="R201" i="2"/>
  <c r="R202" i="2"/>
  <c r="R203" i="2"/>
  <c r="R204" i="2"/>
  <c r="R205" i="2"/>
  <c r="Q205" i="2"/>
  <c r="Q204" i="2"/>
  <c r="Q203" i="2"/>
  <c r="Q202" i="2"/>
  <c r="Q201" i="2"/>
  <c r="Q200" i="2"/>
  <c r="Q199" i="2"/>
  <c r="Q198" i="2" l="1"/>
  <c r="Q197" i="2"/>
  <c r="Q194" i="2"/>
  <c r="Q195" i="2"/>
  <c r="Q196" i="2"/>
  <c r="R194" i="2"/>
  <c r="R195" i="2"/>
  <c r="R196" i="2"/>
  <c r="J58" i="4" l="1"/>
  <c r="J57" i="4" l="1"/>
  <c r="J55" i="4" l="1"/>
  <c r="J56" i="4"/>
  <c r="R193" i="2" l="1"/>
  <c r="Q193" i="2"/>
  <c r="R190" i="2" l="1"/>
  <c r="R191" i="2"/>
  <c r="R192" i="2"/>
  <c r="Q192" i="2"/>
  <c r="Q191" i="2"/>
  <c r="Q190" i="2"/>
  <c r="J53" i="4" l="1"/>
  <c r="J54" i="4"/>
  <c r="R189" i="2" l="1"/>
  <c r="Q189" i="2"/>
  <c r="R188" i="2"/>
  <c r="Q188" i="2"/>
  <c r="J52" i="4" l="1"/>
  <c r="R177" i="2" l="1"/>
  <c r="R178" i="2"/>
  <c r="R179" i="2"/>
  <c r="R180" i="2"/>
  <c r="R181" i="2"/>
  <c r="R182" i="2"/>
  <c r="R183" i="2"/>
  <c r="R184" i="2"/>
  <c r="R185" i="2"/>
  <c r="R186" i="2"/>
  <c r="R187" i="2"/>
  <c r="Q183" i="2"/>
  <c r="Q184" i="2"/>
  <c r="Q185" i="2"/>
  <c r="Q186" i="2"/>
  <c r="Q187" i="2"/>
  <c r="Q179" i="2"/>
  <c r="Q180" i="2"/>
  <c r="Q181" i="2"/>
  <c r="Q182" i="2"/>
  <c r="Q177" i="2"/>
  <c r="Q178" i="2"/>
  <c r="J51" i="4" l="1"/>
  <c r="R176" i="2" l="1"/>
  <c r="R175" i="2"/>
  <c r="Q175" i="2"/>
  <c r="Q176" i="2"/>
  <c r="J49" i="4" l="1"/>
  <c r="J50" i="4"/>
  <c r="R174" i="2"/>
  <c r="Q174" i="2"/>
  <c r="R171" i="2" l="1"/>
  <c r="R172" i="2"/>
  <c r="R173" i="2"/>
  <c r="Q171" i="2"/>
  <c r="Q172" i="2"/>
  <c r="Q173" i="2"/>
  <c r="R170" i="2" l="1"/>
  <c r="R169" i="2"/>
  <c r="Q170" i="2"/>
  <c r="Q169" i="2"/>
  <c r="J48" i="4" l="1"/>
  <c r="R168" i="2" l="1"/>
  <c r="R167" i="2"/>
  <c r="Q167" i="2"/>
  <c r="Q168" i="2"/>
  <c r="R161" i="2" l="1"/>
  <c r="R162" i="2"/>
  <c r="R163" i="2"/>
  <c r="R164" i="2"/>
  <c r="R165" i="2"/>
  <c r="R166" i="2"/>
  <c r="Q166" i="2"/>
  <c r="Q164" i="2"/>
  <c r="Q165" i="2"/>
  <c r="Q161" i="2"/>
  <c r="Q162" i="2"/>
  <c r="Q163" i="2"/>
  <c r="J9" i="4" l="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R158" i="2" l="1"/>
  <c r="R159" i="2"/>
  <c r="R160" i="2"/>
  <c r="Q155" i="2"/>
  <c r="Q156" i="2"/>
  <c r="Q157" i="2"/>
  <c r="Q158" i="2"/>
  <c r="Q159" i="2"/>
  <c r="Q160" i="2"/>
  <c r="R157" i="2"/>
  <c r="R156" i="2"/>
  <c r="R147" i="2" l="1"/>
  <c r="R148" i="2"/>
  <c r="R149" i="2"/>
  <c r="R150" i="2"/>
  <c r="R151" i="2"/>
  <c r="R152" i="2"/>
  <c r="R153" i="2"/>
  <c r="R154" i="2"/>
  <c r="R155" i="2"/>
  <c r="Q147" i="2"/>
  <c r="Q148" i="2"/>
  <c r="Q149" i="2"/>
  <c r="Q150" i="2"/>
  <c r="Q151" i="2"/>
  <c r="Q152" i="2"/>
  <c r="Q153" i="2"/>
  <c r="Q154" i="2"/>
  <c r="R146" i="2" l="1"/>
  <c r="R145" i="2"/>
  <c r="R144" i="2"/>
  <c r="Q146" i="2"/>
  <c r="Q145" i="2"/>
  <c r="Q144" i="2"/>
  <c r="R140" i="2" l="1"/>
  <c r="R141" i="2"/>
  <c r="R142" i="2"/>
  <c r="R143" i="2"/>
  <c r="Q142" i="2"/>
  <c r="Q143" i="2"/>
  <c r="Q140" i="2"/>
  <c r="Q141" i="2"/>
  <c r="R138" i="2" l="1"/>
  <c r="R139" i="2"/>
  <c r="Q138" i="2"/>
  <c r="Q139" i="2"/>
  <c r="Q137" i="2" l="1"/>
  <c r="Q136" i="2"/>
  <c r="R137" i="2"/>
  <c r="R136" i="2"/>
  <c r="Q127" i="2" l="1"/>
  <c r="Q128" i="2"/>
  <c r="Q129" i="2"/>
  <c r="Q130" i="2"/>
  <c r="Q131" i="2"/>
  <c r="Q132" i="2"/>
  <c r="Q133" i="2"/>
  <c r="Q134" i="2"/>
  <c r="Q135" i="2"/>
  <c r="R127" i="2"/>
  <c r="R128" i="2"/>
  <c r="R129" i="2"/>
  <c r="R130" i="2"/>
  <c r="R131" i="2"/>
  <c r="R132" i="2"/>
  <c r="R133" i="2"/>
  <c r="R134" i="2"/>
  <c r="R135" i="2"/>
  <c r="R126" i="2" l="1"/>
  <c r="Q126" i="2"/>
  <c r="R125" i="2"/>
  <c r="Q125" i="2"/>
  <c r="R124" i="2"/>
  <c r="Q124" i="2"/>
  <c r="R117" i="2" l="1"/>
  <c r="R118" i="2"/>
  <c r="R119" i="2"/>
  <c r="R120" i="2"/>
  <c r="R121" i="2"/>
  <c r="R122" i="2"/>
  <c r="R123" i="2"/>
  <c r="Q117" i="2"/>
  <c r="Q118" i="2"/>
  <c r="Q119" i="2"/>
  <c r="Q120" i="2"/>
  <c r="Q121" i="2"/>
  <c r="Q122" i="2"/>
  <c r="Q123" i="2"/>
  <c r="R112" i="2" l="1"/>
  <c r="R113" i="2"/>
  <c r="R114" i="2"/>
  <c r="R115" i="2"/>
  <c r="R116" i="2"/>
  <c r="Q112" i="2"/>
  <c r="Q113" i="2"/>
  <c r="Q114" i="2"/>
  <c r="Q115" i="2"/>
  <c r="Q116" i="2"/>
  <c r="R111" i="2" l="1"/>
  <c r="Q111" i="2"/>
  <c r="R110" i="2" l="1"/>
  <c r="Q110" i="2"/>
  <c r="R109" i="2"/>
  <c r="Q109" i="2"/>
  <c r="R108" i="2" l="1"/>
  <c r="R107" i="2"/>
  <c r="R106" i="2"/>
  <c r="R105" i="2"/>
  <c r="R104" i="2"/>
  <c r="R103" i="2"/>
  <c r="R102" i="2"/>
  <c r="R101" i="2"/>
  <c r="R100" i="2"/>
  <c r="Q108" i="2" l="1"/>
  <c r="Q107" i="2"/>
  <c r="Q106" i="2"/>
  <c r="Q105" i="2"/>
  <c r="Q104" i="2"/>
  <c r="Q103" i="2"/>
  <c r="Q102" i="2"/>
  <c r="Q101" i="2"/>
  <c r="Q100" i="2"/>
  <c r="R99" i="2" l="1"/>
  <c r="R98" i="2"/>
  <c r="Q98" i="2"/>
  <c r="Q99" i="2"/>
  <c r="J3" i="4" l="1"/>
  <c r="J4" i="4"/>
  <c r="J5" i="4"/>
  <c r="J6" i="4"/>
  <c r="J7" i="4"/>
  <c r="J8" i="4"/>
  <c r="J2" i="4"/>
  <c r="R97" i="2" l="1"/>
  <c r="Q97" i="2"/>
  <c r="R96" i="2" l="1"/>
  <c r="Q96" i="2"/>
  <c r="R93" i="2"/>
  <c r="R92" i="2"/>
  <c r="Q95" i="2"/>
  <c r="R95" i="2"/>
  <c r="R94" i="2" l="1"/>
  <c r="Q93" i="2"/>
  <c r="Q94" i="2"/>
  <c r="Q81" i="2"/>
  <c r="Q82" i="2"/>
  <c r="Q92" i="2"/>
  <c r="Q91" i="2"/>
  <c r="Q90" i="2"/>
  <c r="Q89" i="2"/>
  <c r="R91" i="2"/>
  <c r="R90" i="2"/>
  <c r="R89" i="2"/>
  <c r="R88" i="2"/>
  <c r="R87" i="2"/>
  <c r="R86" i="2"/>
  <c r="R85" i="2"/>
  <c r="R84" i="2"/>
  <c r="R83" i="2"/>
  <c r="Q83" i="2"/>
  <c r="Q84" i="2"/>
  <c r="Q85" i="2"/>
  <c r="Q86" i="2"/>
  <c r="Q87" i="2"/>
  <c r="Q88" i="2"/>
  <c r="R82" i="2" l="1"/>
  <c r="R81" i="2"/>
  <c r="R80" i="2" l="1"/>
  <c r="R79" i="2"/>
  <c r="R78" i="2"/>
  <c r="R77" i="2"/>
  <c r="Q80" i="2"/>
  <c r="Q79" i="2"/>
  <c r="Q78" i="2"/>
  <c r="Q77" i="2"/>
  <c r="Q3" i="2" l="1"/>
  <c r="Q4" i="2"/>
  <c r="Q5" i="2"/>
  <c r="Q6" i="2"/>
  <c r="Q7" i="2"/>
  <c r="Q8" i="2"/>
  <c r="Q9" i="2"/>
  <c r="Q10" i="2"/>
  <c r="Q11" i="2"/>
  <c r="Q12" i="2"/>
  <c r="Q13" i="2"/>
  <c r="Q14" i="2"/>
  <c r="Q2" i="2"/>
  <c r="R72" i="2" l="1"/>
  <c r="R71" i="2"/>
  <c r="R76" i="2"/>
  <c r="R75" i="2"/>
  <c r="R74" i="2"/>
  <c r="R73" i="2"/>
  <c r="Q76" i="2"/>
  <c r="Q75" i="2"/>
  <c r="Q74" i="2"/>
  <c r="Q73" i="2"/>
  <c r="Q72" i="2"/>
  <c r="Q71" i="2"/>
  <c r="R70" i="2" l="1"/>
  <c r="R69" i="2"/>
  <c r="R68" i="2"/>
  <c r="R67" i="2"/>
  <c r="R66" i="2"/>
  <c r="Q70" i="2"/>
  <c r="Q69" i="2"/>
  <c r="Q68" i="2"/>
  <c r="Q67" i="2"/>
  <c r="Q66" i="2"/>
  <c r="R65" i="2" l="1"/>
  <c r="R64" i="2"/>
  <c r="R63" i="2"/>
  <c r="R62" i="2"/>
  <c r="R61" i="2"/>
  <c r="Q64" i="2"/>
  <c r="Q65" i="2"/>
  <c r="Q63" i="2"/>
  <c r="Q61" i="2"/>
  <c r="Q62" i="2"/>
  <c r="Q54" i="2" l="1"/>
  <c r="R60" i="2"/>
  <c r="R59" i="2"/>
  <c r="R58" i="2"/>
  <c r="R57" i="2"/>
  <c r="R56" i="2"/>
  <c r="R55" i="2"/>
  <c r="R54" i="2"/>
  <c r="R53" i="2"/>
  <c r="R52" i="2"/>
  <c r="Q60" i="2" l="1"/>
  <c r="Q59" i="2"/>
  <c r="Q58" i="2"/>
  <c r="Q57" i="2"/>
  <c r="Q56" i="2"/>
  <c r="Q55" i="2"/>
  <c r="Q53" i="2"/>
  <c r="R51" i="2" l="1"/>
  <c r="R50" i="2"/>
  <c r="Q50" i="2"/>
  <c r="Q51" i="2"/>
  <c r="Q52" i="2"/>
  <c r="R49" i="2"/>
  <c r="Q49" i="2"/>
  <c r="R48" i="2"/>
  <c r="Q48" i="2"/>
  <c r="R47" i="2"/>
  <c r="Q47" i="2"/>
  <c r="R46" i="2" l="1"/>
  <c r="R45" i="2"/>
  <c r="R44" i="2"/>
  <c r="Q44" i="2"/>
  <c r="Q46" i="2"/>
  <c r="Q45" i="2"/>
  <c r="Q43" i="2"/>
  <c r="R43" i="2"/>
  <c r="R42" i="2"/>
  <c r="R41" i="2"/>
  <c r="Q42" i="2"/>
  <c r="Q37" i="2"/>
  <c r="Q38" i="2"/>
  <c r="Q39" i="2"/>
  <c r="Q40" i="2"/>
  <c r="Q41" i="2"/>
  <c r="R37" i="2"/>
  <c r="R38" i="2"/>
  <c r="R39" i="2"/>
  <c r="R40" i="2"/>
  <c r="R3" i="2" l="1"/>
  <c r="R4" i="2"/>
  <c r="R5" i="2"/>
  <c r="R6" i="2"/>
  <c r="R7" i="2"/>
  <c r="R8" i="2"/>
  <c r="R9" i="2"/>
  <c r="R10" i="2"/>
  <c r="R11" i="2"/>
  <c r="R12" i="2"/>
  <c r="R13" i="2"/>
  <c r="R2" i="2"/>
  <c r="R14" i="2"/>
  <c r="R32" i="2"/>
  <c r="R33" i="2"/>
  <c r="R34" i="2"/>
  <c r="R35" i="2"/>
  <c r="R36" i="2"/>
  <c r="R31" i="2"/>
  <c r="R30" i="2"/>
  <c r="Q36" i="2" l="1"/>
  <c r="Q35" i="2"/>
  <c r="Q34" i="2"/>
  <c r="Q33" i="2"/>
  <c r="Q32" i="2"/>
  <c r="Q31" i="2"/>
  <c r="R26" i="2" l="1"/>
  <c r="R27" i="2"/>
  <c r="R28" i="2"/>
  <c r="R29" i="2"/>
  <c r="Q30" i="2"/>
  <c r="Q29" i="2"/>
  <c r="Q28" i="2"/>
  <c r="Q27" i="2"/>
  <c r="Q26" i="2"/>
  <c r="R16" i="2" l="1"/>
  <c r="R17" i="2"/>
  <c r="R18" i="2"/>
  <c r="R19" i="2"/>
  <c r="R20" i="2"/>
  <c r="R21" i="2"/>
  <c r="R22" i="2"/>
  <c r="R23" i="2"/>
  <c r="R24" i="2"/>
  <c r="R25" i="2"/>
  <c r="Q25" i="2"/>
  <c r="Q24" i="2"/>
  <c r="Q23" i="2"/>
  <c r="Q22" i="2"/>
  <c r="Q21" i="2"/>
  <c r="Q20" i="2"/>
  <c r="Q19" i="2"/>
  <c r="Q18" i="2"/>
  <c r="Q17" i="2"/>
  <c r="Q16" i="2"/>
  <c r="R15" i="2" l="1"/>
  <c r="Q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family val="2"/>
            <scheme val="minor"/>
          </rPr>
          <t>20'
	-vinod singh</t>
        </r>
      </text>
    </comment>
  </commentList>
</comments>
</file>

<file path=xl/sharedStrings.xml><?xml version="1.0" encoding="utf-8"?>
<sst xmlns="http://schemas.openxmlformats.org/spreadsheetml/2006/main" count="13734" uniqueCount="4494">
  <si>
    <t>S.N</t>
  </si>
  <si>
    <t>Invoice No</t>
  </si>
  <si>
    <t>Date</t>
  </si>
  <si>
    <t>Invoice
 Value</t>
  </si>
  <si>
    <t>Supplier</t>
  </si>
  <si>
    <t>Model No.</t>
  </si>
  <si>
    <t>Item Description</t>
  </si>
  <si>
    <t>QTY</t>
  </si>
  <si>
    <t>Job No</t>
  </si>
  <si>
    <t>Mode</t>
  </si>
  <si>
    <t>BE Type</t>
  </si>
  <si>
    <t xml:space="preserve">Port </t>
  </si>
  <si>
    <t>Curent status</t>
  </si>
  <si>
    <t xml:space="preserve">Demurrage 
 </t>
  </si>
  <si>
    <t>WPC Expiry
 date</t>
  </si>
  <si>
    <t>TAT
Inbond</t>
  </si>
  <si>
    <t>TAT
Outbond</t>
  </si>
  <si>
    <t>FTWZ Storage
Approx</t>
  </si>
  <si>
    <t>Duty Interest</t>
  </si>
  <si>
    <t>PO NO</t>
  </si>
  <si>
    <t>Circle</t>
  </si>
  <si>
    <t>Concern Person</t>
  </si>
  <si>
    <t>FTA No</t>
  </si>
  <si>
    <t>FTA Date</t>
  </si>
  <si>
    <t>Original FTA
 rcd date</t>
  </si>
  <si>
    <t>ETA</t>
  </si>
  <si>
    <t>IGM Dt</t>
  </si>
  <si>
    <t>Inward Date</t>
  </si>
  <si>
    <t>Arrived at FTWZ</t>
  </si>
  <si>
    <t>MAWB NO</t>
  </si>
  <si>
    <t>HAWB NO</t>
  </si>
  <si>
    <t>Pkgs</t>
  </si>
  <si>
    <t>Ch.Wt.</t>
  </si>
  <si>
    <t>Container No</t>
  </si>
  <si>
    <t>Line / forwarder</t>
  </si>
  <si>
    <t>DO Amount</t>
  </si>
  <si>
    <t>Pre-alert
 Rcd on</t>
  </si>
  <si>
    <t>Checklist 
Sent on</t>
  </si>
  <si>
    <t>Checklist
 approved on</t>
  </si>
  <si>
    <t>Req ID Inbond</t>
  </si>
  <si>
    <t>BOE No</t>
  </si>
  <si>
    <t>BOE Date</t>
  </si>
  <si>
    <t>Inbound
 Cleared On</t>
  </si>
  <si>
    <t>Out bond
 Process</t>
  </si>
  <si>
    <t xml:space="preserve">BE Type </t>
  </si>
  <si>
    <t>Checklist
 Approved on</t>
  </si>
  <si>
    <t>Req ID OB</t>
  </si>
  <si>
    <t>Ass Value</t>
  </si>
  <si>
    <t>Duty</t>
  </si>
  <si>
    <t>Duty Req. 
Sent on</t>
  </si>
  <si>
    <t xml:space="preserve">Duty
 paid </t>
  </si>
  <si>
    <t>Duty TAT</t>
  </si>
  <si>
    <t xml:space="preserve">BE ooc date </t>
  </si>
  <si>
    <t>Cleared /
Dispatched</t>
  </si>
  <si>
    <t xml:space="preserve">Vehicle no </t>
  </si>
  <si>
    <t>Vehicles type</t>
  </si>
  <si>
    <t xml:space="preserve">Tpt Fright </t>
  </si>
  <si>
    <t>Delivery date</t>
  </si>
  <si>
    <t>Remarks</t>
  </si>
  <si>
    <t>other charges</t>
  </si>
  <si>
    <t>Demurrage
approval
 mail sent on</t>
  </si>
  <si>
    <t>Demurrage 
Approved 
recd on</t>
  </si>
  <si>
    <t>Form i req date</t>
  </si>
  <si>
    <t>Form i recd dt</t>
  </si>
  <si>
    <t>S.N.</t>
  </si>
  <si>
    <t>Invoice 
Value</t>
  </si>
  <si>
    <t>Demurrage / 
Detention</t>
  </si>
  <si>
    <t>Arrived at
 FTWZ</t>
  </si>
  <si>
    <t>Ch. Wt.</t>
  </si>
  <si>
    <t>Duty received</t>
  </si>
  <si>
    <t>move by</t>
  </si>
  <si>
    <t>Demurrage 
mail sent date</t>
  </si>
  <si>
    <t>Demurrage
 Approved date</t>
  </si>
  <si>
    <t>INBOND</t>
  </si>
  <si>
    <t>OUTBOND</t>
  </si>
  <si>
    <t>JOB</t>
  </si>
  <si>
    <t>Invoice No.</t>
  </si>
  <si>
    <t>Invoice Date</t>
  </si>
  <si>
    <t>Inv value</t>
  </si>
  <si>
    <t>Supplier
Name</t>
  </si>
  <si>
    <t>Status</t>
  </si>
  <si>
    <t>TAT</t>
  </si>
  <si>
    <t>Airtel PO No.</t>
  </si>
  <si>
    <t>Demurrage
 Amnt</t>
  </si>
  <si>
    <t>Interest                        Rs.</t>
  </si>
  <si>
    <t>Penalty</t>
  </si>
  <si>
    <t>person</t>
  </si>
  <si>
    <t>Circle Name</t>
  </si>
  <si>
    <t>MAWB</t>
  </si>
  <si>
    <t>HAWB</t>
  </si>
  <si>
    <t>D.O Amount</t>
  </si>
  <si>
    <t>Forwarder</t>
  </si>
  <si>
    <t>SI Rcd. Date</t>
  </si>
  <si>
    <t>C.List send on</t>
  </si>
  <si>
    <t>C.List 
approved on</t>
  </si>
  <si>
    <t>RQ ID</t>
  </si>
  <si>
    <t xml:space="preserve">Ass value </t>
  </si>
  <si>
    <t>duty</t>
  </si>
  <si>
    <t>Duty req. on</t>
  </si>
  <si>
    <t>Duty Recd on</t>
  </si>
  <si>
    <t>OC Date</t>
  </si>
  <si>
    <t>Cleared
 / dispatch</t>
  </si>
  <si>
    <t>Delivered to WH on</t>
  </si>
  <si>
    <t xml:space="preserve">Demmurrage </t>
  </si>
  <si>
    <t xml:space="preserve">WPC/ETA/Letter/ remarks </t>
  </si>
  <si>
    <t>Bill Done On</t>
  </si>
  <si>
    <t>Demurrage mail sent date</t>
  </si>
  <si>
    <t>Demurrage Approved date</t>
  </si>
  <si>
    <t>Port of Clearence</t>
  </si>
  <si>
    <t xml:space="preserve">Mode
</t>
  </si>
  <si>
    <t>Supplier 
 Name</t>
  </si>
  <si>
    <t>Person</t>
  </si>
  <si>
    <t>container no</t>
  </si>
  <si>
    <t>No.
 of Pkgs</t>
  </si>
  <si>
    <t>Gr. Wt.</t>
  </si>
  <si>
    <t>C.List 
 approved on</t>
  </si>
  <si>
    <t>ATA</t>
  </si>
  <si>
    <t xml:space="preserve">Ass Value </t>
  </si>
  <si>
    <t>Total Duty</t>
  </si>
  <si>
    <t>Duty Recd
 on</t>
  </si>
  <si>
    <t>Cleared 
 / dispatch</t>
  </si>
  <si>
    <t>Delivered 
 to WH on</t>
  </si>
  <si>
    <t>Interest</t>
  </si>
  <si>
    <t>WPC/ETA/
 Declaration/ Letter</t>
  </si>
  <si>
    <t>Demurrage
 mail sent date</t>
  </si>
  <si>
    <t>Billing Status</t>
  </si>
  <si>
    <t>Inbond</t>
  </si>
  <si>
    <t>NA</t>
  </si>
  <si>
    <t>Out Bond</t>
  </si>
  <si>
    <t>ECI TELECOM LTD</t>
  </si>
  <si>
    <t>NTK553LB</t>
  </si>
  <si>
    <t>B0HODUNJ2
B0HODUNE9</t>
  </si>
  <si>
    <t>NTK552GAE5</t>
  </si>
  <si>
    <t>X17669</t>
  </si>
  <si>
    <t>XCVR T80W02</t>
  </si>
  <si>
    <t>NTK852AC</t>
  </si>
  <si>
    <t>NTK540BD-F</t>
  </si>
  <si>
    <t>ON322783</t>
  </si>
  <si>
    <t xml:space="preserve">B0HODUNJ2 
B0HODUNE9 </t>
  </si>
  <si>
    <t>CWSSFTA01 WAVELENGTH SELECTIVE</t>
  </si>
  <si>
    <t xml:space="preserve">BR-0334-0 MICROWAVE RADIO,MODEL:IP-50E-DX0H-H-ESSQ,FREQUENCY BAND:80 GHZ,TXPOWER OUTPUT:18 DBM,TYPE:HIGH
BR-0335-0 MICROWAVE RADIO,MODEL:IP-50E-DX0H-L-ESSQ,FREQUENCY BAND:80 GHZ,TXPOWER OUTPUT:18 DBM,TYPE:LOW 
</t>
  </si>
  <si>
    <t>40
40</t>
  </si>
  <si>
    <t>AIR</t>
  </si>
  <si>
    <t>Mumbai Air Cargo</t>
  </si>
  <si>
    <t>236 </t>
  </si>
  <si>
    <t>17 </t>
  </si>
  <si>
    <t>499 </t>
  </si>
  <si>
    <t>344 </t>
  </si>
  <si>
    <t>197 </t>
  </si>
  <si>
    <t>BAL LDS NLD/PUR/2054964</t>
  </si>
  <si>
    <t>BAL MO PUNJAB/PUR/62261</t>
  </si>
  <si>
    <t>BAL LDS NLD/PUR/2054975</t>
  </si>
  <si>
    <t>BAL LDS NLD/PUR/2054102</t>
  </si>
  <si>
    <t>BAL LDS NLD/PUR/2055161</t>
  </si>
  <si>
    <t>BAL LDS NLD/PUR/2054513</t>
  </si>
  <si>
    <t>BAL LDS NLD/PUR/2055163</t>
  </si>
  <si>
    <t>BAL LDS NLD/PUR/2054723</t>
  </si>
  <si>
    <t>BAL LDS NLD/PUR/2055162</t>
  </si>
  <si>
    <t>BAL LDS NLD/PUR/2055147</t>
  </si>
  <si>
    <t>BAL LDS NLD/PUR/2054776</t>
  </si>
  <si>
    <t>BAL-MO-ROM-Maharashtra/PUR/10024110</t>
  </si>
  <si>
    <t>PUNJAB</t>
  </si>
  <si>
    <t xml:space="preserve">AKIV JAVED </t>
  </si>
  <si>
    <t>Appaso Katakar</t>
  </si>
  <si>
    <t>AI2025-0013178</t>
  </si>
  <si>
    <t>AI2025-0013960</t>
  </si>
  <si>
    <t>AI2025-0013961</t>
  </si>
  <si>
    <t>AI2025-0013962</t>
  </si>
  <si>
    <t>AI2025-0014399</t>
  </si>
  <si>
    <t>AI2025-0014844</t>
  </si>
  <si>
    <t>AI2025-0015848</t>
  </si>
  <si>
    <t>AI2025-0015849</t>
  </si>
  <si>
    <t>AI2025-0016193</t>
  </si>
  <si>
    <t>AI2025-0016575</t>
  </si>
  <si>
    <t>F367552</t>
  </si>
  <si>
    <t>F272299</t>
  </si>
  <si>
    <t>F410372</t>
  </si>
  <si>
    <t>F416517</t>
  </si>
  <si>
    <t>SIN76028581</t>
  </si>
  <si>
    <t>EXPEDITORS</t>
  </si>
  <si>
    <t>DHL</t>
  </si>
  <si>
    <t xml:space="preserve">DACHSER </t>
  </si>
  <si>
    <t>3189916 </t>
  </si>
  <si>
    <t>11807344 </t>
  </si>
  <si>
    <t>232544 </t>
  </si>
  <si>
    <t>6743763 </t>
  </si>
  <si>
    <t>4650871 </t>
  </si>
  <si>
    <t>2658264 </t>
  </si>
  <si>
    <t>531653 </t>
  </si>
  <si>
    <t>574185 </t>
  </si>
  <si>
    <t>41858 </t>
  </si>
  <si>
    <t>1213877 </t>
  </si>
  <si>
    <t>837157 </t>
  </si>
  <si>
    <t>478487 </t>
  </si>
  <si>
    <t>95698 </t>
  </si>
  <si>
    <t>3416385TSTH132</t>
  </si>
  <si>
    <t>MUMBAI AIR CARGO</t>
  </si>
  <si>
    <t>BAL-MO-AP-Telangana/PUR/10018228</t>
  </si>
  <si>
    <t>RAVI SAGAR</t>
  </si>
  <si>
    <t>Telangana</t>
  </si>
  <si>
    <t>THAI AIRWAYS</t>
  </si>
  <si>
    <t>20
20</t>
  </si>
  <si>
    <t>BAL-ANG-UASL-MUMBAI-MAHARASHTRA/
PUR/10005062</t>
  </si>
  <si>
    <t xml:space="preserve">Mr. Tarachand Tawre </t>
  </si>
  <si>
    <t>MUMBAI</t>
  </si>
  <si>
    <t>020-19952166</t>
  </si>
  <si>
    <t>42J0345087</t>
  </si>
  <si>
    <t>EXPEDITORSS</t>
  </si>
  <si>
    <t>6694229
6694230</t>
  </si>
  <si>
    <t>6694218
6694224</t>
  </si>
  <si>
    <t xml:space="preserve">6684872
6684880 </t>
  </si>
  <si>
    <t>6684873
6684875
6684882</t>
  </si>
  <si>
    <t>27-09-2024
27-09-2024</t>
  </si>
  <si>
    <t>12-09-2024
12-09-2024</t>
  </si>
  <si>
    <t>12-09-2024
12-09-2024
12-09-2024</t>
  </si>
  <si>
    <t>7113.00
7113.00</t>
  </si>
  <si>
    <t>14847.00
6363.00</t>
  </si>
  <si>
    <t>9484
6363</t>
  </si>
  <si>
    <t>11855.00
9484.00
6363.00</t>
  </si>
  <si>
    <t>CGHODUPX4
CGHODUPX2</t>
  </si>
  <si>
    <t xml:space="preserve">CGHODUPA5 
CGHODUPC3 </t>
  </si>
  <si>
    <t xml:space="preserve">CMWIH0231 </t>
  </si>
  <si>
    <t>CGHODUPZ9
CGHODUPX6</t>
  </si>
  <si>
    <t xml:space="preserve">CGHODUPX4
CGHODUPX2 </t>
  </si>
  <si>
    <t>CGHODUPX1
CGHODUPV2</t>
  </si>
  <si>
    <t>CGHODUPX4
CGHODUPX2
CGHODUPX4
CGHODUPX2</t>
  </si>
  <si>
    <t xml:space="preserve">CGHODUPA5 
CGHODUPC3
CGHODUPZ9
CGHODUPX6    </t>
  </si>
  <si>
    <t xml:space="preserve">CGHODUQY4 
CGHODUQI4 </t>
  </si>
  <si>
    <t>CGHODUPA5
CGHODUPC3
CGHODUPA5
CGHODUPC3
CGHODUPZ9
CGHODUPX6</t>
  </si>
  <si>
    <t>SEZ-Z</t>
  </si>
  <si>
    <t>2184 </t>
  </si>
  <si>
    <t>BAL MO PUNJAB/PUR/61101</t>
  </si>
  <si>
    <t>BAL MO PUNJAB/PUR/61109</t>
  </si>
  <si>
    <t>BAL MO PUNJAB/PUR/61281</t>
  </si>
  <si>
    <t>BAL-MO-HARYANA-HARYANA/PUR/10008792</t>
  </si>
  <si>
    <t>BAL-MO-HARYANA-HARYANA/PUR/10008631
BAL-MO-HARYANA-HARYANA/PUR/10008633</t>
  </si>
  <si>
    <t>BAL-MO-HARYANA-HARYANA/PUR/10008593
BAL-MO-HARYANA-HARYANA/PUR/10008656</t>
  </si>
  <si>
    <t>BAL MO PNJAB/PUR/61154
BAL MO PNJAB/PUR/61163</t>
  </si>
  <si>
    <t>BAL-MO-HARYANA-HARYANA/PUR/10008596
BAL-MO-HARYANA-HARYANA/PUR/10008633
BAL-MO-HARYANA-HARYANA/PUR/10008656</t>
  </si>
  <si>
    <t>HARYANA</t>
  </si>
  <si>
    <t>Zulif</t>
  </si>
  <si>
    <t>910-17501993</t>
  </si>
  <si>
    <t xml:space="preserve">618-34999871 </t>
  </si>
  <si>
    <t xml:space="preserve">618-35000836 </t>
  </si>
  <si>
    <t>098-04171005</t>
  </si>
  <si>
    <t xml:space="preserve">098-04172851 </t>
  </si>
  <si>
    <t xml:space="preserve">618-35002192 </t>
  </si>
  <si>
    <t xml:space="preserve">AAI0032864 </t>
  </si>
  <si>
    <t xml:space="preserve">D902148 </t>
  </si>
  <si>
    <t xml:space="preserve">D902362 </t>
  </si>
  <si>
    <t xml:space="preserve">D911046 </t>
  </si>
  <si>
    <t xml:space="preserve">E091519 </t>
  </si>
  <si>
    <t xml:space="preserve">E030275 </t>
  </si>
  <si>
    <t>E127615</t>
  </si>
  <si>
    <t>E127370</t>
  </si>
  <si>
    <t xml:space="preserve">E029973 </t>
  </si>
  <si>
    <t xml:space="preserve">E030063 </t>
  </si>
  <si>
    <t>E029927</t>
  </si>
  <si>
    <t>F266556</t>
  </si>
  <si>
    <t>F367464</t>
  </si>
  <si>
    <t xml:space="preserve">WORLDWIDE </t>
  </si>
  <si>
    <t xml:space="preserve">DHL </t>
  </si>
  <si>
    <t xml:space="preserve"> 24-Sep-2024</t>
  </si>
  <si>
    <t>8638409 </t>
  </si>
  <si>
    <t>1554914 </t>
  </si>
  <si>
    <t>8098508 </t>
  </si>
  <si>
    <t>1457731 </t>
  </si>
  <si>
    <t>1207076 </t>
  </si>
  <si>
    <t>217274 </t>
  </si>
  <si>
    <t>139641 </t>
  </si>
  <si>
    <t>14759180 </t>
  </si>
  <si>
    <t>2656652 </t>
  </si>
  <si>
    <t>HP12J 8896</t>
  </si>
  <si>
    <t>NAGARKOT</t>
  </si>
  <si>
    <t>HR64 A5911</t>
  </si>
  <si>
    <t>RJ10GB8449</t>
  </si>
  <si>
    <t>HR 39F 1428</t>
  </si>
  <si>
    <t xml:space="preserve">PB 10HK 7523 </t>
  </si>
  <si>
    <t>UP16NT7166</t>
  </si>
  <si>
    <t>HANDED OVER TO PDS</t>
  </si>
  <si>
    <t>PDS</t>
  </si>
  <si>
    <t>MH14LL2560</t>
  </si>
  <si>
    <t xml:space="preserve">NAGARKOT </t>
  </si>
  <si>
    <t>Nagarkot Job</t>
  </si>
  <si>
    <t>3415848-MH-1, 3415669-MH-3, 3415479-MH-3</t>
  </si>
  <si>
    <t xml:space="preserve">3415828APIN026 </t>
  </si>
  <si>
    <t>3415661APSG016 3415827APSG017  3415828APSG018  3415827APSG028</t>
  </si>
  <si>
    <t xml:space="preserve">3415661APTH050
3415827APTH051
3415828APTH052
3415831APTH053
</t>
  </si>
  <si>
    <t xml:space="preserve">3415169APTH045 
3415453APTH046 
3415454APTH047 
3415455APTH048 
3415660APTH049 </t>
  </si>
  <si>
    <t xml:space="preserve"> 07-Nov-2024</t>
  </si>
  <si>
    <t>07/01/2025 07/01/2025 07/01/2025</t>
  </si>
  <si>
    <t xml:space="preserve">14/02/2025 14/02/2025  14/02/2025 14/02/2025  </t>
  </si>
  <si>
    <t>03-Mar-2025
03-Mar-2025
03-Mar-2025
03-Mar-2025</t>
  </si>
  <si>
    <t>10-Mar-2025
10-Mar-2025
10-Mar-2025
10-Mar-2025
10-Mar-2025</t>
  </si>
  <si>
    <t xml:space="preserve">3642.00 1214.00 7284.00 </t>
  </si>
  <si>
    <t>54,023.00  10,926.00        29,743.00         16,996.00</t>
  </si>
  <si>
    <t>48560.00
86801.00
24280.00
2428.00</t>
  </si>
  <si>
    <t xml:space="preserve">26708.00 
5463.00 
41276.00 
6677.00 
103190.00 </t>
  </si>
  <si>
    <t xml:space="preserve">shipment ready for dispatch , will handvoer to pds </t>
  </si>
  <si>
    <t>CDWHWS104 RLA 32 X 1 C L BAND 1XSFP MODULE (ROADM WITH LINE AMPLIFIER) NTK852AC</t>
  </si>
  <si>
    <t>BAL LDS NLD/PUR/2055154</t>
  </si>
  <si>
    <t>AI2025-0017056</t>
  </si>
  <si>
    <t>BAL LDS NLD/PUR/2055156</t>
  </si>
  <si>
    <t>AI2025-0017057</t>
  </si>
  <si>
    <t>AI2025-0017094</t>
  </si>
  <si>
    <t>AI2025-0017095</t>
  </si>
  <si>
    <t>268 </t>
  </si>
  <si>
    <t>BAL LDS NLD/PUR/2055194
BAL LDS NLD/PUR/2054776</t>
  </si>
  <si>
    <t>990031
990037</t>
  </si>
  <si>
    <t>06-Mar-25
06-Mar-25</t>
  </si>
  <si>
    <t>63232.00
608.00</t>
  </si>
  <si>
    <t>ON322783
ON322783</t>
  </si>
  <si>
    <t>ELE001201 - MUX - NPT - STANDALONE : OTP10 T 10G TUNABLE SFP  ITEM CODE - ON322783 
ELE001201 - MUX - NPT - STANDALONE : OTP10 T 10G TUNABLE SFP  ITEM CODE - ON322783</t>
  </si>
  <si>
    <t>104
1</t>
  </si>
  <si>
    <t>217-03645611</t>
  </si>
  <si>
    <t>F367869</t>
  </si>
  <si>
    <t>MH43CK0450</t>
  </si>
  <si>
    <t>3172981 </t>
  </si>
  <si>
    <t>571137 </t>
  </si>
  <si>
    <t>2459732 </t>
  </si>
  <si>
    <t>442752 </t>
  </si>
  <si>
    <t>ELE001202 TRANSCEIVER MODULE OR DWDM TUNABLE SFP SFP  5160 / 39XX XCVR T80W02</t>
  </si>
  <si>
    <t>BAL LDS NLD/PUR/2054103</t>
  </si>
  <si>
    <t>CAMPFTA01 MIDSTAGELINE AMPLIFIER 3 (MLA3 C-BAND)CIRCUIT PACK: NTK552GAE5</t>
  </si>
  <si>
    <t>BAL LDS NLD/PUR/2055168</t>
  </si>
  <si>
    <t>AI2025-0017535</t>
  </si>
  <si>
    <t>AI2025-0017536</t>
  </si>
  <si>
    <t>AI2025-0017537</t>
  </si>
  <si>
    <t>14806080 </t>
  </si>
  <si>
    <t>1387316 </t>
  </si>
  <si>
    <t>249717 </t>
  </si>
  <si>
    <t xml:space="preserve">23-03-2025 final AWB received , DIPATCHED  25-03-2025  //vehicle no.   MH73CK0450 MOB. 9604635069 </t>
  </si>
  <si>
    <t>10024308MHTH175</t>
  </si>
  <si>
    <t>BAL-MO-ROM-Maharashtra/PUR/10024308</t>
  </si>
  <si>
    <t xml:space="preserve">Appaso Shivaji Katakar </t>
  </si>
  <si>
    <t>MAHARASHTRA</t>
  </si>
  <si>
    <t>OMAN</t>
  </si>
  <si>
    <t>Further to the trailing email, the subject shipment is still under the Out of Charge (OOC) queue at Customs. Kindly note that there has been a system issue at ACC since yesterday, causing delays in the OOC process.</t>
  </si>
  <si>
    <t>08.03-2025</t>
  </si>
  <si>
    <t>shipment arrived late night. However, due to the 2nd  Saturday Customs holiday, the TP process cannot be completed 08.03.2025</t>
  </si>
  <si>
    <t>BOE has been filed on the shipment arrival date, March 21, 2025, and has assessed late in the evening on March 22, 2025. However, due to the late assessment on Saturday, the TP process could not be completed in time</t>
  </si>
  <si>
    <t>AI205-0018473</t>
  </si>
  <si>
    <t>Final AWB recevied dtd. 27.03.2025</t>
  </si>
  <si>
    <t>AI2025-0017543</t>
  </si>
  <si>
    <t>MTT-156718</t>
  </si>
  <si>
    <t>CFTAQSP28</t>
  </si>
  <si>
    <t>CFTAQSP28 103.1G-111.8G, 4X25G, WDM, SMF, 1310NM, 10 KM QSFP28 : 160-9402-900</t>
  </si>
  <si>
    <t>BAL LDS NLD/PUR/2055150</t>
  </si>
  <si>
    <t>BAL LDS NLD/PUR/2054236</t>
  </si>
  <si>
    <t>MTT-156717</t>
  </si>
  <si>
    <t>CNDWLH047</t>
  </si>
  <si>
    <t>CNDWLH047 103.1G-111.8G, 4X25G, WDM SMF, 1310NM, 10 KM QSFP28 :160-9402-900</t>
  </si>
  <si>
    <t xml:space="preserve">OOC DONE BEING DISPATCH THROUGH  PDS  </t>
  </si>
  <si>
    <t>31454190 </t>
  </si>
  <si>
    <t>5661754 </t>
  </si>
  <si>
    <t>BAL MO PUNJAB/PUR/61787</t>
  </si>
  <si>
    <t>BAL-MO-ROM-Maharashtra/PUR/1002 3164</t>
  </si>
  <si>
    <t>BAL MO Mumbai/PUR/93610</t>
  </si>
  <si>
    <t>BAL-MO-HARYANA-HARYANA/PUR/10009050</t>
  </si>
  <si>
    <t>BAL MO MadhyaPradesh/PUR/51834</t>
  </si>
  <si>
    <t>BAL MO Madhya Pradesh/PUR/51693</t>
  </si>
  <si>
    <t>BAL MO Gujarat/PUR/49479</t>
  </si>
  <si>
    <t xml:space="preserve">BAL-MO-ROM-Maharashtra/PUR/10023061 BAL-MO-ROM-Maharashtra/PUR/10022480 BAL-MO-ROM-Maharashtra/PUR/10022095 </t>
  </si>
  <si>
    <t>BAL-MO-AP-Telangana/PUR/10017402</t>
  </si>
  <si>
    <t>BAL-MO-AP-Telangana/PUR/10017197                      BAL-MO-AP-Telangana/PUR//10017391                     BAL-MO-AP-Telangana/PUR/10017402                       BAL-MO-AP-Telangana/PUR/10017391</t>
  </si>
  <si>
    <t xml:space="preserve"> BAL-MO-AP-Telangana/PUR/10017197
BAL-MO-AP-Telangana/PUR/10017391
 BAL-MO-AP-Telangana/PUR/10017402
BAL-MO-AP-Telangana/PUR/10017452</t>
  </si>
  <si>
    <t>BAL-MO-AP-Telangana/PUR/10018088</t>
  </si>
  <si>
    <t>BAL-ANG-UASL-MUMBAI-MAHARASHTRA/PUR/10004941</t>
  </si>
  <si>
    <t>BAL-MO-AP-Telangana/PUR/10018091</t>
  </si>
  <si>
    <t>BAL-MO-AP-Telangana/PUR/10016517
BAL-MO-AP-Telangana/PUR/10016703
BAL-MO-AP-Telangana/PUR/10016716
BAL-MO-AP-Telangana/PUR/10016739
BAL-MO-AP-Telangana/PUR/10016987</t>
  </si>
  <si>
    <t>DISPATCHED ON DTD. 25-11-2024</t>
  </si>
  <si>
    <t>DISPATCHED ON DTD.12-12-2024</t>
  </si>
  <si>
    <t xml:space="preserve"> DISPATCHED   DTD. 24.02.2025 VEHICLE NO. MH.14.JL.4410  MOBILE NO.9158916060 (AVINASH VEER)</t>
  </si>
  <si>
    <t>DISPATCHED ON 28-02-2025</t>
  </si>
  <si>
    <t>DISPATCHED  DTD.11-03-2025</t>
  </si>
  <si>
    <t>DISPTCHED THROUGH PDS</t>
  </si>
  <si>
    <t>DISPATCHED DT.18-03-2025/VECHILE NO.  MH 43CK 2058  MOBILE NO. 9137834911</t>
  </si>
  <si>
    <t>DISPATCHED DT.19-03-2025/VECHILE NO. TS08 UH 0711 MOBILE NO. 9975103181</t>
  </si>
  <si>
    <t>1655 </t>
  </si>
  <si>
    <t>Prashant Dalvi</t>
  </si>
  <si>
    <t>Manoj Khond</t>
  </si>
  <si>
    <t>Milan</t>
  </si>
  <si>
    <t>Ravi Sagar</t>
  </si>
  <si>
    <t>MadhyaPradesh</t>
  </si>
  <si>
    <t>GUJARAT</t>
  </si>
  <si>
    <t xml:space="preserve">607-37205442 </t>
  </si>
  <si>
    <t>60737899326 </t>
  </si>
  <si>
    <t>E436764</t>
  </si>
  <si>
    <t>E436838</t>
  </si>
  <si>
    <t>E436739</t>
  </si>
  <si>
    <t>E436677</t>
  </si>
  <si>
    <t>E436783</t>
  </si>
  <si>
    <t>E439113</t>
  </si>
  <si>
    <t>E436823</t>
  </si>
  <si>
    <t>2846673 </t>
  </si>
  <si>
    <t>9160789 </t>
  </si>
  <si>
    <t>1251398 </t>
  </si>
  <si>
    <t>7075348 </t>
  </si>
  <si>
    <t>HR55AG1854</t>
  </si>
  <si>
    <t>MH12UM9830</t>
  </si>
  <si>
    <t>MH03CN3901</t>
  </si>
  <si>
    <t>MH-03 DS 3181</t>
  </si>
  <si>
    <t>MH.14.JL.4410</t>
  </si>
  <si>
    <t>MH 46 BF 8288</t>
  </si>
  <si>
    <t>MH24BW1482</t>
  </si>
  <si>
    <t>MH43CK2058</t>
  </si>
  <si>
    <t>TS08 UH 071</t>
  </si>
  <si>
    <t>PDS INTERNATIONAL PVT.LTD</t>
  </si>
  <si>
    <t>Yatnavat Technologies Pvt Ltd</t>
  </si>
  <si>
    <t>OM LOGISTICS LTD</t>
  </si>
  <si>
    <t>PATY E WAY BILL MAILED DTD.21.03.2025
PART A E WAY BILL  RECEIVED  DATE 31.03.2025</t>
  </si>
  <si>
    <t xml:space="preserve"> PATY E WAY BILL MAILED DTD.27.03.2025
PART A E WAY BILL RECEIVED ON 31-03-2025</t>
  </si>
  <si>
    <t>5870052 </t>
  </si>
  <si>
    <t>1056609 </t>
  </si>
  <si>
    <t>NTK834AA</t>
  </si>
  <si>
    <t>CRLSHMD01 CCMD16 C-BAND MODULE (16-CHANNEL COLORLESS MUX/DEMUX) NTK834AA</t>
  </si>
  <si>
    <t>BAL LDS NLD/PUR/2054808</t>
  </si>
  <si>
    <t>CDWHWS104 RLA 32X1 C+L- BAND 1XSFP MODULE (ROADM WITH LINE AMPLIFIER) NTK852AC</t>
  </si>
  <si>
    <t>BAL LDS NLD/PUR/2055177</t>
  </si>
  <si>
    <t>48
48</t>
  </si>
  <si>
    <t>BAL-MO GUJARAT/PUR/50091</t>
  </si>
  <si>
    <t>MILAN</t>
  </si>
  <si>
    <t xml:space="preserve">F503576 </t>
  </si>
  <si>
    <t>24
24</t>
  </si>
  <si>
    <t>BAL-MO-UPW-UP/PUR/10015452</t>
  </si>
  <si>
    <t>UP</t>
  </si>
  <si>
    <t>Rahul Shrivastav</t>
  </si>
  <si>
    <t>F503555</t>
  </si>
  <si>
    <t>BAL MO MADHYA PRADESH /PUR/52579</t>
  </si>
  <si>
    <t>F503596</t>
  </si>
  <si>
    <t xml:space="preserve">PATY E WAY BILL MAILED DTD.21.03.2025
PART A E WAY BILL RECEIVED  ON 31-03-2025 LATE NIGHT </t>
  </si>
  <si>
    <t>FORM I RECEIVED ON 28-03-2025
PART A E WAY BILL RECEIVED  ON 31-03-2025 LATE NIGHT</t>
  </si>
  <si>
    <t xml:space="preserve"> PART   E WAY BILL MAILED DTD.28.03.2025
PART A E WAY BILL RECEIVED  ON 31-03-2025 LATE NIGHT</t>
  </si>
  <si>
    <t xml:space="preserve"> PART A  E WAY BILL MAILED DTD.28.03.2025
PART A E WAY BILL RECEIVED  ON 31-03-2025 LATE NIGHT</t>
  </si>
  <si>
    <t xml:space="preserve"> PART A  E WAY BILL MAILED DTD.27.03.2025
PART A E WAY BILL RECEIVED  ON 31-03-2025 LATE NIGHT</t>
  </si>
  <si>
    <t>FORM I RECEIVED ON 28-03-2025
PART A E WAY BILL MAILED ON 29-03-2025
PART A E WAY BILL RECEIVED  ON 31-03-2025 LATE NIGHT</t>
  </si>
  <si>
    <t>71 </t>
  </si>
  <si>
    <t>79 </t>
  </si>
  <si>
    <t>103 </t>
  </si>
  <si>
    <t>1095 </t>
  </si>
  <si>
    <t>OUT Bond</t>
  </si>
  <si>
    <t>AI2025-0018885</t>
  </si>
  <si>
    <t>AI2025-0018884</t>
  </si>
  <si>
    <t>27
27</t>
  </si>
  <si>
    <t>BAL MO GUJARAT /PUR/50091</t>
  </si>
  <si>
    <t>F523991</t>
  </si>
  <si>
    <t>25
25</t>
  </si>
  <si>
    <t>BAL MO GUJARAT /PUR/688612</t>
  </si>
  <si>
    <t>F523944</t>
  </si>
  <si>
    <t>58
58</t>
  </si>
  <si>
    <t>F535723</t>
  </si>
  <si>
    <t>30
30</t>
  </si>
  <si>
    <t>F503725</t>
  </si>
  <si>
    <t>F523884</t>
  </si>
  <si>
    <t>ZULIF</t>
  </si>
  <si>
    <t>F503700</t>
  </si>
  <si>
    <t>6883288
6881438</t>
  </si>
  <si>
    <t>80688
36982.00</t>
  </si>
  <si>
    <t xml:space="preserve">B0HODUNJ2 
B0HODUNE9 
B0HODUNJ2 
B0HODUNE9
</t>
  </si>
  <si>
    <t xml:space="preserve">BR-0334-0 MICROWAVE RADIO,MODEL:IP-50E-DX0H-H-ESSQ,FREQUENCY BAND:80 GHZ,TXPOWER OUTPUT:18 DBM,TYPE:HIGH
BR-0335-0 MICROWAVE RADIO,MODEL:IP-50E-DX0H-L-ESSQ,FREQUENCY BAND:80 GHZ,TXPOWER OUTPUT:18 DBM,TYPE:LOW 
BR-0334-0 MICROWAVE RADIO,MODEL:IP-50E-DX0H-H-ESSQ,FREQUENCY BAND:80 GHZ,TXPOWER OUTPUT:18 DBM,TYPE:HIGH
BR-0335-0 MICROWAVE RADIO,MODEL:IP-50E-DX0H-L-ESSQ,FREQUENCY BAND:80 GHZ,TXPOWER OUTPUT:18 DBM,TYPE:LOW </t>
  </si>
  <si>
    <t>24
24
11
11</t>
  </si>
  <si>
    <t>BAL-MO-ROM-HARYANA-HARYANA/PUR/10009345
BAL-MO-ROM-HARYANA-HARYANA/PUR/10009345</t>
  </si>
  <si>
    <t>23-03-2025
21-03-2025</t>
  </si>
  <si>
    <t>BAL-MO-PUNJAB /PUR/62314</t>
  </si>
  <si>
    <t>F503663</t>
  </si>
  <si>
    <t>BAL-MO-UPW-UP /PUR/10015452</t>
  </si>
  <si>
    <t>F523973</t>
  </si>
  <si>
    <t>RJ10GB6597</t>
  </si>
  <si>
    <t>21
21</t>
  </si>
  <si>
    <t xml:space="preserve">F523861 </t>
  </si>
  <si>
    <t>JB-2025-AI-21-001320</t>
  </si>
  <si>
    <t>JB-2025-AI-21-001301</t>
  </si>
  <si>
    <t>AIFTA RECEIVED IN MAIL 02-04-2025</t>
  </si>
  <si>
    <t>868 </t>
  </si>
  <si>
    <t>CWSSFTA01 WAVELENGTH SELECTIVE SWITCH (WSS) FLEX C- BAND W OPM 9X1 CIRCUIT PACK NTK553LB</t>
  </si>
  <si>
    <t>CWSSFTA01 WAVELENGTH SELECTIVE SWITCH(WSS)FLEX C- BAND W/OPM 9X1 CIRCUIT PACK:NTK553LB</t>
  </si>
  <si>
    <t>CW5FTA4HC WL5E MOTRCARD 4X100G CAPACITY LICENSE 2000KM REACH LICENSE (C BAND) NTK540BD-F</t>
  </si>
  <si>
    <t>235 </t>
  </si>
  <si>
    <t>825 </t>
  </si>
  <si>
    <t>OB BOE OOC  done , ready for dispatch PART A  WAY BILL received dtd.31.03.2025 
DISPATCHED DT.01-04-2025 //VEHICLE NO.RJ10GB6597 MOB. 7000568324</t>
  </si>
  <si>
    <t>OB BOE OOC  done , ready for dispatch PART A  WAY BILL received dtd.31.03.2025 
 DISPATCHED DT.01-04-2025 //VEHICLE NO.RJ10GB6597 MOB. 7000568324</t>
  </si>
  <si>
    <t>10017576TSTH179</t>
  </si>
  <si>
    <t>BAL-MO-AP-Telangana/PUR/10017576</t>
  </si>
  <si>
    <t>THAI</t>
  </si>
  <si>
    <t>Thu 20/02/2025 4:44 PM</t>
  </si>
  <si>
    <t>MH14KA7904</t>
  </si>
  <si>
    <t>XCVR-T80W02</t>
  </si>
  <si>
    <t>AI2025-0013675</t>
  </si>
  <si>
    <t>9753526 </t>
  </si>
  <si>
    <t>1755635 </t>
  </si>
  <si>
    <t>PATY E WAY BILL MAILED DTD.21.03.2025
PART A EAY BILL NOT RECEIVED TILL DATE 27.03.2025</t>
  </si>
  <si>
    <t>DISPATCHED ON DTD. 07.10.2024// VEHICLE REPORTED ON DTD.11-10-2024</t>
  </si>
  <si>
    <t>DISPATCHED ON DTD. 16.10.2024//VEHICLE REPORTED ON DTD.20-10-2024</t>
  </si>
  <si>
    <t>DISPATCHED ON DTD. 16.10.2024//VEHICLE REPORTED ON DTD.21-10-2024</t>
  </si>
  <si>
    <t>DISPATCHED ON DTD. 29.10.2024//VEHICLE REPORTED ON DTD.04-11-2024</t>
  </si>
  <si>
    <t>DISPATCHED ON DTD. 16-12-2024//VEHICLE REPORTED ON DTD.20-12-2024</t>
  </si>
  <si>
    <t>DISPATCHED ON DTD. 29.10.2024//VEHICLE REPORTED ON DTD.23-12-2024</t>
  </si>
  <si>
    <t>OUTBOND SHIPMENT DISPTCHED THROUGH PDS</t>
  </si>
  <si>
    <t>DISPATCHED ON DTD. 17-03-2025//VEHICLE REPORTED ON DTD.18-03-2025</t>
  </si>
  <si>
    <t>ECD-24091846</t>
  </si>
  <si>
    <t xml:space="preserve">HR57A8544 </t>
  </si>
  <si>
    <t>847858 </t>
  </si>
  <si>
    <t>372719 </t>
  </si>
  <si>
    <t>5000 </t>
  </si>
  <si>
    <t>MH03EG 8495</t>
  </si>
  <si>
    <t>DISPATCHED  03-04-2025  VEHICLE NO. MH03EG 8495 MOB NO. 9892666355 &amp; 8108437017</t>
  </si>
  <si>
    <t>OB    DISPATCHED   DTD. 03-04-2025  VEHICLE NO.MH 14KA7904   MOB.NO. 9960659748</t>
  </si>
  <si>
    <t>OB    DISPATCHED DTD. 03-04-2025  VEHICLE NO.HR57A8544  MOB.NO. 9828197407</t>
  </si>
  <si>
    <t>1123 </t>
  </si>
  <si>
    <t>1643 </t>
  </si>
  <si>
    <t>FORM I RECEIVED ON 31-03-2025
PART A E WAY BILL RECEIVED  ON 03-04-2025</t>
  </si>
  <si>
    <t>153 </t>
  </si>
  <si>
    <t xml:space="preserve">PRE ALERT DOCUMENT RECEIVED 03-04-2025
DUTY PAID  DTD. 04-04-2025 AFTER EVENING DUT OT OOC DONE BY NEIGHT  </t>
  </si>
  <si>
    <t>PART A EWAY BILL  RECEIVED ON SUNDAY EVENING 06-04-2025</t>
  </si>
  <si>
    <t>MH47AS 4788</t>
  </si>
  <si>
    <t>7861028 </t>
  </si>
  <si>
    <t>1414985 </t>
  </si>
  <si>
    <t>7278730 </t>
  </si>
  <si>
    <t>1310171 </t>
  </si>
  <si>
    <t>CGHODUPX4 BR-0327-0 MW RADIO IP-50CX-E-15-420-01W08-H,FB 15 GHZ 1W8 TXP:25 DBM HIGH 1+0 UPGRD TO XPIC WITH OMT
CGHODUPX2 BR-0326-0 MW RADIOIP-50CX-E-15-420-01W08-L,FB 15 GHZ 1W8 TXP 25 DBM LOW 1+0 UPGRD TO XPIC WITH OMT</t>
  </si>
  <si>
    <t>15
15</t>
  </si>
  <si>
    <t>BAL MO/Gujarat/PUR/49383</t>
  </si>
  <si>
    <t>SIN76028735</t>
  </si>
  <si>
    <t xml:space="preserve">CGHODUPX2
CGHODUPX4
</t>
  </si>
  <si>
    <t xml:space="preserve">CGHODUPX2 BR-0326-0 MW RADIOIP-50CX-E-15-420-01W08-L,FB 15 GHZ 1W8 TXP 25 DBM LOW 1+0 UPGRD TO XPIC WITH OMT
CGHODUPX4 BR-0327-0 MW RADIO IP-50CX-E-15-420-01W08-H,FB 15 GHZ 1W8 TXP:25 DBM HIGH 1+0 UPGRD TO XPIC WITH OMT
</t>
  </si>
  <si>
    <t>75
75</t>
  </si>
  <si>
    <t>BAL MO Gujarat/PUR/49232</t>
  </si>
  <si>
    <t>SIN76028736</t>
  </si>
  <si>
    <t>6730474
6730482</t>
  </si>
  <si>
    <t>19-12-2024
19-12-2024</t>
  </si>
  <si>
    <t>31815
2121.00</t>
  </si>
  <si>
    <t xml:space="preserve">CGHODUPZ9
CGHODUPX6
CGHODUPZ9
CGHODUPX6
</t>
  </si>
  <si>
    <t>CGHODUPZ9 BR-0321-0 MW RADIO:IP-50CX-E-18-L-H,FREQ BAND:18 GHZ,TX POWER OUTPUT:24 DBM,TYPE:HIGH,(1+0 UPGRADE TO XPIC
CGHODUPX6 BR-0322-0 MW RADIO:IP-50CX-E-18-L-L,FREQ BAND:18 GHZ,TX POWER OUTPUT:24 DBM,TYPE:LOW,(1+0 UPGRADE TO XPIC
GHODUPZ9 BR-0321-0 MW RADIO:IP-50CX-E-18-L-H,FREQ BAND:18 GHZ,TX POWER OUTPUT:24 DBM,TYPE:HIGH,(1+0 UPGRADE TO XPIC
CGHODUPX6 BR-0322-0 MW RADIO:IP-50CX-E-18-L-L,FREQ BAND:18 GHZ,TX POWER OUTPUT:24 DBM,TYPE:LOW,(1+0 UPGRADE TO XPIC</t>
  </si>
  <si>
    <t>15
15
1
1</t>
  </si>
  <si>
    <t>SIN76028738</t>
  </si>
  <si>
    <t xml:space="preserve">BAL-MO-HARYANA-HARYANA/PUR/10008996
BAL-MO-HARYANA-HARYANA/PUR/10008898
</t>
  </si>
  <si>
    <t>CGHODUPI4
CGHODUPY3</t>
  </si>
  <si>
    <t>CGHODUPI4 BR-0311-0 IP-50CX-F-23-L-H,23 GHZ (SUB 01),TYPE:HIGH,(1+0 UPGRADABLE TO XPIC WITH OMT)
CGHODUPY3 BR-0310-0 IP-50CX-F-23-L-L,23 GHZ (SUB 01),TYPE:LOW, (1+0 UPGRADABLE TO XPIC WITH OMT)</t>
  </si>
  <si>
    <t>BAL MO Mumbai/PUR/93953</t>
  </si>
  <si>
    <t>SIN76028733</t>
  </si>
  <si>
    <t>CGHODUPX5
CGHODUPV9</t>
  </si>
  <si>
    <t>CGHODUPX5 BR-0323-0 MW RADIO:IP-50CX-E-18-H-H,FREQ BAND:18 GHZ,TX POWER OUTPUT:24 DBM,TYPE:HIGH,(1+0 UPGRADE TO XPIC WIT
CGHODUPV9 BR-0324-0 MW RADIO:IP-50CX-E-18-H-L,FREQ BAND:18 GHZ,TX POWER OUTPUT:24 DBM,TYPE:LOW,(1+0 UPGRADE TO XPIC WIT</t>
  </si>
  <si>
    <t>38
38</t>
  </si>
  <si>
    <t>BAL MO U.P.East/PUR/70662</t>
  </si>
  <si>
    <t>SIN76028731</t>
  </si>
  <si>
    <t>SIN76028745</t>
  </si>
  <si>
    <t>5
5
1
1
1
1
1
1</t>
  </si>
  <si>
    <t>6730477
6730483
6730484
6730544</t>
  </si>
  <si>
    <t>19-12-2024
19-Dec-2024
19-Dec-2024
21-Dec-2024</t>
  </si>
  <si>
    <t>11855
4242.00
2121.00
8484.00</t>
  </si>
  <si>
    <t xml:space="preserve">CGHODUPA5
CGHODUPC3
CGHODUPX5
CGHODUPV9
CGHODUPZ9
CGHODUPX6
CGHODUPI4
CGHODUPY3
CGHODUPX5
</t>
  </si>
  <si>
    <t xml:space="preserve">CGHODUPA5 BR-0304-0 MW RADIO:IP-50CX-E-18-L-H,FREQUENCY BAND:18 GHZ,TX POWER OUTPUT:24 DBM,TYPE:HIGH,WITH OMT
CGHODUPC3 BR-0305-0 MW RADIO:IP-50CX-E-18-L-L,FREQUENCY BAND:18 GHZ,TX POWER OUTPUT:24 DBM,TYPE:LOW,WITH OMT
CGHODUPX5 BR-0323-0 MW RADIO:IP-50CX-E-18-H-H,FREQ BAND:18 GHZ,TX POWER OUTPUT:24 DBM,TYPE:HIGH,(1+0 UPGRADE TO XPIC W
CGHODUPV9 BR-0324-0 MW RADIO:IP-50CX-E-18-H-L,FREQ BAND:18 GHZ,TX POWER OUTPUT:24 DBM,TYPE:LOW,(1+0 UPGRADE TO XPIC WIT
CGHODUPZ9 BR-0321-0 MW RADIO:IP-50CX-E-18-L-H,FREQ BAND:18 GHZ,TX POWER OUTPUT:24 DBM,TYPE:HIGH,(1+0 UPGRADE TO XPIC W
CGHODUPX6 BR-0322-0 MW RADIO:IP-50CX-E-18-L-L,FREQ BAND:18 GHZ,TX POWER OUTPUT:24 DBM,TYPE:LOW,(1+0 UPGRADE TO XPIC WIT
CGHODUPI4 BR-0311-0 IP-50CX-F-23-L-H,23 GHZ (SUB 01),TYPE:HIGH,(1+0 UPGRADABLE TO XPIC WITH OMT)
CGHODUPY3 BR-0310-0 IP-50CX-F-23-L-L,23 GHZ (SUB 01),TYPE:LOW, (1+0 UPGRADABLE TO XPIC WITH OMT)
CGHODUPX5 BR-0323-0 MW RADIO:IP-50CX-E-18-H-H,FREQ BAND:18 GHZ,TX POWER OUTPUT:24 DBM,TYPE:HIGH,(1+0 UPGRADE TO XPIC W
CGHODUPV9 BR-0324-0 MW RADIO:IP-50CX-E-18-H-L,FREQ BAND:18 GHZ,TX POWER OUTPUT:24DBM,TYPE:LOW,(1+0 UPGRADE TO XPIC WIT
</t>
  </si>
  <si>
    <t>6730521
6730522
6732263
6730545</t>
  </si>
  <si>
    <t>21-12-2024
21-Dec-2024
26-Dec-2024
21-Dec-2024</t>
  </si>
  <si>
    <t>63630
21210
31815
14847.00</t>
  </si>
  <si>
    <t>CGHODUPA3
CGHODUPI7
CGHODUPA3
CGHODUPI7
CGHODUPX5
CGHODUPV9
CGHODUPX5
CGHODUPV9</t>
  </si>
  <si>
    <t>CGHODUPA3 BR-0303-0 MW RADIO:IP-50CX-E-13-266-05W08-H,FREQ UENCY BAND:13GHZ,TX POWER
CGHODUPI7 CGHODUPI7 BR-0315-0 MW RADIO:IP-50CX-E-13-266-05W08-L,FREQ BAND:13GHZ,TX POWER OUTPUT:26
CGHODUPA3 BR-0303-0 MW RADIO:IP-50CX-E-13-266-05W08-H,FREQ UENCY BAND:13GHZ,TX POWER
CGHODUPI7 BR-0315-0 MW RADIO:IP-50CX-E-13-266-05W08-L,FREQ BAND:13GHZ,TX POWER OUTPUT:26
CGHODUPX5 BR-0323-0 MW RADIO:IP-50CX-E-18-H-H,FREQ BAND:18 GHZ,TX POWER OUTPUT:24
CGHODUPV9 BR-0324-0 MW RADIO:IP-50CX-E-18-H-L,FREQ BAND:18 GHZ,TX POWER OUTPUT:24
CGHODUPX5 BR-0323-0 MW RADIO:IP-50CX-E-18-H-H,FREQ BAND:18 GHZ,TX POWER OUTPUT:24
CGHODUPV9 BR-0324-0 MW RADIO:IP-50CX-E-18-H-L,FREQ BAND:18 GHZ,TX POWER OUTPUT:24</t>
  </si>
  <si>
    <t>30
30
10
10
15
15
7
7</t>
  </si>
  <si>
    <t>BAL MO U.P.East/PUR/70662
BAL MO U.P.East/PUR/70811
BAL MO U.P.East/PUR/70813
BAL MO U.P.East/PUR/70684</t>
  </si>
  <si>
    <t>SIN76028746</t>
  </si>
  <si>
    <t>CGHODUPZ9 BR-0321-0 MW RADIO:IP-50CX-E-18-L-H,FREQ BAND:18 GHZ,TX POWER OUTPUT:24
CGHODUPX6 BR-0322-0 MW RADIO:IP-50CX-E-18-L-L,FREQ BAND:18 GHZ,TX POWER OUTPUT:24</t>
  </si>
  <si>
    <t>6730283
6729313
6729601
6730261</t>
  </si>
  <si>
    <t>18-12-2024
21-Dec-2024
23-Dec-2024
17-Dec-2024</t>
  </si>
  <si>
    <t>21210
2121.00
29694.00
19089.00</t>
  </si>
  <si>
    <t>10
10
1
1
14
14
4
4</t>
  </si>
  <si>
    <t>BAL MO Punjab/PUR/62055
BAL MO Punjab/PUR/61738
BAL MO Punjab/PUR/61605
BAL MO Punjab/PUR/61163</t>
  </si>
  <si>
    <t>SIN76028747</t>
  </si>
  <si>
    <t xml:space="preserve">B0HODUNJ2 BR-0334-0 MICROWAVE RADIO,MODEL:IP-50E-DX0H-H-ESSQ,FREQUENCY BAND:80 GHZ,TX
B0HODUNE9 BR-0335-0 MICROWAVE RADIO,MODEL:IP-50E-DX0H-L-ESSQ,FREQUENCY BAND:80 GHZ,TX
</t>
  </si>
  <si>
    <t>12
12</t>
  </si>
  <si>
    <t>BAL MO MADHYA PRADESH/PUR/52579</t>
  </si>
  <si>
    <t>F569951</t>
  </si>
  <si>
    <t>RJ10GB7110</t>
  </si>
  <si>
    <t>DISPATCHED DTD. 07-04-2025///VEHICLE NO. RJ10GB7110  MOB NO. 8080888477/9116821176</t>
  </si>
  <si>
    <t>CGHODUQY4
CGHODUQI4</t>
  </si>
  <si>
    <t xml:space="preserve">CGHODUQY4 BR-0328-0 MW RADIOIP-50CX-E-15-420-08W15-H FB 15 GHZ (8W15)TXP 25 DBM HIGH1+0 UPGRD TO XPIC WITH OMT
CGHODUQI4 BR-0329-0 MW RADIO:IP-50CX-E-15-420-08W15-L,FB1 5 GHZ (8W15)TXP:25 DBM LOW 1+0 UPGRD TO XPIC WITH OMT </t>
  </si>
  <si>
    <t>6
6</t>
  </si>
  <si>
    <t>BAL MO U.P.East/PUR/70811</t>
  </si>
  <si>
    <t>CGHODUPX4 BR-0327-0 MW RADIO IP-50CX-E-15-420-01W08-H,FB 15 GHZ 1W8 TXP:25 DBM HIGH 1+0 UPGRD TO XPIC WITH OMT 
CGHODUPX2 BR-0326-0 MW RADIOIP-50CX-E-15-420-01W08-L,FB 15 GHZ 1W8 TXP 25 DBM LOW 1+0 UPGRD TO XPIC WITH OMT</t>
  </si>
  <si>
    <t>63
63</t>
  </si>
  <si>
    <t>BAL-MO-MPCG-Chhattisgarh/PUR/10002591</t>
  </si>
  <si>
    <t>CHHATISHGARH</t>
  </si>
  <si>
    <t>CGHODUPX4 
CGHODUPX2</t>
  </si>
  <si>
    <t>60
60</t>
  </si>
  <si>
    <t>6730250
6730258</t>
  </si>
  <si>
    <t>19-Dec-2024
19-Dec-2024</t>
  </si>
  <si>
    <t>46662
6363</t>
  </si>
  <si>
    <t>CGHODUQY4 
CGHODUQY4
CGHODUPX2
CGHODUQI4
CGHODUPX4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</si>
  <si>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</si>
  <si>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22
22
2
2
1
1</t>
  </si>
  <si>
    <t>BAL MO Punjab/PUR/62058
BAL MOPunjab/PUR/61738</t>
  </si>
  <si>
    <t>6730252
6730267</t>
  </si>
  <si>
    <t>8484
8484</t>
  </si>
  <si>
    <t>CGHODUQY4
CGHODUQI4
CGHODUPX4
CGHODUPX2
CGHODUQY4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</si>
  <si>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</si>
  <si>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4
4
2
2
2</t>
  </si>
  <si>
    <t>BAL-MO-HARYANA-HARYANA/PUR/10 008996
BAL-MO-HARYANA-HARYANA/PUR/10 008996</t>
  </si>
  <si>
    <t>993983
993985
993987
993989
993990</t>
  </si>
  <si>
    <t>25-Mar-2025
25-Mar-2025
25-Mar-2025
25-Mar-2025
25-Mar-2025</t>
  </si>
  <si>
    <t xml:space="preserve">21280
33440
18240
158080
6080
</t>
  </si>
  <si>
    <t xml:space="preserve">ELE001201 - MUX - NPT - STANDALONE : OTP10 T 10G TUNABLE SFP  ITEM CODE - ON322783 </t>
  </si>
  <si>
    <t>35
55
30
260
10</t>
  </si>
  <si>
    <t>BAL LDS NLD/PUR/2055149
BAL LDS NLD/PUR/2055271
BAL LDS NLD/PUR/2055279
BAL LDS NLD/PUR/2055265
BAL LDS NLD/PUR/2055147</t>
  </si>
  <si>
    <t>8734476 </t>
  </si>
  <si>
    <t>1572206 </t>
  </si>
  <si>
    <t xml:space="preserve">Out Bond </t>
  </si>
  <si>
    <t>OUT BOND</t>
  </si>
  <si>
    <t>BAL-ANG-UASL-MUMBAI-MAHARASHTRA/PUR/10005062</t>
  </si>
  <si>
    <t>42J0345811</t>
  </si>
  <si>
    <t>AAI0034190</t>
  </si>
  <si>
    <t>AAI0034186</t>
  </si>
  <si>
    <t>AAI0034187</t>
  </si>
  <si>
    <t>WORLDWIDE</t>
  </si>
  <si>
    <t>AAI0034189</t>
  </si>
  <si>
    <t>AAI0034188</t>
  </si>
  <si>
    <t>AAI0034185</t>
  </si>
  <si>
    <t>1
1</t>
  </si>
  <si>
    <t>F571424</t>
  </si>
  <si>
    <t xml:space="preserve">PRE ALERT DOCUMENT LATE RECEIVED </t>
  </si>
  <si>
    <t>11
11</t>
  </si>
  <si>
    <t>BAL MO Punjab/PUR/62314</t>
  </si>
  <si>
    <t>F571464</t>
  </si>
  <si>
    <t>6730297
6730481</t>
  </si>
  <si>
    <t>106050
4242.00</t>
  </si>
  <si>
    <t xml:space="preserve">CGHODUPZ9
CGHODUPX6
</t>
  </si>
  <si>
    <t>50
50
2
2</t>
  </si>
  <si>
    <t>Hexacom MO Rajasthan/PUR/65758</t>
  </si>
  <si>
    <t>RAJASTHAN</t>
  </si>
  <si>
    <t>Anurag Sharma</t>
  </si>
  <si>
    <t>SIN76028730</t>
  </si>
  <si>
    <t>DACHSER</t>
  </si>
  <si>
    <t>993991
993992
993993
993994
993995</t>
  </si>
  <si>
    <t>6223.00
12446.00
31115.00
62230.00
12446.00</t>
  </si>
  <si>
    <t>ECILCD056 - OTR200P2_CF 200GCOHERENT -1510NM SFP ITEM CODE - ON327185</t>
  </si>
  <si>
    <t>ON327185</t>
  </si>
  <si>
    <t>1
2
5
10
2</t>
  </si>
  <si>
    <t>BAL LDS NLD/PUR/2054794
BAL LDS NLD/PUR/2054910
BAL LDS NLD/PUR/2055267
BAL LDS NLD/PUR/2055277
BAL LDS NLD/PUR/2055151</t>
  </si>
  <si>
    <t>F524642</t>
  </si>
  <si>
    <t>F524684</t>
  </si>
  <si>
    <t>582 </t>
  </si>
  <si>
    <t>538 </t>
  </si>
  <si>
    <t>646 </t>
  </si>
  <si>
    <t>REVISED AWB RECEVIED ON 09-04-2025</t>
  </si>
  <si>
    <t>CGHODUPA3
CGHODUPI7</t>
  </si>
  <si>
    <t>CGHODUPA3 BR-0303-0 MW RADIO:IP-50CX-E-13-266-05W08-H,FREQ UENCY BAND:13GHZ,TX POWER OUTPUT:26 DBM,TYPE HIGH(1+0 UPGRAD 
CGHODUPI7 BR-0315-0 MW RADIO:IP-50CX-E-13-266-05W08-L,FREQ BAND:13GHZ,TX POWER OUTPUT:26 DBM,TYPE:LOW(1+0 UPGRADE TO X</t>
  </si>
  <si>
    <t>BAL MO U.P.East/PUR/70484</t>
  </si>
  <si>
    <t>Lucknow, UTTAR PRADESH</t>
  </si>
  <si>
    <t>B0HODUNJ2 BR-0334-0 MICROWAVE RADIO,MODEL:IP-50E-DX0H-H-ESSQ,FREQUENCY BAND:80 GHZ,TX POWER OUTPUT:18 DBM,TYPE:HIGH
B0HODUNE9 BR-0335-0 MICROWAVE RADIO,MODEL:IP-50E-DX0H-L-ESSQ,FREQUENCY BAND:80 GHZ,TX POWER OUTPUT:18 DBM,TYPE:LOW</t>
  </si>
  <si>
    <t>BAL MO/Punjab/PUR/62314</t>
  </si>
  <si>
    <t>B0HODUNJ2.
B0HODUNE9</t>
  </si>
  <si>
    <t>BAL-MO-UPW-UP/PUR/10015109</t>
  </si>
  <si>
    <t>CGHODUPX4 BR-0327-0 MW RADIO IP-50CX-E-15-420-01W08-H,FB 15 GHZ 1W8 TXP:25 DBM HIGH 1+0 UPGRD TO XPIC WITH OMT CGHODUPX2 BR-0326-0 MW RADIOIP-50CX-E-15-420-01W08-L,FB 15 GHZ 1W8 TXP 25 DBM LOW 1+0 UPGRD TO XPIC WITH OMT</t>
  </si>
  <si>
    <t>35
35</t>
  </si>
  <si>
    <t>MW Radio:IP-50CX-E-13-266-05W08-H,Frequency band:13Ghz,Tx Power output:26 dBm,Type High(1+0 Upgrade to XPIC With OMT)
MW Radio:IP-50CX-E-13-266-05W08-L,Freq Band:13Ghz,Tx Power output:26 dBm,Type:Low(1+0 Upgrade to XPIC With OMT)</t>
  </si>
  <si>
    <t>45
45</t>
  </si>
  <si>
    <t>6730520
6729326</t>
  </si>
  <si>
    <t>19/12/2024
19/12/2024</t>
  </si>
  <si>
    <t>67872
61,509</t>
  </si>
  <si>
    <t>CGHODUPX5
CGHODUPV9
CGHODUPA3
CGHODUPI7</t>
  </si>
  <si>
    <t>MW Radio:IP-50CX-E-18-H-H,Freq Band:18 Ghz,Tx Power output:24 dBm,Type:High,(1+0 Upgrade to XPIC With OMT)
MW Radio:IP-50CX-E-18-H-L,Freq Band:18 Ghz,Tx Power output:24 dBm,Type:Low,(1+0 Upgrade to XPIC With OMT) 
MW Radio:IP-50CX-E-13-266-05W08-H,Frequency band:13Ghz,Tx Power output:26 dBm,Type High(1+0 Upgrade to XPIC With OMT)
MW Radio:IP-50CX-E-13-266-05W08-L,Freq Band:13Ghz,Tx Power output:26 dBm,Type:Low(1+0 Upgrade to XPIC With OMT)</t>
  </si>
  <si>
    <t>32
32
29
29</t>
  </si>
  <si>
    <t>BAL MO U.P.East/PUR/70439
BAL MO U.P.East/PUR/70484</t>
  </si>
  <si>
    <t xml:space="preserve"> 09-Apr-2025</t>
  </si>
  <si>
    <t>F571920</t>
  </si>
  <si>
    <t>6729318
6732555</t>
  </si>
  <si>
    <t>17-Dec-2024
30-Dec-2024</t>
  </si>
  <si>
    <t>95445.00
82719.00</t>
  </si>
  <si>
    <t>45
45
39
39</t>
  </si>
  <si>
    <t>BAL MO Gujarat/PUR/48941
BAL MO Gujarat/PUR/48941</t>
  </si>
  <si>
    <t>F571532</t>
  </si>
  <si>
    <t>F571944</t>
  </si>
  <si>
    <t>F571976</t>
  </si>
  <si>
    <t>F571571</t>
  </si>
  <si>
    <t>F571812</t>
  </si>
  <si>
    <t>BAL MO Gujarat/PUR/48941</t>
  </si>
  <si>
    <t>F571898</t>
  </si>
  <si>
    <t>BAL MO Gujarat/PUR/49769</t>
  </si>
  <si>
    <t>F571575</t>
  </si>
  <si>
    <t>CIENA</t>
  </si>
  <si>
    <t xml:space="preserve">CERAGON </t>
  </si>
  <si>
    <t xml:space="preserve">ECI </t>
  </si>
  <si>
    <t xml:space="preserve">CIENA </t>
  </si>
  <si>
    <t>ECI</t>
  </si>
  <si>
    <t>3416350TSSFP233</t>
  </si>
  <si>
    <t>AVIAT</t>
  </si>
  <si>
    <t>BAL-MO-AP-Telangana/PUR/10018215</t>
  </si>
  <si>
    <t>SINGAPORE</t>
  </si>
  <si>
    <t>10-04-2025 customs holiday on account of Mahavir Jayanti</t>
  </si>
  <si>
    <t>ECD-25 040843</t>
  </si>
  <si>
    <t>ECD -25 040842</t>
  </si>
  <si>
    <t>ECD -25 040846</t>
  </si>
  <si>
    <t>ECD-25 040847</t>
  </si>
  <si>
    <t>ECD-25 040845</t>
  </si>
  <si>
    <t>ECD -25 040844</t>
  </si>
  <si>
    <t>F571478</t>
  </si>
  <si>
    <t>F571885</t>
  </si>
  <si>
    <t>F571595</t>
  </si>
  <si>
    <t>452 </t>
  </si>
  <si>
    <t>2068 </t>
  </si>
  <si>
    <t>431 </t>
  </si>
  <si>
    <t>116 </t>
  </si>
  <si>
    <t>81 </t>
  </si>
  <si>
    <t>SHIPMENT DISPATCHED 10-4-2025//VEHICLE NO,MH03 CP 8728 MOB.7021883595</t>
  </si>
  <si>
    <t xml:space="preserve">AVIAT </t>
  </si>
  <si>
    <t>6729325
6735194</t>
  </si>
  <si>
    <t>19-12-2024
30-12-2024</t>
  </si>
  <si>
    <t>127260
50,904.00</t>
  </si>
  <si>
    <t>60
60
24
24</t>
  </si>
  <si>
    <t>CGHODUPA3
CGHODUPI7
CGHODUPX5
CGHODUPV9</t>
  </si>
  <si>
    <t>AI2025-0020116</t>
  </si>
  <si>
    <t>57
57</t>
  </si>
  <si>
    <t>BAL MO Punjab/PUR/62055</t>
  </si>
  <si>
    <t xml:space="preserve">F571448 </t>
  </si>
  <si>
    <t>1034 </t>
  </si>
  <si>
    <t>163 </t>
  </si>
  <si>
    <t>65 </t>
  </si>
  <si>
    <t>69 </t>
  </si>
  <si>
    <t>F571772</t>
  </si>
  <si>
    <t>F572075</t>
  </si>
  <si>
    <t>23
23</t>
  </si>
  <si>
    <t>F572041</t>
  </si>
  <si>
    <t xml:space="preserve">BAL-MO-ROM-HARYANA-HARYANA/PUR/10009467
</t>
  </si>
  <si>
    <t>F607932</t>
  </si>
  <si>
    <t>AI2025-0020117</t>
  </si>
  <si>
    <t>MH16CC2093</t>
  </si>
  <si>
    <t>DISPATCHED ON DTD. 12-04-2025//VEHICLE NO.MH16CC2093 ,MOB. NO.8390118042</t>
  </si>
  <si>
    <t>MH48AG2949</t>
  </si>
  <si>
    <t>DISPATCHED ON DTD. 12-04-2025//VEHICLE NO.MH48AG2949 ,MOB. NO.9974068722</t>
  </si>
  <si>
    <t>MP46G3001</t>
  </si>
  <si>
    <t>DISPATCHED ON DTD. 12-04-2025//VEHICLE NO. MP46G3001 ,MOB. NO.9827808058</t>
  </si>
  <si>
    <t>MH04KU3259</t>
  </si>
  <si>
    <t>DISPATCHED ON DTD. 12-04-2025//VEHICLE NO.MH04KU3259  ,MOB. NO.8290863101</t>
  </si>
  <si>
    <t>6730282
6730480</t>
  </si>
  <si>
    <t>18-12-2024
19-12-2024</t>
  </si>
  <si>
    <t>49791
4742</t>
  </si>
  <si>
    <t>CGHODUPA5 BR-0304-0 MW RADIO:IP-50CX-E-18-L-H,FREQUENCY BAND:18 GHZ,TX POWER OUTPUT:24 DBM,TYPE:HIGH,WITH OMT
CGHODUPC3 BR-0305-0 MW RADIO:IP-50CX-E-18-L-L,FREQUENCY BAND:18 GHZ,TX POWER OUTPUT:24 DBM,TYPE:LOW,WITH OMT</t>
  </si>
  <si>
    <t>CGHODUPA5
CGHODUPA5</t>
  </si>
  <si>
    <t>21
21
2
2</t>
  </si>
  <si>
    <t>BAL-MO-ROM-Maharashtra/PUR/10022783</t>
  </si>
  <si>
    <t>618-41617704</t>
  </si>
  <si>
    <t>F571967</t>
  </si>
  <si>
    <t>14
14</t>
  </si>
  <si>
    <t>BAL-MO-MPCG-Chhattisgarh/PUR/10002610</t>
  </si>
  <si>
    <t>176-05525030</t>
  </si>
  <si>
    <t>F571663</t>
  </si>
  <si>
    <t>6733472
6735243</t>
  </si>
  <si>
    <t>95445
23331</t>
  </si>
  <si>
    <t>45
45
11
11</t>
  </si>
  <si>
    <t>Hexacom MO Rajasthan/PUR/66242</t>
  </si>
  <si>
    <t>F571770</t>
  </si>
  <si>
    <t>50
50</t>
  </si>
  <si>
    <t>Hexacom MO Rajasthan/PUR/66988</t>
  </si>
  <si>
    <t>176-05524960</t>
  </si>
  <si>
    <t>F607901</t>
  </si>
  <si>
    <t>10190222 </t>
  </si>
  <si>
    <t>AWB CORRECTIION</t>
  </si>
  <si>
    <t>LDS NLD</t>
  </si>
  <si>
    <t>Rahul Gupta</t>
  </si>
  <si>
    <t>PRE ALERT DOCUMENT RECEIVED ON 11-04-2025 6 PM 
REVISED DOCUMENT RECEVIED  DTD. 14-04-225</t>
  </si>
  <si>
    <t>MH04LY1656</t>
  </si>
  <si>
    <t>DISPATCHED ON DTD. 14-04-2025//VEHICLE NO.MH04LY1656 ,MOB. NO.7718044888</t>
  </si>
  <si>
    <t>CGHODUPV3
CGHODUPX3</t>
  </si>
  <si>
    <t>CGHODUPV3 BR-0320-0 MW RADIO:IP-50CX-E-15-420-08W15-H,FREQUENCY BAND:15 GHZ (8W15),TX POWER OUTPUT:25 DBM,TYPE:HIGH,WITH
CGHODUPX3 BR-0325-0 MW RADIO:IP-50CX-E-15-420-08W15-L,FREQUENCY BAND:15 GHZ (8W15),TX POWER OUTPUT:25 DBM,TYPE:LOW,WI</t>
  </si>
  <si>
    <t>F607890 </t>
  </si>
  <si>
    <t>CGHODUPX1 BR-0318-0 MW RADIO:IP-50CX-E-15-420-01W08-H,FREQ UENCY BAND:15 GHZ (1W8),TX POWER
CGHODUPV2 BR-0319-0 MW RADIO:IP-50CX-E-15-420-01W08-L,FREQ UENCY BAND:15 GHZ (1W8),TX POWER</t>
  </si>
  <si>
    <t xml:space="preserve">AWB CORRECTIION </t>
  </si>
  <si>
    <t>16
16</t>
  </si>
  <si>
    <t>F571662</t>
  </si>
  <si>
    <t>AWB CORRECTION</t>
  </si>
  <si>
    <t xml:space="preserve">BAL MO UPW-UP/PUR/10015109
</t>
  </si>
  <si>
    <t>F571609</t>
  </si>
  <si>
    <t>10
10</t>
  </si>
  <si>
    <t xml:space="preserve">BAL MO UPW-UP/PUR/10015452
</t>
  </si>
  <si>
    <t>F571867</t>
  </si>
  <si>
    <t>F571897</t>
  </si>
  <si>
    <t>F607954</t>
  </si>
  <si>
    <t>RJ49GA6048</t>
  </si>
  <si>
    <t>SHIPMENT DISPATCHED DTD.15-04-2025//VEHICLE NO. RJ49GA6048</t>
  </si>
  <si>
    <t>15-042025</t>
  </si>
  <si>
    <t>204 </t>
  </si>
  <si>
    <t>1019 </t>
  </si>
  <si>
    <t>258 </t>
  </si>
  <si>
    <t>DL 1 LAH 0889</t>
  </si>
  <si>
    <t>SHIPMENT DISPATCHED DTD.15-04-2025//VEHICLE NO. DL 1 LAH 0889 MOB NO. 8860533136</t>
  </si>
  <si>
    <t xml:space="preserve">MH03 CP 8728 </t>
  </si>
  <si>
    <t>SHIPMENT DISPATCHED 15-4-2025//VEHICLE NO,MH03 CP 8728 MOB.7021883595</t>
  </si>
  <si>
    <t>OB BOE REQUEST MAILED 10-04-2025 , CONFIRM MAILED 16-04-2025</t>
  </si>
  <si>
    <t xml:space="preserve">OUTBOND </t>
  </si>
  <si>
    <t>GJ 01 JT 4159</t>
  </si>
  <si>
    <t>SHIPMENT DISPATCHED DTD.16-04-2024//VEHICLE NO.GJ 01 JT 4159 MOB.9157014539</t>
  </si>
  <si>
    <t>17-0-2025</t>
  </si>
  <si>
    <t xml:space="preserve">                       SHIPMENT DISPATCHED DTD. 16-04-2025 THROUGH GATI DOCK NO. 416020407</t>
  </si>
  <si>
    <t>GATI Docket No 416020407</t>
  </si>
  <si>
    <t>SHIPMENT DISPATCHED DTD.17-04-2025// VEHICLE NO. MP46ZA9698 MOB NO.9301882431</t>
  </si>
  <si>
    <t xml:space="preserve">MP46ZA9698 </t>
  </si>
  <si>
    <t>232-10555171</t>
  </si>
  <si>
    <t>SIN-7602 8849</t>
  </si>
  <si>
    <t>BAL-MO-UPW-UP/PUR/10015110</t>
  </si>
  <si>
    <t>232-10555193</t>
  </si>
  <si>
    <t>SIN-7602 8848</t>
  </si>
  <si>
    <t>43
43</t>
  </si>
  <si>
    <t>BAL MO Mumbai/PUR/93892</t>
  </si>
  <si>
    <t>SIN-7602 8847</t>
  </si>
  <si>
    <t>1940083 </t>
  </si>
  <si>
    <t>10778236 </t>
  </si>
  <si>
    <t>1.This is to inform you that, we have file the BOE for subject shipment but due to icegate system issue BOE NO. not yet generated. 17-04-2025
2. CUSTOM HOLIDAY IN A.C OF GOOD FRIDAY</t>
  </si>
  <si>
    <t>1685 </t>
  </si>
  <si>
    <t>1249 </t>
  </si>
  <si>
    <t>22 </t>
  </si>
  <si>
    <t>408 </t>
  </si>
  <si>
    <t>82 </t>
  </si>
  <si>
    <t>237 </t>
  </si>
  <si>
    <t>517 </t>
  </si>
  <si>
    <t>109 </t>
  </si>
  <si>
    <t>340 </t>
  </si>
  <si>
    <t>250315118
250404859</t>
  </si>
  <si>
    <t>15-Apr-2025
15-Apr-2025</t>
  </si>
  <si>
    <t>4229.40
23313.76</t>
  </si>
  <si>
    <t>Guadalajara</t>
  </si>
  <si>
    <t>Tarachand.Tawre</t>
  </si>
  <si>
    <t>020-19966133</t>
  </si>
  <si>
    <t>42J0345921</t>
  </si>
  <si>
    <t>28-21-2024</t>
  </si>
  <si>
    <t>19
19</t>
  </si>
  <si>
    <t>607-84919730</t>
  </si>
  <si>
    <t>AAI-0034286</t>
  </si>
  <si>
    <t xml:space="preserve">DLEIVERY DISPATCHE DTD.05-04-2025///VEHILCE NO.MH47AS 4788  MOB NO.9632498514 </t>
  </si>
  <si>
    <t>FORM I RECEIVED ON 21-04-2025</t>
  </si>
  <si>
    <t>RAHUL GUPTA</t>
  </si>
  <si>
    <t>AI2025-0021615</t>
  </si>
  <si>
    <t>607-37913750</t>
  </si>
  <si>
    <t>CWSSFTA01 WAVELENGTH SELECTIVE SWITCH (WSS) FLEX C- BAND W / OPM 9X1 CIRCUIT PACK NTK553LB</t>
  </si>
  <si>
    <t>BAL LDS NLD/PUR/2054982</t>
  </si>
  <si>
    <t>AI2025-0021616</t>
  </si>
  <si>
    <t>BAL LDS NLD/PUR/2055455</t>
  </si>
  <si>
    <t>AI2025-0022045</t>
  </si>
  <si>
    <t>BAL LDS NLD/PUR/2055400</t>
  </si>
  <si>
    <t>AI2025-0022043</t>
  </si>
  <si>
    <t>AI2025-0022044</t>
  </si>
  <si>
    <t>BAL LDS NLD/PUR/2055352</t>
  </si>
  <si>
    <t>AI2025-0022042</t>
  </si>
  <si>
    <t>CERAGON</t>
  </si>
  <si>
    <t>BAL-MO-ROM-Maharashtra/PUR/10024392</t>
  </si>
  <si>
    <t>F664894</t>
  </si>
  <si>
    <t>F670768</t>
  </si>
  <si>
    <t>MADHYA PRADESH</t>
  </si>
  <si>
    <t>DL01LAL0617</t>
  </si>
  <si>
    <t>OB SHIPMENT DISPATCHED DT.21.04.2025//VEHCILE NO. DL01LAL0617 MOBILIE NO. 6203606395</t>
  </si>
  <si>
    <t>MH46CU.5321</t>
  </si>
  <si>
    <t>OB SHIPMENT DISPATCHED DT.21.04.2025//VEHCILE NO. MH46CU.5321 MOBILIE NO. +917827163528</t>
  </si>
  <si>
    <t>MH14HU5295</t>
  </si>
  <si>
    <t>OB SHIPMENT DISPATCHED DT.21.04.2025//VEHCILE NO MH14HU5295  MOBILIE NO. 9049383190</t>
  </si>
  <si>
    <t xml:space="preserve">MH46BB6951 </t>
  </si>
  <si>
    <t>OB SHIPMENT DISPATCHED DT.21.04.2025//VEHCILE NO MH46BB6951 MOBILIE NO. 9867584328</t>
  </si>
  <si>
    <t xml:space="preserve">INV DATE </t>
  </si>
  <si>
    <t xml:space="preserve">MUM   </t>
  </si>
  <si>
    <t>3189 </t>
  </si>
  <si>
    <t>F674665</t>
  </si>
  <si>
    <t>BAL-ANG-UASL-MUMBAI-MAHARASHTRA/PUR/10005058
BAL-ANG-UASL-MUMBAI- MAHARASHTRA/PUR/10005098</t>
  </si>
  <si>
    <t>BAL-ANG-UASL-MUMBAI-MAHARASHTRA/PUR/10002476</t>
  </si>
  <si>
    <t>057-55423734</t>
  </si>
  <si>
    <t>42J0345981</t>
  </si>
  <si>
    <t>BAL-ANG-UASL-MUMBAI-MAHARASHTRA/PUR/10005094</t>
  </si>
  <si>
    <t>42J0345950</t>
  </si>
  <si>
    <t>BAL-ANG-UASL-MUMBAI-MAHARASHTRA/PUR/10005126</t>
  </si>
  <si>
    <t>42J0345949</t>
  </si>
  <si>
    <t>IR49466</t>
  </si>
  <si>
    <t>ECD-25 040940</t>
  </si>
  <si>
    <t>BAL-MO-HARYANA-HARYANA/PUR/10009485
BAL-MO-HARYANA-HARYANA/PUR/10009485</t>
  </si>
  <si>
    <t>F695089</t>
  </si>
  <si>
    <t>BAL MO Mumbai/PUR/94723</t>
  </si>
  <si>
    <t>F694992</t>
  </si>
  <si>
    <t>DL01LAN7401</t>
  </si>
  <si>
    <t>OB OOC DONE 19-04-2025// SHIPMENT DISPATCHED DTD.23-04-25 //VEHICLE NO . DL01LAN7401  M. 9990100485.</t>
  </si>
  <si>
    <t>OB OOC DONE 19-04-2025// SHIPMENT DISPATCHED DTD.23-04-25 //VEHICLE NO . HR38AC6773   M. 8854885371</t>
  </si>
  <si>
    <t>HR38AC6773</t>
  </si>
  <si>
    <t>23-0-2025</t>
  </si>
  <si>
    <t>OB process mailed 19-04-2025 confirm mailed received 22-04-2025
Form I received  dtd. 24-04-2025</t>
  </si>
  <si>
    <t>1.OB boe request  mailed  send dt.24-04-2025</t>
  </si>
  <si>
    <t>1.OB boe request mailed dtd.10.04.25 
2. confirmation mailed 24-04-25</t>
  </si>
  <si>
    <t>1.OB BOE REQUEST MAILED 10-04-2025 
 CONFIRM MAILED 16-04-2025</t>
  </si>
  <si>
    <t xml:space="preserve">OB boe request mailed  dtd. 17-04-2025 ,
confirm mailed received on 23-04-2025  evening  7pm </t>
  </si>
  <si>
    <t xml:space="preserve">6900711
 6900955
</t>
  </si>
  <si>
    <t>33620.00 
67240.00</t>
  </si>
  <si>
    <t>B0HODUNJ2 
 B0HODUNE9</t>
  </si>
  <si>
    <t>MH14GU1539</t>
  </si>
  <si>
    <t>OB OOC done dtd.23-04-2025//Shipment dispatched dtd. 24-04-2025 
vehicle no. MH14GU1539 mobile no.9970704413</t>
  </si>
  <si>
    <t>RJ10GC0173</t>
  </si>
  <si>
    <t>OB  OOC DONE 23-04-2025 //Shipment dispatched dtd. 24-04-2025 
vehicle no.RJ10GC0173 mob.  99046 92362</t>
  </si>
  <si>
    <t>OB  OOC DONE  DT. 22-04-2025// shipment dispatched dtd. 24-04-2025 
vehicle no.  RJ10GC0173 Mob no. 99046 92362</t>
  </si>
  <si>
    <t xml:space="preserve"> 24-Apr-2025</t>
  </si>
  <si>
    <t>1.OB boe request  mailed  send dt.24-04-2025
2.confirmation dtd,24-04-2025
3.We are currently unable to file the Bill of Entry (BOE) as the ICEGATE system has been down since yesterday. 
We will proceed with the filing on Monday only as per  your instruction</t>
  </si>
  <si>
    <t>1.OB boe request  mailed  send dt.24-04-2025
2.confirmation dtd. 25-04-2025
3.We are currently unable to file the Bill of Entry (BOE) as the ICEGATE system has been down since yesterday. 
We will proceed with the filing on Monday only as per  your instruction.</t>
  </si>
  <si>
    <t>MH46CU2335</t>
  </si>
  <si>
    <t>OB  OOC done dtd.  23-04-2025 //Shipment dispatched dtd. 24-04-2025 
vehicle no MH46CU2335 mob. 8960173042</t>
  </si>
  <si>
    <t>UP32MN6244</t>
  </si>
  <si>
    <t>OB OOC done dtd.23-04-2025//Shipment dispatched dtd. 24-04-2025 
vehicle no. UP32MN6244   mobile no. 8604122637</t>
  </si>
  <si>
    <t>515 </t>
  </si>
  <si>
    <t>3031 </t>
  </si>
  <si>
    <t>2033 </t>
  </si>
  <si>
    <t>1627 </t>
  </si>
  <si>
    <t>1708 </t>
  </si>
  <si>
    <t>190 </t>
  </si>
  <si>
    <t>949 </t>
  </si>
  <si>
    <t>595 </t>
  </si>
  <si>
    <t>1.OB boe request  mailed  send dt.24-04-2025
2.confirmation malied  dtd.25-04-25</t>
  </si>
  <si>
    <t>OB BOE request mailed  10-04-2025 , 
confirmation mailed  16-04-2025</t>
  </si>
  <si>
    <t>WPC licence received 25-04-2025</t>
  </si>
  <si>
    <t>2307053 </t>
  </si>
  <si>
    <t>415270 </t>
  </si>
  <si>
    <t>HP12K1757</t>
  </si>
  <si>
    <t>Ob OOC done dtd.24-04-2025//shipment dispatched dtd.25-04-25 vehicle no.HP12K1757  mob no.9882204757</t>
  </si>
  <si>
    <t>RJ14GP8284</t>
  </si>
  <si>
    <t xml:space="preserve">OB  BOE Custom Duty Requested Dtd.22-04-2025//shipement dispatched dtd.25-04-25 vehicle no.RJ14GP8284 mob no.9521157401  </t>
  </si>
  <si>
    <t>1017 </t>
  </si>
  <si>
    <t>1139 </t>
  </si>
  <si>
    <t>OB OOC done dtd.23-04-2025 // Transportaion quote approved dt. 24-04-25 late evening//shipment dispatched dtd. 25-04-25 vehicle no. MH04LY2041  mob.9454632039</t>
  </si>
  <si>
    <t>OB BOE REQUEST MAILED 10-04-2025 , 
CONFIRM MAILED 23-04-2025</t>
  </si>
  <si>
    <t>OB OOC done dtd.23-04-2025 // Transportaion quote approved dt. 24-04-25 late evening//shipment dispatched dtd. 26-04-25 vehicle no. MH04JU8755   mob.7254937911</t>
  </si>
  <si>
    <t>MH04JU8755</t>
  </si>
  <si>
    <t>MH04LY2041</t>
  </si>
  <si>
    <t>13744080 </t>
  </si>
  <si>
    <t>2473934 </t>
  </si>
  <si>
    <t>2904768 </t>
  </si>
  <si>
    <t>522858 </t>
  </si>
  <si>
    <t>5809536 </t>
  </si>
  <si>
    <t>1045716 </t>
  </si>
  <si>
    <t>8714304 </t>
  </si>
  <si>
    <t>1568575 </t>
  </si>
  <si>
    <t>11178518 </t>
  </si>
  <si>
    <t>2012133 </t>
  </si>
  <si>
    <t>1. OUTBOND confirmation received on 28-04-25</t>
  </si>
  <si>
    <t>1.OUTBOND confirmation received dtd. 28-04-2025</t>
  </si>
  <si>
    <t>MH48DC0770</t>
  </si>
  <si>
    <t>OB custom duty requested dt. 24-04-25//OOC done dtd. 26-04-2025//shipment dispatched today dtd.28-04-2025 vehicle no.MH48DC0770 mob.8490899338</t>
  </si>
  <si>
    <t>OB Confirmation received on 23-04-25 // OB  custom duty requested 24-04-25//OOC done dtd. 26-04-2025//shipment dispatched today dtd.28-04-2025 vehicle no.MH48DC0770 mob.8490899338</t>
  </si>
  <si>
    <t>WPC Expired on 07.03.2025 // Valid WPC received dt. 24.04.25 // /OB  custom duty payment requested 24.04.25//OOC done dtd.26-04-2025//shipment dispatched today dtd.28-04-2025 vehicle no.MH46CL 7848 mob.9793441683</t>
  </si>
  <si>
    <t>MH46CL 7848</t>
  </si>
  <si>
    <t>MH09GH4935</t>
  </si>
  <si>
    <t>OB BOE filed dt. 24-04-25, custom duty requested 24.-04-25, duty paid evening dtd.28-04-2025,OOC donedtd.28-04-2025//shipment dispatched dtd. 29-04-25 vehicle no. MH09GH4935   mob.8103095659</t>
  </si>
  <si>
    <t>645 </t>
  </si>
  <si>
    <t>430 </t>
  </si>
  <si>
    <t>215 </t>
  </si>
  <si>
    <t>155 </t>
  </si>
  <si>
    <t>423 </t>
  </si>
  <si>
    <t>77 </t>
  </si>
  <si>
    <t>2277 </t>
  </si>
  <si>
    <t>CW5FTA6HC WL5E MOTRCARD 6X100G CAPACITY LICENSE 2000KM REACH LICENSE (C BAND) NTK540BD-F</t>
  </si>
  <si>
    <t xml:space="preserve">NCR </t>
  </si>
  <si>
    <t>Akiv Javed</t>
  </si>
  <si>
    <t>09801676835</t>
  </si>
  <si>
    <t>30 
30</t>
  </si>
  <si>
    <t>10
10
20
20</t>
  </si>
  <si>
    <t>BAL MO Gujarat/PUR/50242</t>
  </si>
  <si>
    <t>F722101</t>
  </si>
  <si>
    <t>BAL LDS NLD/PUR/2055426</t>
  </si>
  <si>
    <t>AI2025-0024868</t>
  </si>
  <si>
    <t>BAL-ANG-UASL-MUMBAI-MAHARASHTRA/PUR/10002475</t>
  </si>
  <si>
    <t>020-19968981</t>
  </si>
  <si>
    <t>42J0347115</t>
  </si>
  <si>
    <t>1654 </t>
  </si>
  <si>
    <t>2903225 </t>
  </si>
  <si>
    <t>522580 </t>
  </si>
  <si>
    <t>4665298 </t>
  </si>
  <si>
    <t>839754 </t>
  </si>
  <si>
    <t>8628573 </t>
  </si>
  <si>
    <t>1553143 </t>
  </si>
  <si>
    <t>MH14HU9438</t>
  </si>
  <si>
    <t xml:space="preserve">IB OOC done dtd..24.04.2025//FORM I received dtd. 24-04-25 // OB BOE to be filed on Monday as confirmed by Circle/custom duty  requsted dtd. 28-04-2025//OB BOE OOC done dtd.30-04-2025/shipment dispatched dtd.02-05-2025 vehicle no. MH14HU9438 mob.9764588617 </t>
  </si>
  <si>
    <t xml:space="preserve">IB OOC done dtd..24.04.2025//FORM I received dtd. 24-04-25 // OB BOE to be filed on Monday as confirmed by Circle/custom duty  requsted dtd. 28-04-2025//OB BOE OOC done dtd.30-04-2025//shipment dispatched dtd.02-05-2025 vehicle no. MH14HU9438 mob. 9764588617 </t>
  </si>
  <si>
    <t>IB BOE OOC done dtd.25-04-2025// //OB custom duty payment requested  dtd. 29-04-2025//OB BOE OOC done dtd.30-04-2025//shipment dispatched dtd.02-05-25 vehicle no.RJ49GA6048 mob.7340505665</t>
  </si>
  <si>
    <t>IB BOE OOC done dtd.25-04-2025// //OB csutom duty payment requested dtd.29.04.2025//OB BOE OOC done dtd.30-04-2025//shipment dispatched dtd.02-05-25 vehicle no.RJ49GA6048 mob.7340505665</t>
  </si>
  <si>
    <t xml:space="preserve">MH04LQ8080  </t>
  </si>
  <si>
    <t>MH03DV8647</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</si>
  <si>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</si>
  <si>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</si>
  <si>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MH04LQ8080   mob no. 8934956194</t>
  </si>
  <si>
    <t>OB BOE On Hold  //Wpc Licence Expired on 21-03-2025//OB custom duty payment requested dtd.29-04-2025//OOC done dtd.30-04-2025//shipment dispatched dtd.02-05-25 vehilce no. MH04LQ8080   mob no. 8934956194</t>
  </si>
  <si>
    <t>MH04MH7520</t>
  </si>
  <si>
    <t>OB FROM I received dtd. 25-04-2025///custom duty  requsted dtd. 28-04-2025//OB BOE OOC done dtd.30-04-2025//shipment dispatched dtd. 02-05-2025 vehicle no MH04MH7520 mob.8708571656</t>
  </si>
  <si>
    <t>AI2025-0025075</t>
  </si>
  <si>
    <t>MH14JL5023</t>
  </si>
  <si>
    <t>MH 02 Fx 9073</t>
  </si>
  <si>
    <t>CGHODUPV3 BR-0320-0 MW RADIO:IP-50CX-E-15-420-08W15-H,FREQUENCY BAND:15 GHZ (8W15),TX POWER OUTPUT:25 DBM,TYPE:HIGH,WITH
CGHODUPX3 BR-0325-0 MW RADIO:IP-50CX-E-15-420-08W15-L,FREQUENCY BAND:15 GHZ (8W15),TX POWER OUTPUT:25 DBM,TYPE:LOW,WITH</t>
  </si>
  <si>
    <t>BAL MO U.P. East/PUR/71744</t>
  </si>
  <si>
    <t>ECD-25 051049</t>
  </si>
  <si>
    <t>AAI0034367</t>
  </si>
  <si>
    <t>3416388MHTH241
10022480MHTH172
10022480MHTH173</t>
  </si>
  <si>
    <t>25-Apr-2025
21-Mar-2025
21-Mar-2025</t>
  </si>
  <si>
    <t>78910
60700.00
60700.00</t>
  </si>
  <si>
    <t>Bangkok</t>
  </si>
  <si>
    <t>BAL-MO-ROM-Maharashtra/PUR/10024308
BAL-MO-ROM-Maharashtra/PUR/10022480
BAL-MO-ROM-Maharashtra/PUR/10022480</t>
  </si>
  <si>
    <t>duty paid 25-04-2025//under OOC queue//shipment dispatched dtd. 03-05-2025 vehicle no.MH14JL5023 mob.9860487550</t>
  </si>
  <si>
    <t>duty paid 29-04-2025//under OOC queue//shipment dispatched dt.03-05-25 vehilce no. MH 02 FX 9073 mob no. 9152131572</t>
  </si>
  <si>
    <t>duty paid 25-04-2025//under OOC queue//shipment dispatched dt.03-05-25 vehilce no. MH 02 FX 9073 mob no. 9152131572</t>
  </si>
  <si>
    <t>MH04 LQ7496</t>
  </si>
  <si>
    <t>IB OOC done dtd..24.04.2025//FORM I received dtd. 25-04-25 // OB BOE to be filed on Monday as confirmed by Circle//OB BOE filed  28-04-25, boe under assessment//assessement done dtd.29-04-25//custom duty requested dtd.30-04-25//duty paid dtd. 30-04-25// night //OOC done dtd.02-05-2025//shipment dispatched dtd. 03-05-2025 vehicle no. MH04 LQ7496 , mob. 8828441509</t>
  </si>
  <si>
    <t>MH12 TV3324</t>
  </si>
  <si>
    <t>OB BOE On Hold  //Wpc Licence Expired on 21-03-2025//WPC licence  received dtd.  30-04-2025//OB custom duty payment  requested dtd.02-05-25//OB OOC done dtd. 03-05-2025//shipment dispatched dtd. 05-05-2025 vehicle no, MH12 TV3324  MOB. 09130919843</t>
  </si>
  <si>
    <t>9435481 </t>
  </si>
  <si>
    <t>1698387 </t>
  </si>
  <si>
    <t>9953743 </t>
  </si>
  <si>
    <t>1791674 </t>
  </si>
  <si>
    <t>14930614 </t>
  </si>
  <si>
    <t>2687510 </t>
  </si>
  <si>
    <t xml:space="preserve">BAL MO MUMBAI/PUR/93792
BAL MO MUMBAI/PUR/93843
BAL MO MUMBAI/PUR/92793
</t>
  </si>
  <si>
    <t>1277 </t>
  </si>
  <si>
    <t>10066669 </t>
  </si>
  <si>
    <t>1812000 </t>
  </si>
  <si>
    <t>752 </t>
  </si>
  <si>
    <t>736 </t>
  </si>
  <si>
    <t>BAL-ANG-UASL-NCR-HARYANA/PUR/10006152</t>
  </si>
  <si>
    <t>687045 </t>
  </si>
  <si>
    <t>302025 </t>
  </si>
  <si>
    <t>698 </t>
  </si>
  <si>
    <t xml:space="preserve">10022480MHTH174
3416388MHTH288
3416506MHTH287
</t>
  </si>
  <si>
    <t xml:space="preserve">
21-Mar-25
25-Apr-25
25-Apr-25
</t>
  </si>
  <si>
    <t>53,416.00
48,560.00
32,778.00</t>
  </si>
  <si>
    <t>BAL-MO-ROM-Maharashtra/PUR/10022480
BAL-MO-ROM-Maharashtra/PUR/10024308
BAL-MO-ROM-Maharashtra/PUR/10024351</t>
  </si>
  <si>
    <t xml:space="preserve">217-0361 2840 </t>
  </si>
  <si>
    <t>IB OOC done dtd. 28-04-2025// OB confirmation mailed send dtd.28-04-2025//OB confirmation recevied dtd.28-04-2025//OB custom duty requested dtd.05-05-2025 //OOC done dtd.06-05-2025//shipment dispatched dtd.06-05-2025 vehicle no. MH14HU9438 m. .9764588617</t>
  </si>
  <si>
    <t>Please note that the Bill of Entry (BOE) has been marked for opening and examination by Customs. However, the designated officer was unavailable yesterday, which caused a delay in the examination process.</t>
  </si>
  <si>
    <t>217-03612770</t>
  </si>
  <si>
    <t>MH04LE0832</t>
  </si>
  <si>
    <t>161 </t>
  </si>
  <si>
    <t>3096 </t>
  </si>
  <si>
    <t>3191 </t>
  </si>
  <si>
    <t>607-37914026</t>
  </si>
  <si>
    <t>11528205 </t>
  </si>
  <si>
    <t>5067799 </t>
  </si>
  <si>
    <t>Custom duty requested dtd. 06-05-2025// OOC done dtd. 07.05.2025//shipment dispatched dtd. 08-05-2025 vehicle no .MH14LL2743 mob.7887543944</t>
  </si>
  <si>
    <t>final awb received dtd.06-05-2025//Custom duty requested dtd. 06-05-2025//shipment dispatched dtd.08-05-2025 vehicle no. MH 04 LY 4989 mobile no. 9324135466</t>
  </si>
  <si>
    <t>MH 04 LY 4989</t>
  </si>
  <si>
    <t>MH14LL2743</t>
  </si>
  <si>
    <t>MH04LQ4963</t>
  </si>
  <si>
    <t>IB boe filing on hold due to KYC pending //IB assessed and under TP process.//IB OOC done dtd. 29-04-2025//OB confirmation mail send dtd. 30-4-2025//OB custom requested dtd..05-05-2025//OB OOC done dtd.07-05-2025//shipment dispatched dtd. 08-05-2025 vehicle no. MH04LQ4963 mob. 8708365731</t>
  </si>
  <si>
    <t>IB OOC Done 15-04-2025//Confirmation For Outbond mail received dtd 05-05-2025//OB custom duty requested dtd. 05-05-2025//OB OOC done dtd.07-05-2025/shipment dispatched dtd. 08-05-2025 vehicle no. MH04LQ4963 mob. 8708365731</t>
  </si>
  <si>
    <t>Ib Procedure Completed Ooc Done Dt.17-04-2025,// Confirmation For Outbond mail received dtd.05-05-2025//OB custom duty requested dtd. 05-05-2025//OB OOC done dtd.07-05-2025/shipment dispatched dtd. 08-05-2025 vehicle no. GJ31T8237  mob. 9265058891</t>
  </si>
  <si>
    <t>GJ31T8237</t>
  </si>
  <si>
    <t>MH04LE4340</t>
  </si>
  <si>
    <t>IB BOE assessed and under TP process  //IB OOC doned dt.03-05-2025//Confirmation For Outbond mail received dtd 05-05-2025//OB custom duty  requested dtd.06-05-2025//OB OOC done dtd. 07-05-2025//shipment dispatched dtd. 08-05-2025 vehicle no. MH04LE4340 mob.8780518531</t>
  </si>
  <si>
    <t>HR69E2531</t>
  </si>
  <si>
    <t xml:space="preserve">IB Procedure Completed 10.04.2025 //Confirmation For Outbond mail received dtd.24-04-2025//WPC licence recevied dtd. 30-04-2025//OB custom duty payment  requested dtd.02-05-25//OB OOC done dtd. 03-05-2025//shipment dispatched dtd. 08-05-2025 vehicle no. HR69E2531 mob.  no.9813704308 </t>
  </si>
  <si>
    <t>IB OOC done dtd. 28-04-2025// OB confirmation mailed send dtd.28-04-2025//Confirmation For Outbond mail received dtd 30-04-25//OB BOE under assessment //custom duty requested dtd. 02-05-2025//ooc  done dtd. 07-05-2025 //shipment dispatched dtd. 08-05-2025 vehicle no. HR69E2531 mob.  no.9813704308</t>
  </si>
  <si>
    <t>OB OOC done dtd. 09-05-2025.</t>
  </si>
  <si>
    <t>MP46ZA9698</t>
  </si>
  <si>
    <t>IB OOC done dtd..24.04.2025//OB confirmation received after evening  30-04-25 //OB custom duty requested dtd.07-05-2025//OOC done dtd. 08-05-2025///shipment dispatched dtd. 09-05-2025 vehicle no. MP46ZA9698 mob. 918349074993</t>
  </si>
  <si>
    <t>GJ27TD4227</t>
  </si>
  <si>
    <t>IB BOE OOC done dtd.25-04-2025// Confirmation For Outbond mail received dtd.28-04-2025// OB custom duty requested dtd.06-05-2025//OOC done dtd. 08-05-2025//Shipment dispatched dtd. 09-05-2025 vehicle no.GJ27TD4227 mob.7339744667</t>
  </si>
  <si>
    <t>MH11DD1975</t>
  </si>
  <si>
    <t>IB OOC done dtd. 28-04-2025// OB confirmation mailed send dtd.28-04-2025//OB confirmation recevied dtd.28-04-2025//OB custom duty payment  requested dtd.02-05-25//OOC done dtd.08-05-2025//shipment dispatched dtd. 09-05-2025  vehicle no. MH11DD1975  mob.9324717414</t>
  </si>
  <si>
    <t>flight yet  to arrive //final AWB received dtd.08-05-2025//custom duty requested dtd. 08-05-2025//Custom duty paid dtd. 08-05-2025//Out of Charge done Dt-09/05/2025. //shipment dipatched 09-05-2025 vehicle no. MH 14 JL 5909  mob .9890971880</t>
  </si>
  <si>
    <t xml:space="preserve">MH 14 JL 5909 </t>
  </si>
  <si>
    <t>913 </t>
  </si>
  <si>
    <t>IB OOC done dtd. 28-04-2025// OB confirmation mailed send dtd.28-04-2025//FORM I recevied on 02-05-2025//WPC Licence less value //WPC licence receiived dtd. 07.05.2025//OB Custom duty requested dtd. 08-05-2025//OB Custom duty paid dtd. 08-05-2025//OB OOC done dtd. 09-05-2025.//Shipment dispatched dtd. 10-05-2025 vehicle no.MH03DV8647 mob. 9082199978</t>
  </si>
  <si>
    <t>MH43CE9202</t>
  </si>
  <si>
    <r>
      <t>INW DT.30-04-2025 night //IB BOE assessed and under TP process //IB OOC doned dt.03-05-2025// Confirmation For Outbond mail received dtd 05-05-2025//OB Custom duty requested dtd.08-05-2025//OB Custom duty paid dtd. 08-05-2025//OB OOC done dtd. 09-05-2025//Shipment dispatched dtd. 10-05-2025 vehicle no.MH43CE9202  MOB.77339 71812</t>
    </r>
    <r>
      <rPr>
        <b/>
        <sz val="11"/>
        <color theme="1"/>
        <rFont val="Calibri"/>
        <family val="2"/>
        <scheme val="minor"/>
      </rPr>
      <t xml:space="preserve"> </t>
    </r>
  </si>
  <si>
    <t>ECD-25 051099</t>
  </si>
  <si>
    <t>AAI0034419</t>
  </si>
  <si>
    <t>55
55</t>
  </si>
  <si>
    <t>ECD-25 051100</t>
  </si>
  <si>
    <t>AAI0034420</t>
  </si>
  <si>
    <t>MH03 CP 8728</t>
  </si>
  <si>
    <t>flight yet  to arrive//custom duty requested dtd. 08-05-2025//OOC done dtd.10.05.2025//shipment dispatched dtd.12-05-2025  vehicle no.MH03 CP 8728  mob.  7021883595</t>
  </si>
  <si>
    <t>663 </t>
  </si>
  <si>
    <t>MTT-157779</t>
  </si>
  <si>
    <t>157-02721563</t>
  </si>
  <si>
    <t>MTT-157780</t>
  </si>
  <si>
    <t>BAL-ANG-UASL-ROM Maharashtra/
PUR/10002473</t>
  </si>
  <si>
    <t>DL 1LAF8267</t>
  </si>
  <si>
    <t>IB Procedure Completed 10.04.2025 //Confirmation For Outbond mail received dtd.24-04-2025// OB custom duty requested dtd. 07.05.2025//duty paid dtd. 09-05-2025//OB OOC under queue ,10-05-2025 second sat. custom holiday, 11-05-2025 is Sunday , 12-05-2025 sez unit closed due to Budha Poornima//OOC done dtd.13.05.2025 // shipment dispatched dtd.14-05-2025 vehicle No. DL 1LAF8267 Mob. 8447992918</t>
  </si>
  <si>
    <t>3416388MHTH332</t>
  </si>
  <si>
    <t>Ramesh Singh</t>
  </si>
  <si>
    <t>217-05026980</t>
  </si>
  <si>
    <t>3416385TSTH333
3416679TSTH335
3416680TSTH336</t>
  </si>
  <si>
    <t>08-May-2025
08-May-2025
08-May-2025</t>
  </si>
  <si>
    <t xml:space="preserve">37634.00
24280.00
3642.00
</t>
  </si>
  <si>
    <t>BAL-MO-AP-Telangana/PUR/1001862</t>
  </si>
  <si>
    <t xml:space="preserve">217-0502 6976 </t>
  </si>
  <si>
    <t xml:space="preserve"> 15-May-2025</t>
  </si>
  <si>
    <t>DL 1LAA7768</t>
  </si>
  <si>
    <t>Consol updated on dtd.06.05.2025//IB BOE assessed and under TP process///IB OOC done dt.08-05-2025//OB Confirmation mail send dtd. 09-05-2025//OB confirmation received dtd 12-05-2025 ///custom duty requested dtd. 13-05-2025//OOC done dtd. 14-05-2025//Shipment dispatched dtd. 15-02-2025 vehicle no.DL 1LAA7768 mob. no. 9871645137</t>
  </si>
  <si>
    <t>JB-2025-AI-21-001848</t>
  </si>
  <si>
    <t>MH46BB6951</t>
  </si>
  <si>
    <t>OB Confirmation Received On 16.04.25 // WPC Received On 24-04-25, OB  Form I Received Dtd.25-04-25// custom duty requested dtd.25-04-2025 //OOC done dtd.14.05.2025//Shipment dispatched dtd.16-05-2025 vehicle no. MH46BB6951 Mob. 9867584328</t>
  </si>
  <si>
    <t>Custom duty req. dtd. 15-05-2025//shipment dispatched dtd. 16-05-2025 vehicle no.MH.43.CK.1911. mob. No.8010044324</t>
  </si>
  <si>
    <t>MH.43.CK.1911.</t>
  </si>
  <si>
    <t xml:space="preserve">MH46BU7425 </t>
  </si>
  <si>
    <t>Custom duty req. dtd. 15-05-2025//shipment dispatched dtd. 16-05-2025 vehicle no.MH46BU7425  mob.9594930112</t>
  </si>
  <si>
    <t>59
59</t>
  </si>
  <si>
    <t xml:space="preserve">BAL MO Madhya Pradesh/PUR/52759
</t>
  </si>
  <si>
    <t>618-41616643</t>
  </si>
  <si>
    <t>F778966</t>
  </si>
  <si>
    <t>176-05525553</t>
  </si>
  <si>
    <t>F778811</t>
  </si>
  <si>
    <t>F778849</t>
  </si>
  <si>
    <t xml:space="preserve">BAL MO Gujarat/PUR/50242
</t>
  </si>
  <si>
    <t>176-09019566</t>
  </si>
  <si>
    <t>F860926</t>
  </si>
  <si>
    <t>33
33</t>
  </si>
  <si>
    <t>F860928</t>
  </si>
  <si>
    <t>JB-2025-AI-21-001878</t>
  </si>
  <si>
    <t>6873215
6873216</t>
  </si>
  <si>
    <t>29-Apr-2025
29-Apr-2025</t>
  </si>
  <si>
    <t>62,310.00
41,540.00</t>
  </si>
  <si>
    <t>CGHODUPX4
CGHODUPX2
CGHODUQY4
CGHODUQI4</t>
  </si>
  <si>
    <t>MW Radio
IP-50CX-E-15-420-01W08-H,FB 15
GHz 1W8 TxP:25 dBm High 1+0 Upgrd
to XPIC with OMT
MW
RadioIP-50CX-E-15-420-01W08-L,FB
15 GHz 1W8 TxP 25 dBm Low 1+0
Upgrd to XPIC with OMT
MW RadioIP-50CX-E-15-420-08W15-H
FB 15 GHz (8W15)TxP 25 dBm
High1+0 Upgrd to XPIC With OMT
MW
Radio:IP-50CX-E-15-420-08W15-L,FB1
5 GHz (8W15)TxP:25 dBm Low 1+0
Upgrd to XPIC with OMT</t>
  </si>
  <si>
    <t>30
30
20
20</t>
  </si>
  <si>
    <t>Hexacom MO Rajasthan/PUR/66963</t>
  </si>
  <si>
    <t>F778949</t>
  </si>
  <si>
    <t>MW Radio
IP-50CX-E-15-420-01W08-H,FB 15
GHz 1W8 TxP:25 dBm High 1+0 Upgrd
to XPIC with OMT
MW
RadioIP-50CX-E-15-420-01W08-L,FB
15 GHz 1W8 TxP 25 dBm Low 1+0
Upgrd to XPIC with OMT</t>
  </si>
  <si>
    <t>BAL MO Gujarat/PUR/50172</t>
  </si>
  <si>
    <t>217-04813303</t>
  </si>
  <si>
    <t>F791723</t>
  </si>
  <si>
    <t>BR-0318-0 MW
Radio:IP-50CX-E-15-420-01W08-H,Freq
uency band:15 GHz (1W8),Tx Power
output:25 dBm,Type:High,With OMT
BR-0319-0 MW
Radio:IP-50CX-E-15-420-01W08-L,Freq
uency band:15 GHz (1W8),Tx Power
output:25 dBm,Type:Low,with OMT</t>
  </si>
  <si>
    <t>176-05525693</t>
  </si>
  <si>
    <t>F778937</t>
  </si>
  <si>
    <t>6886253
6886356</t>
  </si>
  <si>
    <t>BR-0327-0 MW Radio
IP-50CX-E-15-420-01W08-H,FB 15
GHz 1W8 TxP:25 dBm High 1+0 Upgrd
to XPIC with OMT
BR-0326-0 MW
RadioIP-50CX-E-15-420-01W08-L,FB
15 GHz 1W8 TxP 25 dBm Low 1+0
Upgrd to XPIC with OMT</t>
  </si>
  <si>
    <t>BAL MO Madhya Pradesh/PUR/52759</t>
  </si>
  <si>
    <t>F778974</t>
  </si>
  <si>
    <t>F778888</t>
  </si>
  <si>
    <t>F778794</t>
  </si>
  <si>
    <t>176-05525494</t>
  </si>
  <si>
    <t>F778883</t>
  </si>
  <si>
    <t>6881294
6885544</t>
  </si>
  <si>
    <t>116350
85,157.00</t>
  </si>
  <si>
    <t>41
41</t>
  </si>
  <si>
    <t>BAL MO Madhya Pradesh/PUR/52777
BAL MO Madhya Pradesh/PUR/52759</t>
  </si>
  <si>
    <t>F778867</t>
  </si>
  <si>
    <t>BAL MO Punjab/PUR/62487</t>
  </si>
  <si>
    <t>45
45
60
60</t>
  </si>
  <si>
    <t>MH43BB0169</t>
  </si>
  <si>
    <t>MTT-157909</t>
  </si>
  <si>
    <t>CFTAQSP28
103.1G-111.8G, 4X25G, WDM,
SMF, 1310NM, 10 KM QSFP28 :
160-9402-900</t>
  </si>
  <si>
    <t>BAL-ANG-UASL-NCR-Haryana/PUR/10006152</t>
  </si>
  <si>
    <t>157-02721460</t>
  </si>
  <si>
    <t>MTT-157908</t>
  </si>
  <si>
    <t xml:space="preserve">10017384TSTH177
10017402TSTH181
3415661TSTH353
3415828TSTH356
3416385TSTH354
3416504TSTH355
</t>
  </si>
  <si>
    <t xml:space="preserve">25-APR-25
25-APR-25
15-May-25
15-May-25
15-May-25
15-May-25
</t>
  </si>
  <si>
    <t>607.00
607.00
20,638.00
4,249.00
4,856.00
30,957.00</t>
  </si>
  <si>
    <t>BANGKOK</t>
  </si>
  <si>
    <t xml:space="preserve">BAL-MO-AP-Telangana/PUR/10017384
BAL-MO-AP-Telangana/PUR/10017384
BAL-MO-AP-Telangana/PUR/10017197
BAL-MO-AP-Telangana/PUR/10017402
BAL-MO-AP-Telangana/PUR/10018228
BAL-MO-AP-Telangana/PUR/10018305
</t>
  </si>
  <si>
    <t xml:space="preserve">217-0502 7212 </t>
  </si>
  <si>
    <t xml:space="preserve">THAI </t>
  </si>
  <si>
    <t>JB-2025-AI-21-001944</t>
  </si>
  <si>
    <t xml:space="preserve">                                                                                                                                                                             </t>
  </si>
  <si>
    <t>67
67</t>
  </si>
  <si>
    <t>BAL MO Madhya Pradesh/PUR/52601</t>
  </si>
  <si>
    <t>618-41799870</t>
  </si>
  <si>
    <t>F866489</t>
  </si>
  <si>
    <t>29
29</t>
  </si>
  <si>
    <t>BAL MO Madhya Pradesh/PUR/52585</t>
  </si>
  <si>
    <t>232-10556652</t>
  </si>
  <si>
    <t>F866348</t>
  </si>
  <si>
    <t>966 </t>
  </si>
  <si>
    <t>42
42</t>
  </si>
  <si>
    <t>F881896</t>
  </si>
  <si>
    <t>BAL-MO-HARYANA-HARYANA/PUR/10009485</t>
  </si>
  <si>
    <t>F907540</t>
  </si>
  <si>
    <t>BAL-MO-UPW-UP/PUR/10015684</t>
  </si>
  <si>
    <t>F881918</t>
  </si>
  <si>
    <t>GUADALAJARA</t>
  </si>
  <si>
    <t>BAL-ANG-UASL-MUMBAI-MAHARASHTRA/
PUR/10005128</t>
  </si>
  <si>
    <t>42J0347942</t>
  </si>
  <si>
    <t>020-1998 0100</t>
  </si>
  <si>
    <t>BAL-ANG-UASL-MUMBAI-MAHARASHTRA/
PUR/10005122</t>
  </si>
  <si>
    <t>42J0347943</t>
  </si>
  <si>
    <t>OOC done dtd. 22-05-2025//shipment dispatched dtd. 23-05-2025 vehicle no.MH11CH9146 mob, 9768869945</t>
  </si>
  <si>
    <t>MH11CH9146</t>
  </si>
  <si>
    <t>3416388MHTH358
3416506MHTH359</t>
  </si>
  <si>
    <t>21-May-2025
21-May-2025</t>
  </si>
  <si>
    <t>32778
104404</t>
  </si>
  <si>
    <t>BAL-MO-ROM-Maharashtra/PUR/10024308
BAL-MO-ROM-Maharashtra/PUR/10024351</t>
  </si>
  <si>
    <t>217-05027536</t>
  </si>
  <si>
    <t>3415453TSTH360
3415828TSTH361
3415831TSTH362
3416007TSTH363
3416504TSTH364</t>
  </si>
  <si>
    <t>21-05-2025
21-05-2025
21-05-2025
21-05-2025
21-05-2025</t>
  </si>
  <si>
    <t>607
20031.00
1821
1821
4856</t>
  </si>
  <si>
    <t>BAL-MO-AP-Telangana/PUR/10016703
BAL-MO-AP-Telangana/PUR/10017402
BAL-MO-AP-Telangana/PUR/10017452
BAL-MO-AP-Telangana/PUR/10017576
BAL-MO-AP-Telangana/PUR/10018305</t>
  </si>
  <si>
    <t>217-05027562</t>
  </si>
  <si>
    <t>NCR</t>
  </si>
  <si>
    <t>DL1LAM6369.</t>
  </si>
  <si>
    <t>IB BOE assessed and under TP process  //IB OOC doned dt.03-05-2025//OB custom duty  requested dtd.07-05-2025// OOC done 09-05-2025  delivery hold by accounts due to shortage of PO //Shipment dispatch ed  dtd. 24-05-2025 vehicle no.DL1LAM6369. m. 8595926920</t>
  </si>
  <si>
    <t>BAL MO
Punjab/PUR/62470</t>
  </si>
  <si>
    <t>217-04813340</t>
  </si>
  <si>
    <t>F914588</t>
  </si>
  <si>
    <t>IB OOC done dtd. 16-05-2025//OB custom duty requested dtd. 21-05-202// original AIFTA  received 23-05-25//OOC done dtd.23.05.2025//Shipment dispatched dtd. 24-05-2025 vehicle no.DL1LAM6369. m. 8595926920</t>
  </si>
  <si>
    <t>BR-0334-0 Microwave
Radio,Model:IP-50E-DX0H-H-ESSQ,Fre
quency band:80 GHz,Tx Power output:18
dBm,Type:High
BR-0335-0 Microwave
Radio,Model:IP-50E-DX0H-L-ESSQ,Fre
quency band:80 GHz,Tx Power output:18
dBm,Type:Low</t>
  </si>
  <si>
    <t>F907582</t>
  </si>
  <si>
    <t>176-09019673</t>
  </si>
  <si>
    <t>F881863</t>
  </si>
  <si>
    <t>BAL-MO-ROM-Maharashtra/PUR/1002
4932</t>
  </si>
  <si>
    <t>217-04813410</t>
  </si>
  <si>
    <t>F924544</t>
  </si>
  <si>
    <t>BAL MO
Punjab/PUR/62728</t>
  </si>
  <si>
    <t>F924600</t>
  </si>
  <si>
    <t>BAL-MO-HARYANA-HARYANA/PU
R/10009485</t>
  </si>
  <si>
    <t>F881910</t>
  </si>
  <si>
    <t>JB-2025-AI-21-001934</t>
  </si>
  <si>
    <t>CFTAHWS03</t>
  </si>
  <si>
    <t>BAL LDS NLD/PUR/2055481</t>
  </si>
  <si>
    <t>607-38466956</t>
  </si>
  <si>
    <t>AI2025-0029755</t>
  </si>
  <si>
    <t>BAL-MO-UPW-UP/PUR/10015635</t>
  </si>
  <si>
    <t>217-0481 3410</t>
  </si>
  <si>
    <t>F924612</t>
  </si>
  <si>
    <t>MH14HU9182</t>
  </si>
  <si>
    <t>IB OOC done dtd. 16-05-2025//AIFTA recevied in mailed dtd. 19-05-20255 /  original AIFTA  recevied on 24-05-2025///OB OOC done dtd.26-05-2025//Shipment dispatched dtd.27-05-2025 vehicle no. MH14HU9182 mob no. 9921431818</t>
  </si>
  <si>
    <t>BAL-ANG-UASL-MUMBAI-MAHARASHTRA/
PUR/10005098</t>
  </si>
  <si>
    <t>020-19980402</t>
  </si>
  <si>
    <t>42J0347977</t>
  </si>
  <si>
    <t>BR-0320-0 MW
Radio:IP-50CX-E-15-420-08W15-H,Freq
uency band:15 GHz (8W15),Tx Power
output:25 dBm,Type:High,With OMT
BR-0325-0 MW
Radio:IP-50CX-E-15-420-08W15-L,Freq
uency band:15 GHz (8W15),Tx Power
output:25 dBm,Type:Low,With OMT</t>
  </si>
  <si>
    <t>BAL MO Punjab/PUR/62470</t>
  </si>
  <si>
    <t>176-09019695</t>
  </si>
  <si>
    <t>F945339</t>
  </si>
  <si>
    <t>BAL MO Punjab/PUR/62677</t>
  </si>
  <si>
    <t>F945296</t>
  </si>
  <si>
    <t>F924666</t>
  </si>
  <si>
    <t>HR39F0650</t>
  </si>
  <si>
    <t>IB OOC done dtd.22-05-2025 //soft copy of  AIFTA certificate  mailed received on 23-05-2025//WPC licence  valid dtd.11-10-2025//  original AIFTA received dtd. 26-05-2025// OOC done dtd.27-05-2025//Shipment dispatched  dtd.28-05-2025 vehicle no.HR39F0650 mob. no. 8239609709</t>
  </si>
  <si>
    <t>MH04JU1473</t>
  </si>
  <si>
    <t>IB OOC done dtd.21-05-2025 //soft copy of  AIFTA certificate  mailed received on 23-05-2025// WPC licence valid dtd.10-10-2025// original AIFTA original AIFTA received dtd. 26-05-2025//OOC done dtd.27-05-2025//Shipment dispatched  dtd. 28-05-2025 vehicle no. MH04JU1473 mob.9096386609</t>
  </si>
  <si>
    <t>IB OOC done dt. 24.04.2025/OB confirmation  mail received dtd.26-05-2025//OB OOC done dtd. 27-05-2025//Shipment dispatched  dtd. 28-05-2025 vehicle no. MH04JU1473 mob.9096386609</t>
  </si>
  <si>
    <t>455 </t>
  </si>
  <si>
    <t>2141 </t>
  </si>
  <si>
    <t>17487 </t>
  </si>
  <si>
    <t xml:space="preserve">MH04MH1252 </t>
  </si>
  <si>
    <t>Fllight yet to arrive//AWB recevied dtd. 26-05-2025 //OOC done dtd.27-05-2025//Shipment dispatched dtd.28-05-2025  vehicle no.MH04MH1252  mob .9967207924</t>
  </si>
  <si>
    <t>As discussed and confirmed, we will proceed with filing the OB BOE on Monday, 02nd June 2025.</t>
  </si>
  <si>
    <t>29-02-2025</t>
  </si>
  <si>
    <t>MH46BU-5788</t>
  </si>
  <si>
    <t xml:space="preserve">IB OOC done dtd. 22-05-2025//WPC licence valid dtd.05-10-2025//OB OOC done dtd.27-05-2025//Shipment dispatched dtd.29-05-2025 vehicle no. MH46BU-5788 mob no. 70452 55206 </t>
  </si>
  <si>
    <t xml:space="preserve">MH04LE 6137 </t>
  </si>
  <si>
    <t>IB OOC done dtd. 22-05-2025//WPC licence valid dtd.05-10-2025//OB OOC  done dtd. 27-05-2025//Shipment dispatched dtd. 29-05-2025 vehicle no.MH04LE 6137 mob. 9575844929</t>
  </si>
  <si>
    <t>IB OOC done dtd. 22-05-2025//wpC licence valid dtd.05-10-2025//OB OOC done dtd.27-05-2025//Shipment dispatched dtd. 29-05-2025 vehicle no.MH04LE 6137 mob. 9575844929</t>
  </si>
  <si>
    <t>IB OOC done dtd. 22-05-2025//WPC licence valid dtd.05-10-2025//OB OOC done dtd.27-05-2025//Shipment dispatched dtd. 29-05-2025 vehicle no.MH04LE 6137 mob. 9575844929</t>
  </si>
  <si>
    <t>MH.25.AJ.8127</t>
  </si>
  <si>
    <t>Fllight yet to arrive//AWB recevied dtd. 26-05-2025 //OOC done dtd.27-05-2025//Shipment dispatched dtd.28-05-2025 vehicle no. MH.25-AJ-8127 mob.9769681444</t>
  </si>
  <si>
    <t>3415827TSTH401
3416504TSTH402
3416679TSTH403
3416680TSTH404
3415661TSTH405</t>
  </si>
  <si>
    <t>4856.00
54630.00
5463.00
607.00
41276.00</t>
  </si>
  <si>
    <t>BAL-MO-AP-Telangana/PUR/10017391
BAL-MO-AP-Telangana/PUR/10018305
BAL-MO-AP-Telangana/PUR/10018623
BAL-MO-AP-Telangana/PUR/10018656
BAL-MO-AP-Telangana/PUR/10017197</t>
  </si>
  <si>
    <t>217-05027864</t>
  </si>
  <si>
    <t>BAL-ANG-UASL-MUMBAI MAHARASHTRA/
PUR/10005098</t>
  </si>
  <si>
    <t>020-29986482</t>
  </si>
  <si>
    <t>42J0348000</t>
  </si>
  <si>
    <t>BAL MO Gujarat/PUR/50625</t>
  </si>
  <si>
    <t>Gujarat</t>
  </si>
  <si>
    <t>176-09019754</t>
  </si>
  <si>
    <t>F995760</t>
  </si>
  <si>
    <t>BAL-MO-ROM-Maharashtra/PUR/10024932</t>
  </si>
  <si>
    <t>Maharashtra</t>
  </si>
  <si>
    <t>F995772</t>
  </si>
  <si>
    <t>BAL MO U.P.East/PUR/71744</t>
  </si>
  <si>
    <t>ECD-25 051260</t>
  </si>
  <si>
    <t>910 18003952</t>
  </si>
  <si>
    <t>AAI0034481</t>
  </si>
  <si>
    <t>157-03743036</t>
  </si>
  <si>
    <t>BAL LDS NLD/PUR/2055632</t>
  </si>
  <si>
    <t>AI2025-0031578</t>
  </si>
  <si>
    <t>607-38467133</t>
  </si>
  <si>
    <t>AI2025-0031577</t>
  </si>
  <si>
    <t>CWSSFTA01</t>
  </si>
  <si>
    <t>AI2025-0031566</t>
  </si>
  <si>
    <t>RJ 07 GD 8902</t>
  </si>
  <si>
    <t>IB OOC done dtd. 23-05-2025//shipment dispatched dtd. 02-06-2025 vehicle no.RJ10GB7110</t>
  </si>
  <si>
    <t>GJ01LT 0017</t>
  </si>
  <si>
    <t>IB OOC done dtd. 15-05-2025//OB Confirmation  received dtd. 28-05-2025//WPC licence vaild dtd.05.10.2025//OOC done dtd. 30-05-2025/shipment dispatched dtd.02-06-2025 vehicle no.GJ01LT 0017 m.+919316723093</t>
  </si>
  <si>
    <t>IB OOC done dtd. 28-05-2025//WPC Licence valid dtd.11-10-2025//custom duty requested dtd.30-05-2025//OOC  done dtd.31-05-2025//shipment dispatched DTD.02.06.2025  vehicle No. RJ 07 GD 8902  mob.No. 9509829458</t>
  </si>
  <si>
    <t>OOC done dtd. 02-06-2025//shipment dispatched dtd.03-06-2025 vehicle no.MH 02 FG 6049  m.8318593994</t>
  </si>
  <si>
    <t>MH 02 FG 6049</t>
  </si>
  <si>
    <t>Flight yet to arrive//Final AWB received on 01-06-2025 Sunday //custom duty requested dtd. 31-05-2025//OOC done dtd.02-06-2025//Shipment dispatched dtd. 03-06-2025 vehicle no.HR55AG1854 mob no.9594698793</t>
  </si>
  <si>
    <t>IB Ooc Done Dt.17-04-2025,//OB custom duty requested dtd. 05-05-2025//OB OOC done dtd.06.05.2025//Shipment dispatched dtd. 07-05-2025 vehicle no. MH04LE0832 mob. 9982260752</t>
  </si>
  <si>
    <t>IB Ooc Done Dt.17-04-2025,// OB custom duty requested dtd. 05-05-2025///OB OOC done dtd.06.05.2025//Shipment dispatched dtd. 07-05-2025 vehicle no. MH04LE0832 mob. 9982260752</t>
  </si>
  <si>
    <t>OB confirmation mail received on 02 May 2025 evening</t>
  </si>
  <si>
    <t>OB confirmation mail received on 02May 2025 evening</t>
  </si>
  <si>
    <t>OB confirmation mail received on 05May 2025</t>
  </si>
  <si>
    <t>custom duty request  DTD. 22-04-2025 // shipment dispatched  dtd. 19-05-2025 vehicle no.MH43BB0169 MOB NO.8104588591</t>
  </si>
  <si>
    <t>3416506MHTH371
3416684MHTH372
3416684MHTH411</t>
  </si>
  <si>
    <t>24-05-2025
24-05-2025
03-06-2025</t>
  </si>
  <si>
    <t>62521
73,447.00
1,214.00</t>
  </si>
  <si>
    <t>BAL-MO-ROM-Maharashtra/PUR/10024351
BAL-MO-ROM-Maharashtra/PUR/10024833
BAL-MO-ROM-Maharashtra/PUR/10024833</t>
  </si>
  <si>
    <t>217-05028015</t>
  </si>
  <si>
    <t>3416504TSTH293</t>
  </si>
  <si>
    <t>BAL-MO-AP-Telangana/PUR/10018305</t>
  </si>
  <si>
    <t xml:space="preserve"> MH48DC4974</t>
  </si>
  <si>
    <t>MH48DC4974</t>
  </si>
  <si>
    <t xml:space="preserve">IB OOC done dtd. 23-05-2025//OB Boe will file on Monday as confirm by circle//WPC Licence valid dtd.05-10-2025//OOC done dtd.03-06-2025//shipment dispatched dtd.04-06-2025 vehicle no. MH48DC4974  mob.9619501798 </t>
  </si>
  <si>
    <t>RJ14GP6909</t>
  </si>
  <si>
    <t xml:space="preserve">IB OOC done dtd. 23-05-2025//OB Boe will file on Monday as confirm by circle//WPC Licence valid dtd.05-10-2025// OOC done dtd.03-06-2025//Shipment dispatched dtd.04-06-2025 vehicle no.RJ14GP6909 mob.9351808269 </t>
  </si>
  <si>
    <t xml:space="preserve">IB OOC done dtd.27-05-2025//OB Boe will file on Monday as confirm by circle////WPC Licence valid dtd.11-08-2025//OOC done dtd.03-06-2025//Shipment dispatched dtd.04-06-2025 vehicle no.RJ14GP6909 mob.9351808269 </t>
  </si>
  <si>
    <t xml:space="preserve">IB OOC done dtd.26-05-2025//OB Boe will file on Monday as confirm by circle////WPC Licence valid dtd.10-10-2025//OOC done dtd.03-06-2025//Shipment dispatched dtd.04-06-2025 vehicle no.RJ14GP6909 mob.9351808269 </t>
  </si>
  <si>
    <t xml:space="preserve">IB OOC done dtd. 15-05-2025//OB Confirmation mail sent dtd 16-05-2025//WPC licence  vaild dtd.05.10.2025//OOC done dtd. 04-06-2025//shipment dispatched dtd.04-06-2025 vehicle no.MH46CL7701  mob.8299362900 </t>
  </si>
  <si>
    <t>IB OOC done dtd. 22-05-2025//OB confirmation mail send dtd. 22-05-2025//WPC licence valid dtd.05-10-2025 //custom duty requested dtd.30-05-2025//OOC done dtd. 03-06-2025//shipment dispatched dtd.04-06-2025 vehicle no. MH46CL7701  mob.8299362900</t>
  </si>
  <si>
    <t>MH46CL7701</t>
  </si>
  <si>
    <t>MH04LY2720</t>
  </si>
  <si>
    <t>IB OOC done dtd. 28-05-2025//WPC Licence valid dtd.11-10-2025//OOC doen dtd.03-06-2025//shipment dispatched dtd.04-06-2025 vehicle no.MH04LY2720 mob.90502 15340</t>
  </si>
  <si>
    <t>IB OOC done dtd. 28-05-2025//WPC licence valid dtd.11-10-2025//Custom duty requested dtd.02-06-2025//OOC done dtd.03-06-2025//shipment dispatched dtd.04-06-2025 vehicle no.MH04LY2720 mob.90502 15340</t>
  </si>
  <si>
    <t>MH43 BB0169</t>
  </si>
  <si>
    <t>OOC done dtd.04-06-2025//shipment dispatched dtd.04-06-2025 vehicle no. MH43 BB0169 MOB. 8104588591</t>
  </si>
  <si>
    <t>AI2025-0031860</t>
  </si>
  <si>
    <t>AI2025-0031861</t>
  </si>
  <si>
    <t>217-05028004</t>
  </si>
  <si>
    <t>4195584 </t>
  </si>
  <si>
    <t>1844379 </t>
  </si>
  <si>
    <t>MH04LY2716</t>
  </si>
  <si>
    <t>IB OOC done dtd .30-05-2025//WPC Licence valid upto dtd.11-10-2025//OOC done dtd. 04-06-2025// Shipment dispatched dtd.05-06-2025 vehicle no. MH04LY2716 mob.9116602040</t>
  </si>
  <si>
    <t>IB OOC done dtd .30-05-2025//OB checklist sent for approval ///WPC Licence valid  upto dtd.11-10-2025/OOC done dtd. 04-06-2025//Shipment dispatched dtd.05-06-2025 vehicle no. MH04LY2716 mob.9116602040</t>
  </si>
  <si>
    <t>HR55AK8198</t>
  </si>
  <si>
    <t>IB OOC done dtd. 23-05-2025//OB confirmation mail send dtd. 27-05-2025//WPC Licence upto valid dtd.13-09-2025//OOC done dtd. 04-06-2025//Shipment dispatched dtd.05-06-2025 vehicle no. HR55AK8198 mob.9351610096</t>
  </si>
  <si>
    <t>IB OOC done dtd. 22-05-2025//OB confirmation mail send dtd. 22-05-2025//WPC licence  upto valid dtd.03-11-2025 //OOC done dtd. 04-06-2025//Shipment dispatched dtd.05-06-2025 vehicle no. HR55AK8198 mob.9351610096</t>
  </si>
  <si>
    <t>758 </t>
  </si>
  <si>
    <t>BAL-ANG-UASL-MUMBAI-MAHARASHTRA/
PUR/10005126</t>
  </si>
  <si>
    <t>020-2261 2575</t>
  </si>
  <si>
    <t>42J0348914</t>
  </si>
  <si>
    <t>BAL-ANG-UASL-MUMBAI-MAHARASHTRA/
PUR/10005102</t>
  </si>
  <si>
    <t>42J0348913</t>
  </si>
  <si>
    <t>MH48CB4305</t>
  </si>
  <si>
    <t>IB OOC done dtd. 23-05-2025//OB confirmation mail send dtd. 27-05-2025//WPC licence valid upto dtd. 05-10-2025//custom duty requested dtd.30-05-2025 on hold  amenddment  requetsted//OOC done dtd. 06-06-2025//Shipment dispatcheed dtd. 06-06-2025 vehicle no. MH48CB4305 mob.8956636671</t>
  </si>
  <si>
    <t>HR61E2801</t>
  </si>
  <si>
    <t>IB OOC done dtd .30-05-2025//WPC Licence valid  upto dtd.11-10-2025/OOC done dtd. 05-06-2025//Shipment dispatched dtd.06-06-2025 vehilce no.HR61E2801 mob. No.98879 62731</t>
  </si>
  <si>
    <t>RJ14GN0496</t>
  </si>
  <si>
    <t>IB OOC done dtd .30-05-2025//OOC done dtd. 05-06-2025//shipment dispatched dtd. 06-06-2025 vehicle no.RJ14GN0496 mob no.6376944536</t>
  </si>
  <si>
    <t>IB OOC done dtd. 23-05-2025//OB Boe will file on Monday as confirm by circle// OOC done dtd.03-06-2025//shipment dispatched dtd. 06-06-2025 vehicle no.RJ14GN0496 mob no.6376944536</t>
  </si>
  <si>
    <t>MH 02 Fx 3726</t>
  </si>
  <si>
    <t>duty  paid dtd.03-06-2025//OOC done dtd.06-06-2025//Shipment dispatched dtd.06-06-2025 vehicle no.MH 02 Fx 3726 MOB.8779734711</t>
  </si>
  <si>
    <t>Final AWB received dtd.05-06-2025 afternoon//OOC done dtd.06-06-2025//shipment disptched dtd.06-06-2025 vehicle no.HR55AG1854 m.9594698793</t>
  </si>
  <si>
    <t xml:space="preserve"> Final AWB received dtd.05-06-2025 afternoon//OOC done dtd.06-06-2025//shipment dispatched dtd. 06-06-2025 vehicle no. MH03CV9875 mob.88501 69677 &amp;86526 27505</t>
  </si>
  <si>
    <t>MH03CV9875</t>
  </si>
  <si>
    <t>CGHODUPY4
CGHODUPI9</t>
  </si>
  <si>
    <t xml:space="preserve">CGHODUPY4 BR-0316-0 MW RADIO:IP-50CX-E-18-H-H,FREQUENCY BAND:18 GHZ,TX POWER OUTPUT:24
CGHODUPI9 BR-0317-0 MW RADIO:IP-50CX-E-18-H-L,FREQUENCY BAND:18 GHZ,TX POWER
</t>
  </si>
  <si>
    <t>217-04813782</t>
  </si>
  <si>
    <t>G006091</t>
  </si>
  <si>
    <t>CGHODUPF1
CGHODUPE9</t>
  </si>
  <si>
    <t>CGHODUPF1 BR-0332-0 MW RADIO:IP-50CX-E-13-266-05W08-H,FREQUENCY BAND:13 GHZ,TX POWER
CGHODUPE9 BR-0333-0 MW RADIO:IP-50CX-E-13-266-05W08-L,FREQUENCY BAND:13 GHZ,TX POWER</t>
  </si>
  <si>
    <t>G006106</t>
  </si>
  <si>
    <t>G006092</t>
  </si>
  <si>
    <t>CGHODUPX5 BR-0323-0 MW RADIO:IP-50CX-E-18-H-H,FREQ BAND:18 GHZ,TX POWER OUTPUT:24
CGHODUPV9 BR-0324-0 MW RADIO:IP-50CX-E-18-H-L,FREQ BAND:18 GHZ,TX POWER OUTPUT:24</t>
  </si>
  <si>
    <t>3
3</t>
  </si>
  <si>
    <t xml:space="preserve">CGHODUPV3 BR-0320-0 MW RADIO:IP-50CX-E-15-420-08W15-H,FREQUENCY BAND:15 GHZ (8W15),TX POWER
CGHODUPX3 BR-0325-0 MW RADIO:IP-50CX-E-15-420-08W15-L,FREQUENCY BAND:15 GHZ (8W15),TX POWER
</t>
  </si>
  <si>
    <t>176-09020255</t>
  </si>
  <si>
    <t>G006082</t>
  </si>
  <si>
    <t>MTT-158265</t>
  </si>
  <si>
    <t>BAL-ANG-UASL-Mumbai-Maharashtra/PUR/10005099</t>
  </si>
  <si>
    <t>JB-2025-AI-21-002170</t>
  </si>
  <si>
    <t>157-92691944</t>
  </si>
  <si>
    <t>MTT-158266</t>
  </si>
  <si>
    <t>JB-2025-AI-21-002168</t>
  </si>
  <si>
    <t>CW5FTA4HC</t>
  </si>
  <si>
    <t>607-38474494</t>
  </si>
  <si>
    <t>BAL LDS NLD/PUR/2055356</t>
  </si>
  <si>
    <t>AI2025-0032826</t>
  </si>
  <si>
    <t>G006128</t>
  </si>
  <si>
    <t>3415827TSTH436
3416504TSTH437</t>
  </si>
  <si>
    <t>24280.00
121400.00</t>
  </si>
  <si>
    <t>BAL-MO-AP-Telangana/PUR/10017391
BAL-MO-AP-Telangana/PUR/10018305</t>
  </si>
  <si>
    <t>217-05028284</t>
  </si>
  <si>
    <t xml:space="preserve">INVOICE HAS BEEN GENERATED OF ISRAEL HOWEVER CO HAS BEEN DECLARED AS SINGAPORE. PLEASE E-SANCNIT COO. KINDLY E-SANCHIT DIGITAL SIGNED INVOICES AND OTHER DOCUMENTS. </t>
  </si>
  <si>
    <t>MH48CB8319</t>
  </si>
  <si>
    <t>IB BOE OOC done dtd.04-06-25//OB confirmation received dtd.05-06-2025//WPC licence valid upto 08-11-2025///BOE filing is scheduled for Monday//OOC done dtd. 10-06-2025//Shipment dispatched dtd.11-06-2025 vehicle no.MH48CB8319 m.9328189543</t>
  </si>
  <si>
    <t>MH12TV3324</t>
  </si>
  <si>
    <t>IB OOC done dtd. 31-05-2025//WPC Licence valid dtd.06.12.2025 // WPC Licence valid dtd 07-06-2025  outbond boe wiil be filed after 07.06.2025//OOC done dtd. 10-06-2025//Shipment dispatched dtd.11-06-25 vehicle no.MH12TV3324 m.9130919843</t>
  </si>
  <si>
    <t>IB BOE OOC done dtd.04-06-25//WPC Licence valid upto dtd.06.12.2025 // WPC Licence valid dtd 07-06-2025  outbond boe wiil be filed after 07.06.2025//OOC done dtd. 10-06-2025/Shipment dispatched dtd.11-06-25 vehicle no.MH12TV3324 m.9130919843</t>
  </si>
  <si>
    <t>CGHODUPX4 BR-0327-0 MW RADIO IP-50CX-E-15-420-01W08-H,FB 15 GHZ 1W8 TXP:25 DBM HIGH 1+0 UPGRD
CGHODUPX2 BR-0326-0 MW RADIOIP-50CX-E-15-420-01W08-L,FB 15 GHZ 1W8 TXP 25 DBM LOW 1+0 UPGRD TO</t>
  </si>
  <si>
    <t>176-09020454</t>
  </si>
  <si>
    <t>G028670</t>
  </si>
  <si>
    <t>G028671</t>
  </si>
  <si>
    <t>BAL MO Madhya Pradesh/PUR/53089</t>
  </si>
  <si>
    <t>6934721
6934722</t>
  </si>
  <si>
    <t>02-06-2025
02-Jun-2025</t>
  </si>
  <si>
    <t>139620.00
139620.00</t>
  </si>
  <si>
    <t>CGHODUPV3
CGHODUPX3
CGHODUPV3
CGHODUPX3</t>
  </si>
  <si>
    <t>60
60
60
60</t>
  </si>
  <si>
    <t>Hexacom MO Rajasthan/PUR/67523
Hexacom MO Rajasthan/PUR/67523</t>
  </si>
  <si>
    <t>607-38474623</t>
  </si>
  <si>
    <t xml:space="preserve"> 	12-06-2025</t>
  </si>
  <si>
    <t>12637740 </t>
  </si>
  <si>
    <t>5555551 </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</si>
  <si>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t>
  </si>
  <si>
    <t>15
15
15
15</t>
  </si>
  <si>
    <t>618-69044894</t>
  </si>
  <si>
    <t>G028966</t>
  </si>
  <si>
    <t xml:space="preserve">Hexacom MO Rajasthan/PUR/67354
</t>
  </si>
  <si>
    <t>AI2025-0034003</t>
  </si>
  <si>
    <t>CGHODUPA5
CGHODUPC3</t>
  </si>
  <si>
    <t>CGHODUPA5 BR-0304-0 MW RADIO:IP-50CX-E-18-L-H,FREQUENCY BAND:18 GHZ,TX POWER OUTPUT:24
CGHODUPC3 BR-0305-0 MW RADIO:IP-50CX-E-18-L-L,FREQUENCY BAND:18 GHZ,TX POWER OUTPUT:24</t>
  </si>
  <si>
    <t>G029041</t>
  </si>
  <si>
    <t xml:space="preserve">Hexacom MO Rajasthan/PUR/67520
</t>
  </si>
  <si>
    <t>2240 </t>
  </si>
  <si>
    <t>MH04LY9782</t>
  </si>
  <si>
    <t>HR844084</t>
  </si>
  <si>
    <t>IB OOC done dtd. 31-05-2025//awaiting OB confirmation //WPC licence valid upto dtd. 11-11-2025//confirmation mail received on 09-06-2025//OOC done dtd. 11-06-2025/Shipment dispatched dtd. 12-06-2025 vehicle no.MH04LY9782 m.96718 65447</t>
  </si>
  <si>
    <t>IB OOC Completed Dtd.16-04-2025 &amp; Awaiting  OB Confirmation//WPC licence upto  dtd.15-07-2025//confirmation mail received on 09-06-2025//OOC done dtd. 11-06-2025/Shipment dispatched dtd. 12-06-2025 vehicle no.MH04LY9782 m.96718 65447</t>
  </si>
  <si>
    <t>MH47BY2315</t>
  </si>
  <si>
    <t>IB BOE OOC done dtd.04-06-25/BOE filing is scheduled for Monday//OOC done dtd. 10-06-2025//shipment disptached dtd. 12-06-2025 vehicle no.MH47BY2315 m. 9892395922</t>
  </si>
  <si>
    <t>IB BOE OOC done dtd.04-06-25//BOE filing is scheduled for Monday//OOC done dtd. 10-06-2025//shipment disptached dtd. 12-06-2025 vehicle no.MH47BY2315 m. 9892395922</t>
  </si>
  <si>
    <t>IB BOE OOC done dtd.05-06-2025//OOC done dtd. 11-06-2025//shipment disptached dtd. 12-06-2025 vehicle no.MH47BY2315 m. 9892395922</t>
  </si>
  <si>
    <t>42J0348964</t>
  </si>
  <si>
    <t>020-19989970</t>
  </si>
  <si>
    <t>IB OOC done dtd. 03-06-2025//WPC licence valid upto  20-10-2025//confirmation mail received on 09-06-2025//OOC done dtd. 11-06-2025//Shipment dispatched dtd. 12-06-2025 vehicle no.MH04LY9782 m.96718 65447</t>
  </si>
  <si>
    <t>IB OOC  done dtd.03-06-2025 //WPC Licence valid upto dtd.11-10-2025 //confirmation mail received on 09-06-2025//OOC done dtd. 11-06-2025//Shipment dispatched dtd. 12-06-2025 vehicle no.HR844084  m.9004922597</t>
  </si>
  <si>
    <t>MH43CK4689</t>
  </si>
  <si>
    <t>IB BOE OOC done dtd.06-06-2025//OB confirmation mial received on 09-06-2025//WPC licence valid upto dtd.10-10-2025 // OOC done dtd.12-06-2025//shipment dispatched dtd. 13-06-2025 vehicle no.DL01LAA2779   m. 8957310511</t>
  </si>
  <si>
    <t>MH04MH4614</t>
  </si>
  <si>
    <t>IB BOE OOC done dtd.25-04-2025// Confirmation For Outbond mail received dtd.28-04-2025//OB custom duty payment requsted dtd. 29-04-2025//custom duty paid dtd. 28-05-2025//OOC done dtd.30-05-2025//ASN not update  // ASN updated dtd.13-06-2025//shipment dispatched  dtd.13-06-2025 vehicle no.MH43CK4689 m.9920446379</t>
  </si>
  <si>
    <t>IB OOC done dtd .30-05-2025//WPC Licence valid upto dtd.11-10-2025//OOC done dtd. 04-06-2025// OB confirmation  mailed received dtd. 05-06-2025//BOE filing is scheduled for Monday//custom duty requested dtd. 09-06-2025//OOC done dtd.12.06.2025//shipment  dispatched dtfd.13-06-2025 vehcile no.MH04MH4614 mob.09588199512</t>
  </si>
  <si>
    <t>IB OOC done dtd. 31-05-2025//WPC Licence valid upto  dtd.11-10-2025// confirmation mail received dtd. 05-06-2025//BOE filing is scheduled for Monday//Custom duty requested dtd.09-06-2025//OOC done dtd.12-06-2025//shipment  dispatched dtfd.13-06-2025 vehcile no.MH04MH4614 mob.09588199512</t>
  </si>
  <si>
    <t>IB OOC done dtd. 03-06-2025///OB confirmation received  dtd. 05-06-2025// WPC licence valid upto dtd.11-10-2025///BOE filing is scheduled for Monday//OOC done dtd. 10-06-2025//shipment  dispatched dtfd.13-06-2025 vehcile no.MH04MH4614 mob.09588199512</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</si>
  <si>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</si>
  <si>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MH46BU 6788</t>
  </si>
  <si>
    <t>Flight yet to arrive //Final AWB received dtd.12-06-2025//OOC  done dtd. 13-06-2025//Shipment dispatched dtd. 13-06-2025 vehicle no. MH46BU 6788  MOB. +91 93692 04551</t>
  </si>
  <si>
    <t>MH02FX9073</t>
  </si>
  <si>
    <t>1.1 Pkg out of 4 pkgs arrived, There was console error in IGM due to short landed shipment.
2. Intimation received @12.39  from console agent regarding arrival of the balance 3 pkgs.
BOE filed and assessment done late evening.</t>
  </si>
  <si>
    <t>CGHODUQY4 BR-0328-0 MW RADIOIP-50CX-E-15-420-08W15-H FB 15 GHZ (8W15)TXP 25 DBM HIGH1+0 UPGRD 
CGHODUQI4 BR-0329-0 MW RADIO:IP-50CX-E-15-420-08W15-L,FB1 5 GHZ (8W15)TXP:25 DBM LOW 1+0 UPGRD</t>
  </si>
  <si>
    <t>BAL MO U.P.East/PUR/72008</t>
  </si>
  <si>
    <t>910-18134955</t>
  </si>
  <si>
    <t>AAI0034598</t>
  </si>
  <si>
    <t xml:space="preserve">WORDL WIDE </t>
  </si>
  <si>
    <t>BAL-MO-HARYANA-HARYANA/PUR/10009631</t>
  </si>
  <si>
    <t>AAI0034599</t>
  </si>
  <si>
    <t>BAL-MO-UPW-UP/PUR/10015866</t>
  </si>
  <si>
    <t>910-18134966</t>
  </si>
  <si>
    <t>AAI0034601</t>
  </si>
  <si>
    <t>BAL-MO-HARYANA-HARYANA/PUR/10009600</t>
  </si>
  <si>
    <t>AAI0034600</t>
  </si>
  <si>
    <t>BAL-ANG-UASL-MUMBAI -MAHARASHTRA/
PUR/10005098</t>
  </si>
  <si>
    <t>020- 19995813</t>
  </si>
  <si>
    <t>42J0349007</t>
  </si>
  <si>
    <t>BAL LDS NLD/PUR/2055556</t>
  </si>
  <si>
    <t>607-38474715</t>
  </si>
  <si>
    <t>AI2025-0034468</t>
  </si>
  <si>
    <t>6934723
6934724</t>
  </si>
  <si>
    <t>05-Jun-2025
05-Jun-2025</t>
  </si>
  <si>
    <t>116350.00
104715.00</t>
  </si>
  <si>
    <t>CGHODUPX1
CGHODUPV2
CGHODUPX1
CGHODUPV2</t>
  </si>
  <si>
    <t xml:space="preserve">CGHODUPX1 BR-0318-0 MW RADIO:IP-50CX-E-15-420-01W08-H,FREQ UENCY BAND:15 GHZ (1W8),TX POWER  OUTPUT:25 DBM,TYPE:HIGH,WITH
CGHODUPV2 BR-0319-0 MW RADIO:IP-50CX-E-15-420-01W08-L,FREQ UENCY BAND:15 GHZ (1W8),TX POWER OUTPUT:25 DBM,TYPE:LOW,WITH
CGHODUPX1 BR-0318-0 MW RADIO:IP-50CX-E-15-420-01W08-H,FREQ UENCY BAND:15 GHZ (1W8),TX POWER  OUTPUT:25 DBM,TYPE:HIGH,WITH
CGHODUPV2 BR-0319-0 MW RADIO:IP-50CX-E-15-420-01W08-L,FREQ UENCY BAND:15 GHZ (1W8),TX POWER OUTPUT:25 DBM,TYPE:LOW,WITH
</t>
  </si>
  <si>
    <t>50
50
45
45</t>
  </si>
  <si>
    <t>Hexacom MO  Rajasthan/PUR/67520
Hexacom MO  Rajasthan/PUR/67520</t>
  </si>
  <si>
    <t>176-10885324</t>
  </si>
  <si>
    <t>G074103</t>
  </si>
  <si>
    <t>85497778 </t>
  </si>
  <si>
    <t>15389600 </t>
  </si>
  <si>
    <t xml:space="preserve"> 10-Jun-2025</t>
  </si>
  <si>
    <t xml:space="preserve">B0HODUNJ2
B0HODUNE9  </t>
  </si>
  <si>
    <t xml:space="preserve">G074042 </t>
  </si>
  <si>
    <t>176-10885335</t>
  </si>
  <si>
    <t>BAL-ANG-UASL-MUMBAI -MAHARASHTRA/
PUR/10005168</t>
  </si>
  <si>
    <t>020-19996524</t>
  </si>
  <si>
    <t>42J0349045</t>
  </si>
  <si>
    <t>BAL-ANG-UASL-MUMBAI -MAHARASHTRA/
PUR/10005170</t>
  </si>
  <si>
    <t>42J0349047</t>
  </si>
  <si>
    <t>531 </t>
  </si>
  <si>
    <t>672 </t>
  </si>
  <si>
    <t>41 </t>
  </si>
  <si>
    <t>896 </t>
  </si>
  <si>
    <t>OOC done dtd. 18-06-2025//query raised  PAYMENT NOT DEBBITED IN ECL dtd.17-06-2025//Shipment dispatched dtd. 18-06-2025 vehicle no.Mh02 ER 9062 mob.  8286364070</t>
  </si>
  <si>
    <t xml:space="preserve">Mh02 ER 9062 </t>
  </si>
  <si>
    <t>217-05440584</t>
  </si>
  <si>
    <t>G056803</t>
  </si>
  <si>
    <t>6940688
6940819</t>
  </si>
  <si>
    <t>174525.00
123331.00</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</si>
  <si>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</si>
  <si>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75
75
53
53</t>
  </si>
  <si>
    <t>BAL MO U.P.East/PUR/72168
BAL MO U.P.East/PUR/72168</t>
  </si>
  <si>
    <t>G056744</t>
  </si>
  <si>
    <t>MH14HU2367</t>
  </si>
  <si>
    <t>IB BOE OOC done dtd.13-06-2025//WPC licence not applicalbe //OOC done dtd.19-06-2025//shipment dispatched dtd. 20-06-2025 vehicle no. MH14HU2367 mob . 8262069121</t>
  </si>
  <si>
    <t>MH47BL7667</t>
  </si>
  <si>
    <t>IB OOC done dtd.12-06-2025//WPC licence not applicalbe  //OB BOE to be filed on Monday, 16.06.2025, to avoid interest charges//OOC  done dtd.17-06-2025//shipment dispatched dtd. 20-06-2025  vehicle no. MH47BL7667 mob.  8619529750</t>
  </si>
  <si>
    <t>IB OOC done dtd.16-06-2025//WPC licence not applicalbe  //OOC done dtd.19-06-2025//shipment dispatched dtd. 20-06-2025  vehicle no. MH47BL7667 mob.  8619529750</t>
  </si>
  <si>
    <t>DL 1MB3332</t>
  </si>
  <si>
    <t>the ERROR in IGM Consol (10-06-2025)//IB OOC done dtd.13-06-2025//OB conrimation mail sent  dtd. 14-06-2025//WPC licence valid upto dtd. 12-12-2025//OB confirmation received dtd. 16-06-2025//OOC done dtd.19-06-2025//Shipment dispatched dtd. 20-06-2025 vehicle no. DL 1MB3332 mob.7042767675</t>
  </si>
  <si>
    <t>IB OOC done dtd. 13-06-2025//OB conrimation mail sent dtd. 14-6-2025 //WPC Licence valid upto dtd.10-10-2025//OB confirmation received dtd. 16-06-2025///OOC done dtd. 19-06-2025//Shipment dispatched dtd. 20-06-2025 vehicle no. DL 1MB3332 mob.7042767675</t>
  </si>
  <si>
    <t>the ERROR in IGM Consol (10-06-2025)//IB OOC done dtd.13-06-2025//OB conrimation mail sent  dtd. 14-06-2025 ///OB confirmation received dtd. 16-06-2025//WPC Lic valid upto dtd. 11-10-2025 //OOC done dtd.19-06-2025//Shipment dispatched dtd. 20-06-2025 vehicle no. DL 1MB3332 mob.7042767675</t>
  </si>
  <si>
    <t xml:space="preserve">DL01LAA2779 </t>
  </si>
  <si>
    <t>UP (Ghaziabad)</t>
  </si>
  <si>
    <t>ELE001202 TRANSCEIVER MODULE OR DWDM TUNABLE SFP SFP  5160 39XX XCVR-T80W02</t>
  </si>
  <si>
    <t>B0HTPDLO6 -TRANSPONDER/MUXPONDER,MODEL:TM80 0,2X400G TRANSPONDER MUXPONDER SUPPORTING ULH, LH, METRO AND DCI DISTANCES. INCLUDE TWO MULTI-RATE LINES 50-400G QSFP</t>
  </si>
  <si>
    <t>Mh46bu3874</t>
  </si>
  <si>
    <t>the ERROR in IGM Consol (10-06-2025)//IB OOC done dtd.16-06-2025//WPC licence valid upto dtd.10-10-2025//OB confirmation mail send dtd. 17-06-2025//OOC done dtd.20-06-2025//shipment dispatched dtd. 21-06-2025 vehilce no.Mh46bu3874 MOB NO.9082926137</t>
  </si>
  <si>
    <t>the ERROR in IGM Consol(Part shipment) (10-06-2025)//IB OOC done dtd.16-06-2025//WPC Lic. Valid upto dtd.11-10-2025//confirmation mail sent dtd. 17-6-2025//confiramtion received dtd. 17-06-2025//OOC done dtd.20-06-2025//shipment dispatched dtd. 21-06-2025 vehilce no.Mh46bu3874   MOB NO.9082926137</t>
  </si>
  <si>
    <t>AI2025-0035030</t>
  </si>
  <si>
    <t>607-38474785</t>
  </si>
  <si>
    <t>AI2025-0035029</t>
  </si>
  <si>
    <t>BAL LDS NLD/PUR/2055599</t>
  </si>
  <si>
    <t>CDWHWS104</t>
  </si>
  <si>
    <t>OOC done dtd.21-06-2025//shipment dispatched dtd.23-06-2025 vehicle no.MH04 FP 7240  mob. 9221100725</t>
  </si>
  <si>
    <t>MH04 FP 7240</t>
  </si>
  <si>
    <t>1061489 </t>
  </si>
  <si>
    <t>191068 </t>
  </si>
  <si>
    <t>618-41617844</t>
  </si>
  <si>
    <t>G107156</t>
  </si>
  <si>
    <t>BAL MO Madhya Pradesh/PUR/53154</t>
  </si>
  <si>
    <t>G107239</t>
  </si>
  <si>
    <t>G107122</t>
  </si>
  <si>
    <t>5
5</t>
  </si>
  <si>
    <t>BAL-MO-ROM-Maharashtra/PUR/10025017</t>
  </si>
  <si>
    <t>G107081</t>
  </si>
  <si>
    <t>MTT-158530</t>
  </si>
  <si>
    <t>JB-2025-AI-21-002418</t>
  </si>
  <si>
    <t>157-05797551</t>
  </si>
  <si>
    <t>MTT-158531</t>
  </si>
  <si>
    <t>JB-2025-AI-21-002408</t>
  </si>
  <si>
    <t>ECD-25 061337</t>
  </si>
  <si>
    <t>ECD-25 061335</t>
  </si>
  <si>
    <t>ECD-25 061334</t>
  </si>
  <si>
    <t>ECD-25 061336</t>
  </si>
  <si>
    <t>MH14MH1909</t>
  </si>
  <si>
    <t>IB OOC  done dtd. 13.06.2025//WPC licence not applicalbe //OB custom duty requested dtd.17-06-2025//OOC done dtd .18-06-2025//Shipment dispatched dtd. 24-06-2025 vehicle no. MH14MH1909 mob. No.8975889644</t>
  </si>
  <si>
    <t>IB OOC done dtd.20-06-2025//OB confirmation mail send dtd. 20-06-2025//WPC licence valid upto dtd.06-12-2025//Custom duty requested dtd. 23-06-2025///OOC done dtd.24-06-2025//Shipment dispatched dtd. 24-06-2025 vehicle no. MH14MH1909 mob. No.8975889644</t>
  </si>
  <si>
    <t>UP LUCKOW</t>
  </si>
  <si>
    <t xml:space="preserve">UP GHAZIABAD </t>
  </si>
  <si>
    <t>CMWIH0558</t>
  </si>
  <si>
    <t>CMWIH0558 WB-0009-0 IP-20_F0_MNG Y CABLE</t>
  </si>
  <si>
    <t>BAL-MO-UPW-UP/PUR/10015841</t>
  </si>
  <si>
    <t>G117734</t>
  </si>
  <si>
    <t>RJ 14 GQ 2084</t>
  </si>
  <si>
    <t>IB BOE  OOC done dtd.16-06-2025//WPC Licence  valid upto dtd.12-11-2025//custom duty  requested dtd.23-06-2025//OOC done dtd.24-06-2025//shipment dispatched dtd. 25-06-2025 vehicle no.RJ 14 GQ 2084  mob. No. +917489184657</t>
  </si>
  <si>
    <t>IB OOC done dtd.18-06-2025//WPC Licence validupto dtd. 20-10-2025//OB confirmation mail send dtd. 19-06-2025//custom duty  requested dtd.23-06-2025/OOC done dtd.24-06-2025//shipment dispatched dtd. 25-06-2025 vehicle no.RJ 14 GQ 2084  mob. No. +917489184657</t>
  </si>
  <si>
    <t>IB OOC done dtd.18-06-2025//WPC Licence validupto dtd. 12-11-2025///OB confirmation mail send dtd. 19-06-2025//custom duty  requested dtd.23-06-2025/OOC done dtd.24-06-2025//shipment dispatched dtd. 25-06-2025 vehicle no.RJ 14 GQ 2084  mob. No. +917489184657</t>
  </si>
  <si>
    <t>10012698 </t>
  </si>
  <si>
    <t>1802286 </t>
  </si>
  <si>
    <t>4420190 </t>
  </si>
  <si>
    <t>795634 </t>
  </si>
  <si>
    <t>157 </t>
  </si>
  <si>
    <t>020-33919093</t>
  </si>
  <si>
    <t>42J0349643</t>
  </si>
  <si>
    <t>DL 1 LX 5558</t>
  </si>
  <si>
    <t>custom duty requested dtd.20-06-2025//OOC done dtd. 28-06-2025//shipment  dispatched dtd.30-06-2025 vehicle no.MH03CP8728 mob. 7021883595</t>
  </si>
  <si>
    <t>MH03CP8728</t>
  </si>
  <si>
    <t>IB OOC done dtd. 19-06-2025//WPC licence valid upto dtd.20-10-2025 ///revised FTA Certificate  soft copy received dtd.24-06-2025/OB confirmation mail send dtd. 24-06-2025//Confirmation mail received dtd.25-06-2025//FORM I pending//original  FTA received dtd.28-06-2025//custom duty requested dtd. 26-06-2025//OOC done dtd.28-06-2025 //shipment dispatched dtd. 30-06-2025 vehilce no.DL 1 LX 5558 mob. 8287872157</t>
  </si>
  <si>
    <t>618-41617450</t>
  </si>
  <si>
    <t>G178623</t>
  </si>
  <si>
    <t xml:space="preserve">AWAITED </t>
  </si>
  <si>
    <t xml:space="preserve">Hexacom MO  Rajasthan/PUR/67745
</t>
  </si>
  <si>
    <t>G178684</t>
  </si>
  <si>
    <t xml:space="preserve">Hexacom MO  Rajasthan/PUR/67749
</t>
  </si>
  <si>
    <t>G178761</t>
  </si>
  <si>
    <t>3640981 </t>
  </si>
  <si>
    <t>269 </t>
  </si>
  <si>
    <t>10198078 </t>
  </si>
  <si>
    <t>1835654 </t>
  </si>
  <si>
    <t>232-10582655</t>
  </si>
  <si>
    <t>SIN76029588</t>
  </si>
  <si>
    <t>MTT-158809</t>
  </si>
  <si>
    <t>BAL-ANG-UASL-NCRBAL-ANG-UASL-NCRHaryana/
PUR/10006152</t>
  </si>
  <si>
    <t>157-05797400</t>
  </si>
  <si>
    <t>MTT-158808</t>
  </si>
  <si>
    <t>CGHODUPX5 BR-0323-0 MW RADIO:IP-50CX-E-18-H-H,FREQ BAND:18 GHZ,TX POWER OUTPUT:24  DBM,TYPE:HIGH,(1+0 UPGRADE TO XPIC W
CGHODUPV9 BR-0324-0 MW RADIO:IP-50CX-E-18-H-L,FREQ BAND:18 GHZ,TX POWER OUTPUT:24 DBM,TYPE:LOW,(1+0 UPGRADE TO XPIC WIT</t>
  </si>
  <si>
    <t>BAL MO Mumbai/PUR/94622</t>
  </si>
  <si>
    <t>176-10885464</t>
  </si>
  <si>
    <t>G189958</t>
  </si>
  <si>
    <t>MH04KU7503</t>
  </si>
  <si>
    <t>IB OOC  done dtd. 19-06-2025//WPC  licence valid upto dtd. 06-12-2025 ///revised FTA Certificate soft copy   received dtd.24-06-2025/OB confirmation mail send dtd. 24-06-2025//original  FTA received dtd.28-06-2025//custom duty requested dtd.30-06-25//OOC done dtd.02-07-2025//Shipment dispatched dtd.03-07-2025 vehicle no.MH04KU7503 mob. no.90506 56790</t>
  </si>
  <si>
    <t>IB OOC done dtd .19-06-2025 //WPC Licence valid upto dtd. 20.10.2025 //revised FTA Certificate  soft copy received dtd.24-06-2025/OB confirmation mail send dtd. 24-06-2025//original  FTA received dtd.28-06-2025//custom  duty requested dtd.30-06-2025//OOC done dtd.02-07-2025//Shipment dispatched dtd.03-07-2025 vehicle no.MH04KU7503 mob. no.90506 56790</t>
  </si>
  <si>
    <t>11 </t>
  </si>
  <si>
    <t>42J0349689</t>
  </si>
  <si>
    <t>020-33920515</t>
  </si>
  <si>
    <t>custom duty requested dtd.01-07-2025//OOC done dtd.03-07-2025//shipment dispatched  dtd. 04-07-2025 vehicle no. MH02FG6049 mobile no. 8318593994</t>
  </si>
  <si>
    <t>MH02FG6049</t>
  </si>
  <si>
    <t>10051 </t>
  </si>
  <si>
    <t>3767 </t>
  </si>
  <si>
    <t>MH04 MH9219</t>
  </si>
  <si>
    <t>IB OOC done dtd. 19-06-2025//revised FTA Certificate soft copy  received dtd.24-06-2025//WPC licence valid upto dtd.20.10.2025//OB confirmation received  dtd. 25-06-2025//original  FTA received dtd.28-06-2025//custom duty requested dtd.02-07-2025//OOC done dtd.03-07-2025//Shipment dispatched dtd.05-07-2025 vehicle no.  MH04 MH9219  mob. 7238-867772</t>
  </si>
  <si>
    <t>IB OOC done dtd.24-06-2025//OB confirmation mail send dtd. 25-06-2025//WPC licence valid upto dtd.24-12-2025//conformation mail received  dtd.25-06-2025//custom duty requested dtd.02-07-2025//OOC done dtd.03-07-2025//Shipment dispatched dtd.05-07-2025 vehicle no.  MH04 MH9219  mob. 7238-867772</t>
  </si>
  <si>
    <t>RJ 40 GA 6882</t>
  </si>
  <si>
    <t>QUERY  : DOCUMENTS E-SANCHIT WERE NOT DIGITALLY SIGNED. PLEASE  PROVIDE REASON FOR THE SAME.//IB OOC done 21-06-2025//WPC licence not applicable//custom duty requested dtd. 24-06-2025//OOC done dtd.27-06-2025//Shipment dispatched dtd. 05-07-2025 vehicle no. RJ 40 GA 6882 mob.6398547753</t>
  </si>
  <si>
    <t>IB OOC done dtd.27-06-2025//WPC licence not applicable //custom duty requested dtd.01-07-2025//OOC done dtd.02-07-2025//Shipment dispatched dtd. 05-07-2025 vehicle no. RJ 40 GA 6882 mob.6398547753</t>
  </si>
  <si>
    <t>IB OOC done dtd. 27-06-2025 //WPC licence not applicable //custom duty requested dtd.01-07-2025//OOC done dtd.02-07-2025//Shipment dispatched dtd. 05-07-2025 vehicle no. RJ 40 GA 6882 mob.6398547753</t>
  </si>
  <si>
    <t>IB OOC done dtd.27-06-2025//WPC licence not applicable //Original FTA certificate received dtd. 28-06-2025//custom duty requested dtd. 02.07.2025//OOC done dtd. 03-07-2025//Shipment dispatched dtd. 05-07-2025 vehicle no. RJ 40 GA 6882 mob.6398547753</t>
  </si>
  <si>
    <t>IB OOC done dtd.27-06-2025//WPC licence not applicable //Original FTA certificate received dtd. 28-06-2025//custom duty requested dtd. 01.07.2025//OOC done dtd.02-07-2025//Shipment dispatched dtd. 05-07-2025 vehicle no. RJ 40 GA 6882 mob.6398547753</t>
  </si>
  <si>
    <t>flight already landed on 24-06-25 and PRE ALERT document received  evening dtd.25-06-2025//IB OOC  done dtd.27-06-2025 //Query raised COO HAS BEEN DECLARED AS INDIA. PLEASE CONFIRM WHETHER IT IS RE-IMPORT. IF YES THEN PLEASE E-SANCHIT THE EXPORT DOCUMENTS.//OB confirmation mail send dtd. 28-06-2025//confirmation recevied dtd.30-06-2025//custom duty requested dtd.02-07-2025//OOC done dtd. 04-07-2025//Shipment dispatched dtd. 05-07-2025 vehicle no. RJ 40 GA 6882 mob.6398547753</t>
  </si>
  <si>
    <t>MH12GT4676</t>
  </si>
  <si>
    <t>IB OOC done dtd.24-06-2025//OB confirmation mail send dtd. 25-06-2025//WPC licence valid upto dtd.06-12-2025 //custom duty requested dtd. 26-06-2025//OOC done dtd.27-06-2025//Shipment dispatched dtd.05-07-2025 vehicle no. MH12GT4676 mob.8082580026</t>
  </si>
  <si>
    <t>WPC Licence valid upto dtd.06-12-2025//IB OOC done dtd. 26-06-2025//OB confiramtion mail received  dtd. 26-06-2025//original  FTA received dtd.28-06-2025//OOC done DTD.01-07-2025/Shipment dispatched dtd.05-07-2025 vehicle no. MH12GT4676 mob.8082580026</t>
  </si>
  <si>
    <t>WPC Licence valid upto dtd.20-12-2025///IB OOC  done dtd.27-06-2025//original  FTA received dtd.28-06-2025//OB confirmation mail send dtd.28-06-2025//custom duty requested dtd.01-07-2025//OOC done dtd.03-07-2025/Shipment dispatched dtd.05-07-2025 vehicle no. MH12GT4676 mob.8082580026</t>
  </si>
  <si>
    <t>607-38474553</t>
  </si>
  <si>
    <t>custom duty requested  dtd.11-06-2025//OOC done dtd.13-06-2025//Shipment dispatched dtd.14-06-2025 vehicle no. MH02FX9073 mob. 8318593994</t>
  </si>
  <si>
    <t>BAL-MO-HARYANA-HARYANA/PU
R/10009705</t>
  </si>
  <si>
    <t>618-44500842</t>
  </si>
  <si>
    <t>G222175</t>
  </si>
  <si>
    <t>Pre Aleart document received on sat evening  05-7-2025 time 7.44 pm</t>
  </si>
  <si>
    <t>18
18</t>
  </si>
  <si>
    <t>BAL MO Mumbai/PUR/95224</t>
  </si>
  <si>
    <t>8WV2037</t>
  </si>
  <si>
    <t>6943806
6943807</t>
  </si>
  <si>
    <t>30258.00
33620.00</t>
  </si>
  <si>
    <t xml:space="preserve">B0HODUNJ2
B0HODUNE9  
B0HODUNJ2
B0HODUNE9
</t>
  </si>
  <si>
    <t>B0HODUNJ2 BR-0334-0 MICROWAVE RADIO,MODEL:IP-50E-DX0H-H-ESSQ,FREQUENCY BAND:80 GHZ,TX
B0HODUNE9 BR-0335-0 MICROWAVE RADIO,MODEL:IP-50E-DX0H-L-ESSQ,FREQUENCY BAND:80 GHZ,TX
B0HODUNJ2 BR-0334-0 MICROWAVE RADIO,MODEL:IP-50E-DX0H-H-ESSQ,FREQUENCY BAND:80 GHZ,TX
B0HODUNE9 BR-0335-0 MICROWAVE RADIO,MODEL:IP-50E-DX0H-L-ESSQ,FREQUENCY BAND:80 GHZ,TX</t>
  </si>
  <si>
    <t>9
9
10
10</t>
  </si>
  <si>
    <t>8WV2038</t>
  </si>
  <si>
    <t>BAL MO  Gujarat/PUR/50703
BAL MO Gujarat/PUR/50625</t>
  </si>
  <si>
    <t>160-96801891</t>
  </si>
  <si>
    <t>42J0349709</t>
  </si>
  <si>
    <t>2656151 </t>
  </si>
  <si>
    <t>1167644 </t>
  </si>
  <si>
    <t>JB-2025-AI-21-002581</t>
  </si>
  <si>
    <t>2307326 </t>
  </si>
  <si>
    <t>748907 </t>
  </si>
  <si>
    <t>70
70</t>
  </si>
  <si>
    <t>BAL MO U.P.East/PUR/72220</t>
  </si>
  <si>
    <t>618-44508321</t>
  </si>
  <si>
    <t>G233134</t>
  </si>
  <si>
    <t xml:space="preserve">CGHODUPF1
CGHODUPE9 
CGHODUPF1 
CGHODUPE9  </t>
  </si>
  <si>
    <t>BAL MO U.P.East/PUR/72168</t>
  </si>
  <si>
    <t xml:space="preserve">G056744 </t>
  </si>
  <si>
    <t>6938794
6941505</t>
  </si>
  <si>
    <t>05-Jun-2025
22-Jun-2025</t>
  </si>
  <si>
    <t>74464.00
51194.00</t>
  </si>
  <si>
    <t>CGHODUPV3
CGHODUPX3
CGHODUPF1
CGHODUPE9</t>
  </si>
  <si>
    <t>CGHODUPV3 BR-0320-0 MW RADIO:IP-50CX-E-15-420-08W15-H,FREQUENCY BAND:15 GHZ (8W15),TX POWER
CGHODUPX3 BR-0325-0 MW RADIO:IP-50CX-E-15-420-08W15-L,FREQUENCY BAND:15 GHZ (8W15),TX POWER
CGHODUPF1 BR-0332-0 MW RADIO:IP-50CX-E-13-266-05W08-H,FREQUENCY BAND:13 GHZ,TX POWER
CGHODUPE9 BR-0333-0 MW RADIO:IP-50CX-E-13-266-05W08-L,FREQUENCY BAND:13 GHZ,TX POWER</t>
  </si>
  <si>
    <t>32
32
22
22</t>
  </si>
  <si>
    <t>G233189</t>
  </si>
  <si>
    <t>6942334
6942602</t>
  </si>
  <si>
    <t>22-06-2025
22-Jun-2025</t>
  </si>
  <si>
    <t>93080
46540.00</t>
  </si>
  <si>
    <t>CGHODUPY4
CGHODUPI9
CGHODUPY4
CGHODUPI9</t>
  </si>
  <si>
    <t>CGHODUPY4 BR-0316-0 MW RADIO:IP-50CX-E-18-H-H,FREQUENCY BAND:18 GHZ,TX POWER OUTPUT:24
CGHODUPI9 BR-0317-0 MW RADIO:IP-50CX-E-18-H-L,FREQUENCY BAND:18 GHZ,TX POWER OUTPUT:24DBM
CGHODUPY4 BR-0316-0 MW RADIO:IP-50CX-E-18-H-H,FREQUENCY BAND:18 GHZ,TX POWER OUTPUT:24
CGHODUPI9 BR-0317-0 MW RADIO:IP-50CX-E-18-H-L,FREQUENCY BAND:18 GHZ,TX POWER OUTPUT:24DBM</t>
  </si>
  <si>
    <t>40
40
20
20</t>
  </si>
  <si>
    <t>BAL MO U.P.East/PUR/72233
BAL MO U.P.East/PUR/72233</t>
  </si>
  <si>
    <t>G233201</t>
  </si>
  <si>
    <t>5-0723</t>
  </si>
  <si>
    <t>AAI0034711</t>
  </si>
  <si>
    <t>6941443
6941448</t>
  </si>
  <si>
    <t>23-Jun-2025
23-Jun-2025</t>
  </si>
  <si>
    <t>58175.00
58175.00</t>
  </si>
  <si>
    <t>CGHODUPX1
CGHODUPV2
CGHODUPV3
CGHODUPX3</t>
  </si>
  <si>
    <t>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t>
  </si>
  <si>
    <t>25
25
25
25</t>
  </si>
  <si>
    <t>Hexacom MO  Rajasthan/PUR/67749
Hexacom MO  Rajasthan/PUR/67749</t>
  </si>
  <si>
    <t>5-0724</t>
  </si>
  <si>
    <t>AAI0034712</t>
  </si>
  <si>
    <t>JB-2025-AI-21-002609</t>
  </si>
  <si>
    <t>SEA</t>
  </si>
  <si>
    <t>NHAVA SHEVA</t>
  </si>
  <si>
    <t>SINC27616</t>
  </si>
  <si>
    <t>SINC27617</t>
  </si>
  <si>
    <t>BAL MO Gujarat/PUR/50857</t>
  </si>
  <si>
    <t>SINC27615</t>
  </si>
  <si>
    <t>SINC27608</t>
  </si>
  <si>
    <t>Custom duty requested dtd.07-07-2025//OOC done dtd.08-07-2025/Shipment dispatched dtd.09-07-2025 vehicle no. MH03CP8728 mob.7021883595</t>
  </si>
  <si>
    <t>6942971
6943104</t>
  </si>
  <si>
    <t>24-Jun-2025
24-Jun-2025</t>
  </si>
  <si>
    <t xml:space="preserve">CGHODUPX5
CGHODUPV9
CGHODUPX5
CGHODUPV9
</t>
  </si>
  <si>
    <t>CGHODUPX5 BR-0323-0 MW RADIO:IP-50CX-E-18-H-H,FREQ BAND:18 GHZ,TX POWER OUTPUT:24  DBM,TYPE:HIGH,(1+0 UPGRADE TO XPIC W
CGHODUPV9 BR-0324-0 MW RADIO:IP-50CX-E-18-H-L,FREQ BAND:18 GHZ,TX POWER OUTPUT:24 DBM,TYPE:LOW,(1+0 UPGRADE TO XPIC WIT
CGHODUPX5 BR-0323-0 MW RADIO:IP-50CX-E-18-H-H,FREQ BAND:18 GHZ,TX POWER OUTPUT:24  DBM,TYPE:HIGH,(1+0 UPGRADE TO XPIC W
CGHODUPV9 BR-0324-0 MW RADIO:IP-50CX-E-18-H-L,FREQ BAND:18 GHZ,TX POWER OUTPUT:24 DBM,TYPE:LOW,(1+0 UPGRADE TO XPIC WIT</t>
  </si>
  <si>
    <t>20
20
30
30</t>
  </si>
  <si>
    <t>BAL MO U.P.East/PUR/72220
BAL MO U.P.East/PUR/72220</t>
  </si>
  <si>
    <t>SIN76029654</t>
  </si>
  <si>
    <t>41540.00
62310.00</t>
  </si>
  <si>
    <t>Custom duty requested dtd. 08-07-2025  //OOC done dtd. 10-07-2025//shipment dispatched dtd.10-07-2025</t>
  </si>
  <si>
    <t>CGHSFPKS4 AO-0264-0 XCVR,SFP+,1310NM,SM,10 GBIT/S,10KM,INDUSTRIAL GRADE,SINGLE P</t>
  </si>
  <si>
    <t>CGHSFPKS4</t>
  </si>
  <si>
    <t>BAL MO Mumbai/PUR/91178</t>
  </si>
  <si>
    <t xml:space="preserve">NA </t>
  </si>
  <si>
    <t>SIN76029655</t>
  </si>
  <si>
    <t>CMWIH0231</t>
  </si>
  <si>
    <t>CMWIH0231 AO-0097-0 SFP-GE-LX-EXT-TEMP_HW</t>
  </si>
  <si>
    <t>BAL MO Gujarat/PUR/48263</t>
  </si>
  <si>
    <t>G231565</t>
  </si>
  <si>
    <t>020-33921716</t>
  </si>
  <si>
    <t>42J0349800</t>
  </si>
  <si>
    <t>IB OOC done dtd.05-07-2025//WPC licence valid upto dtd.05-10-2025//OB confirmation received dtd.07-07-2025//Custom duty requested dtd.08-07-2025//duty paid dtd.09-07-2025 //OOC done dtd.10-07-2025//Shipment dispatched dtd.11-07-2025 vehicle no. MH46BB6951 m.9867584328</t>
  </si>
  <si>
    <t>MH14JL2259</t>
  </si>
  <si>
    <t>IB OOC done dtd.08.07.2025`//WPC licence valid upto dtd.20-12-2025//OB confirmation mail send dtd. 09-07-2025//Custom duty requested dtd. 10-07-2025//OOC  done dtd.11-07-2025 //shipment dispatched dtd. 11-07-2025 vehicle no. MH14JL2259 mob. 8850106654</t>
  </si>
  <si>
    <t>CGHODUPF1
CGHODUPE9
CGHODUPF1
CGHODUPE9</t>
  </si>
  <si>
    <t>6943883
6943884</t>
  </si>
  <si>
    <t>26-06-2025
26-Jun-2025</t>
  </si>
  <si>
    <t>174525
58175.00</t>
  </si>
  <si>
    <t>75
75
25
25</t>
  </si>
  <si>
    <t>BAL MO U.P. East/PUR/72168</t>
  </si>
  <si>
    <t>G233123</t>
  </si>
  <si>
    <t>BAL-MO-MPCG-Chhattisgarh/PUR/10002789</t>
  </si>
  <si>
    <t>G233194</t>
  </si>
  <si>
    <t>G233219</t>
  </si>
  <si>
    <t>6942271
6942272</t>
  </si>
  <si>
    <t>22-Jun-2025
22-Jun-2025</t>
  </si>
  <si>
    <t>51925.00
51925.00</t>
  </si>
  <si>
    <t>BAL-MO-MPCG-Chhattisgarh/PUR/10002789
BAL-MO-MPCG-Chhattisgarh/PUR/10002789</t>
  </si>
  <si>
    <t>G233204</t>
  </si>
  <si>
    <t>BAL MO Punjab/PUR/59874</t>
  </si>
  <si>
    <t>G231592</t>
  </si>
  <si>
    <t>BAL MO Gujarat/PUR/46867</t>
  </si>
  <si>
    <t>G231588</t>
  </si>
  <si>
    <t>BAL MO Mumbai/PUR/94996</t>
  </si>
  <si>
    <t>G231581</t>
  </si>
  <si>
    <t>39
39</t>
  </si>
  <si>
    <t>G231563</t>
  </si>
  <si>
    <t>BAL MO Madhya Pradesh/PUR/53235</t>
  </si>
  <si>
    <t>020-33921904</t>
  </si>
  <si>
    <t>42J0351812</t>
  </si>
  <si>
    <t>42J0351819</t>
  </si>
  <si>
    <t>4
4</t>
  </si>
  <si>
    <t xml:space="preserve">Hexacom MO  Rajasthan/PUR/66242
</t>
  </si>
  <si>
    <t>G241655</t>
  </si>
  <si>
    <t>AI2025-0040176</t>
  </si>
  <si>
    <t>MTT-158948</t>
  </si>
  <si>
    <t>JB-2025-AI-21-002652</t>
  </si>
  <si>
    <t>MTT-158947</t>
  </si>
  <si>
    <t>BAL-ANG-UASL-NCRBAL-ANG-UASL-NCRHaryana/
PUR/10006496</t>
  </si>
  <si>
    <t>JB-2025-AI-21-002647</t>
  </si>
  <si>
    <t>BAL LDS NLD/PUR/2055628</t>
  </si>
  <si>
    <t>AI2025-0040650</t>
  </si>
  <si>
    <t>AI2025-0040649</t>
  </si>
  <si>
    <t>CAMPFTA01</t>
  </si>
  <si>
    <t>6942833
6943871</t>
  </si>
  <si>
    <t>24-06-2025
26-Jun-2025</t>
  </si>
  <si>
    <t>83080.00
62310.00</t>
  </si>
  <si>
    <t>40
40
30
30</t>
  </si>
  <si>
    <t>BAL MO U.P. East/PUR/72220</t>
  </si>
  <si>
    <t>BAL MO U.P. East/PUR/72220
BAL MO U.P. East/PUR/72220</t>
  </si>
  <si>
    <t>SINC28058</t>
  </si>
  <si>
    <t xml:space="preserve">CGHODUQY4 BR-0328-0 MW RADIOIP-50CX-E-15-420-08W15-H FB 15 GHZ (8W15)TXP 25 DBM HIGH1+0 UPGRD
CGHODUQI4 BR-0329-0 MW RADIO:IP-50CX-E-15-420-08W15-L,FB1 5 GHZ (8W15)TXP:25 DBM LOW 1+0 UPGRD
</t>
  </si>
  <si>
    <t>SINC27950</t>
  </si>
  <si>
    <t>SINC28059</t>
  </si>
  <si>
    <t>Hexacom MO Rajasthan/PUR/67928</t>
  </si>
  <si>
    <t>SINC28057</t>
  </si>
  <si>
    <t>SINC28054</t>
  </si>
  <si>
    <t>6944267
6944268</t>
  </si>
  <si>
    <t>30-Jun-2025
30-Jun-2025</t>
  </si>
  <si>
    <t>162890.00
34905.00</t>
  </si>
  <si>
    <t xml:space="preserve">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t>
  </si>
  <si>
    <t>70
70
15
15</t>
  </si>
  <si>
    <t>SINC28056</t>
  </si>
  <si>
    <t>BAL MO U.P. East/PUR/72404
BAL MO U.P. East/PUR/72404</t>
  </si>
  <si>
    <t>6938322
6943877
6943878
6943882</t>
  </si>
  <si>
    <t>26-Jun-2025
26-Jun-2025
26-Jun-2025
26-Jun-2025</t>
  </si>
  <si>
    <t>155775.00
41540.00
155775.00
72695.00</t>
  </si>
  <si>
    <t>CGHODUPA3
CGHODUPI7
CGHODUPA3
CGHODUPI7
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</si>
  <si>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</si>
  <si>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 xml:space="preserve">75
75
20
15
75
75
35
35
</t>
  </si>
  <si>
    <t>BAL MO U.P. East/PUR/72220
BAL MO U.P. East/PUR/72220
BAL MO U.P. East/PUR/72220
BAL MO U.P. East/PUR/72220</t>
  </si>
  <si>
    <t>SINC27951</t>
  </si>
  <si>
    <t>6941472
6941476</t>
  </si>
  <si>
    <t>23-06-2025
23-06-2025</t>
  </si>
  <si>
    <t>155775.00
155775.00</t>
  </si>
  <si>
    <t>CGHODUPX4 BR-0327-0 MW RADIO IP-50CX-E-15-420-01W08-H,FB 15 GHZ 1W8 TXP:25 DBM HIGH 1+0 UPGRD
CGHODUPX2 BR-0326-0 MW RADIOIP-50CX-E-15-420-01W08-L,FB 15 GHZ 1W8 TXP 25 DBM LOW 1+0 UPGRD TO
CGHODUPX4 BR-0327-0 MW RADIO IP-50CX-E-15-420-01W08-H,FB 15 GHZ 1W8 TXP:25 DBM HIGH 1+0 UPGRD
CGHODUPX2 BR-0326-0 MW RADIOIP-50CX-E-15-420-01W08-L,FB 15 GHZ 1W8 TXP 25 DBM LOW 1+0 UPGRD TO</t>
  </si>
  <si>
    <t>75
75
75
75</t>
  </si>
  <si>
    <t>BAL MO Madhya Pradesh/PUR/53348
BAL MO Madhya Pradesh/PUR/53348</t>
  </si>
  <si>
    <t>SINC28048</t>
  </si>
  <si>
    <t>SINC28052</t>
  </si>
  <si>
    <t>SINC27952</t>
  </si>
  <si>
    <t>87 </t>
  </si>
  <si>
    <t>MH-43BB0169</t>
  </si>
  <si>
    <t>OOC done dtd.14-07-2025//Shipment dispatched dtd.15-07-2025 vehicle no.MH-43BB0169 m-8104588591</t>
  </si>
  <si>
    <t>607-39389560</t>
  </si>
  <si>
    <t>AI2025-0041195</t>
  </si>
  <si>
    <t>43826496 </t>
  </si>
  <si>
    <t>19266128 </t>
  </si>
  <si>
    <t>AI2025-0041194</t>
  </si>
  <si>
    <t>17
17</t>
  </si>
  <si>
    <t>BAL-MO-HARYANA-HARYANA/PUR/10009705</t>
  </si>
  <si>
    <t>SIN76029720</t>
  </si>
  <si>
    <t>6948856
6944295</t>
  </si>
  <si>
    <t>30-06-2025
30-06-2025</t>
  </si>
  <si>
    <t>53792.00
36982.00</t>
  </si>
  <si>
    <t>B0HODUNJ2
B0HODUNE9
B0HODUNJ2
B0HODUNE9</t>
  </si>
  <si>
    <t>16
16
11
11</t>
  </si>
  <si>
    <t>BAL MO Punjab/PUR/62788
BAL MO Punjab/PUR/62788</t>
  </si>
  <si>
    <t>SIN76029721</t>
  </si>
  <si>
    <t>Please note that the Inbond OOC copy has not been yet  generated for the subject  due to a technical issue with the ICEGATE system.</t>
  </si>
  <si>
    <t>MH46CU7801</t>
  </si>
  <si>
    <t>WPC Licence valid upto dtd.08-11-2025//IB OOC done dtd.26-06-2025//OB confiramtion mail send dtd. 26-06-2025//original  FTA received dtd.28-06-2025//OB confirmation received dtd. 14-07-2025//Custom duty requested dtd. 15-07-2025//OOC done dtd.16-07-2025//shipment dispatched dtd. 17-07-2025 vehicle no.MH46CU7801 mob.82913 51802</t>
  </si>
  <si>
    <t>IB OOC done dtd.10-07-2025/OB confirmation received dtd. 14-07-2025 ///Custom duty requested dtd. 15-07-2025//OOC done dtd.16-07-2025//shipment dispatched dtd. 17-07-2025 vehicle no.MH46CU7801 mob.82913 51802</t>
  </si>
  <si>
    <t>IB OOC done dtd.07-07-2025//WPC licence valid upto dtd.08-11-2025/OB confirmation mail sned dtd. 07-07-2025//OB confirmation received dtd. 14-07-2025///Custom duty requested dtd. 15-07-2025//OOC done  dtd.16-07-2025//shipment dispatched dtd. 17-07-2025 vehicle no.MH46CU7801 mob.82913 51802</t>
  </si>
  <si>
    <t>6944252
6944294</t>
  </si>
  <si>
    <t>198358.00
3362.00</t>
  </si>
  <si>
    <t>59
59
1
1</t>
  </si>
  <si>
    <t>BAL MO Madhya Pradesh/PUR/53154
BAL MO Madhya Pradesh/PUR/53154</t>
  </si>
  <si>
    <t>SIN76029719</t>
  </si>
  <si>
    <t>G303695</t>
  </si>
  <si>
    <t>MH46BM8684</t>
  </si>
  <si>
    <t>NAGAKROT</t>
  </si>
  <si>
    <t>IB BOE OOC done dtd.10.07.2025//WPC  Licence valid upto dtd.24-12-2025//OB confirmation mail sent dtd. 10-07-2025//custom  duty requested dt.14-07-2025 &amp; paid dtd. 16-07-2025//OOC done dtd.17-07-2025// Shipment  dispatched dtd.18-07-2025 vehicle no. MH46BM8684 mob.96042 03390</t>
  </si>
  <si>
    <t xml:space="preserve">MH-03 CP8728 </t>
  </si>
  <si>
    <t>OOC done 18-07-2025//Shipment dispatched dtd.18-07-2025 vehicle no. MH-03 CP8728  m.7021883595</t>
  </si>
  <si>
    <t>OOC  DTD.19-07-2025//shipment dispatched  dtd. 21-07-2025 vehicle no.MH-02CR6657  mob. 7738274825</t>
  </si>
  <si>
    <t xml:space="preserve">MH-02CR6657 </t>
  </si>
  <si>
    <t>CGHODUPX1 BR-0318-0 MW RADIO:IP-50CX-E-15-420-01W08-H,FREQUENCY BAND:15 GHZ (1W8),TX POWER
CGHODUPV2 BR-0319-0 MW RADIO:IP-50CX-E-15-420-01W08-L,FREQUENCY BAND:15 GHZ (1W8),TX POWER</t>
  </si>
  <si>
    <t>BAL MO Gujarat/PUR/50196</t>
  </si>
  <si>
    <t>ECD-25 071606</t>
  </si>
  <si>
    <t>607-80053503</t>
  </si>
  <si>
    <t>AAI0034773</t>
  </si>
  <si>
    <t>BAL MO UPW -UP/PUR/10016093</t>
  </si>
  <si>
    <t>232-10583156</t>
  </si>
  <si>
    <t>SIN76029780</t>
  </si>
  <si>
    <t>607-39397761</t>
  </si>
  <si>
    <t>OOC done dtd.21-07-2025//Shipment dispatched dtd.22-07-2025 vehicle no.MH-02FG6049  mob.8318593994</t>
  </si>
  <si>
    <t xml:space="preserve">MH-02FG6049 </t>
  </si>
  <si>
    <t>6948858
6948884</t>
  </si>
  <si>
    <t>33620
161376</t>
  </si>
  <si>
    <t xml:space="preserve">B0HODUNJ2
B0HODUNE9 
B0HODUNJ2
B0HODUNE9  </t>
  </si>
  <si>
    <t>10
10
48
48</t>
  </si>
  <si>
    <t xml:space="preserve">BAL MO UPW -UP/PUR/10015976
BAL MO UPW -UP/PUR/10015976
</t>
  </si>
  <si>
    <t>SIN76029782</t>
  </si>
  <si>
    <t>607-39398015</t>
  </si>
  <si>
    <t>22-07-205</t>
  </si>
  <si>
    <t>CW5FTA6HC</t>
  </si>
  <si>
    <t>BAL-ANG-UASL-ROM-MAHARASHTRA/PUR/10002473</t>
  </si>
  <si>
    <t>618-41798886</t>
  </si>
  <si>
    <t>G322320</t>
  </si>
  <si>
    <t>CGHODUPA3 BR-0303-0 MW RADIO:IP-50CX-E-13-266-05W08-H,FREQ UENCY BAND:13GHZ,TX POWER
CGHODUPI7 BR-0315-0 MW RADIO:IP-50CX-E-13-266-05W08-L,FREQ BAND:13GHZ,TX POWER OUTPUT:26</t>
  </si>
  <si>
    <t xml:space="preserve">BAL MO U.P. East/PUR/72106
</t>
  </si>
  <si>
    <t>6938317
6938345</t>
  </si>
  <si>
    <t>83080.00
31155.00</t>
  </si>
  <si>
    <t>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</si>
  <si>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</si>
  <si>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40
40
15
15</t>
  </si>
  <si>
    <t xml:space="preserve">CGHODUPX5 BR-0323-0 MW RADIO:IP-50CX-E-18-H-H,FREQ BAND:18 GHZ,TX POWER OUTPUT:24  DBM,TYPE:HIGH,(1+0 UPGRADE TO XPIC W
CGHODUPV9 BR-0324-0 MW RADIO:IP-50CX-E-18-H-L,FREQ BAND:18 GHZ,TX POWER OUTPUT:24 DBM,TYPE:LOW,(1+0 UPGRADE TO XPIC WIT
</t>
  </si>
  <si>
    <t xml:space="preserve">BAL MO U.P. East/PUR/72220
BAL MO U.P. East/PUR/72220
</t>
  </si>
  <si>
    <t>807 </t>
  </si>
  <si>
    <t>1046 </t>
  </si>
  <si>
    <t>747 </t>
  </si>
  <si>
    <t>1121 </t>
  </si>
  <si>
    <t>MTT-159074</t>
  </si>
  <si>
    <t>CFTAQSP28 103.1G-111.8G, 4X25G, WDM, SMF, 1310NM, 10 KM QSFP28 : 160-9402-900(FOC)</t>
  </si>
  <si>
    <t>JB-2025-AI-21-002729</t>
  </si>
  <si>
    <t>157-05797606</t>
  </si>
  <si>
    <t>CFTAHWS01 WAVESERVER WL5E 2X800G C-BAND PREMIUM 16XQSFP28/QSFP-DD MODULE (186-3101-901)-8X100G: 186-3101-901F</t>
  </si>
  <si>
    <t>CFTAHWS01</t>
  </si>
  <si>
    <t>AI2025-0043081</t>
  </si>
  <si>
    <t>AI2025-0043082</t>
  </si>
  <si>
    <t>AI2025-0043083</t>
  </si>
  <si>
    <t>MH48CB9832</t>
  </si>
  <si>
    <t>IB OOC done dtd. 15-07-2025//WPC Licence valid upto dtd.08-12-2025//custom duty requested dtd. 21-07-2025//OOC  done dtd.22-07-2025//Shipment dispatched dtd. 23-07-2025 vehicle no.MH48CB9832 mob.9969344807</t>
  </si>
  <si>
    <t>IB OOC done dtd. 15-07-2025//WPC licence vaild upto dtd.08-12-2025//custom duty requested dtd.21-07-2025//OOC  done dtd.22-07-2025//Shipment dispatched dtd. 23-07-2025 vehicle no.MH48CB9832 mob.9969344807</t>
  </si>
  <si>
    <t>IB OOC done dtd.16-07-2025//OB confirmation mail send dtd. 17-07-2025//WPC licnece not applicable//Custom duty requested dtd. 21-07-2025//OOC  done dtd.22-07-2025//Shipment dispatched dtd. 23-07-2025 vehicle no.MH48CB9832 mob.9969344807</t>
  </si>
  <si>
    <t>MH03DV0091</t>
  </si>
  <si>
    <t>IB OOC done dtd. 15-07-2025//WPC licence valid upto dtd.05-10-2025//custom duty requested dtd.21-07-2025///OOC  done dtd.22-07-2025//Shipment dispatched dtd.23-07-2025 vehicle no. MH03DV0091 mob7084854535</t>
  </si>
  <si>
    <t>MAWB NO.</t>
  </si>
  <si>
    <t>BAL-ANG-UASL-NCR-Haryana/
PUR/10006152</t>
  </si>
  <si>
    <t>CFTAHWS01 WAVESERVER WL5E 2X800G C-BAND PREMIUM 16XQSFP28/QSFP-DD MODULE(186-3101-901)-8X100G: 186-3101-901F</t>
  </si>
  <si>
    <t>BAL LDS NLD/PUR/2055505</t>
  </si>
  <si>
    <t>AI2025-0043546</t>
  </si>
  <si>
    <t>607-39397890</t>
  </si>
  <si>
    <t>CFTAHWS02</t>
  </si>
  <si>
    <t>CFTAHWS02 WAVESERVER WL5E 2X800G C-BAND PREMIUM 16XQSFP28/QSFP-DD MODULE (186-3101-901)-10X100G: 186-3101-901F</t>
  </si>
  <si>
    <t>AI2025-0043545</t>
  </si>
  <si>
    <t>. HR 55 AU 3870</t>
  </si>
  <si>
    <t>IB OOC done dtd. 07-07-2025///WPC licence valid upto dtd.06-01-2026////OB confirmation mail send DTD. 07-07-2025//FORM I received dtd. 18-07-2025//custom duty requested dtd.21-07-2025 //OOC  done dtd.23-07-2025//Shipment  dispatched  dtd.23-07-2025 vehicle no.HR 55 AU 3870  mob.7878282429</t>
  </si>
  <si>
    <t>IB OOC done dtd.11-07-2025//OB confirmation mail send dtd. 12-07-2025//WPC Lic.valid upto dtd.06-01-2026//FORMI received dtd. 18-07-2025//custom duty requested  dtd. 21-07-2025//OOC  done dtd.23-07-2025//Shipment  dispatched  dtd.23-07-2025 vehicle no.HR 55 AU 3870  mob.7878282429</t>
  </si>
  <si>
    <t>IB OOC done dtd.11-07-2025//OB  confirmation mail send dtd. 12-07-2025//WPC Lic.valid upto dtd. 06-01-2026 ///FORM I received dtd. 18-07-2025//custom duty requested dtd.21-07-2025//OOC  done dtd.23-07-2025//Shipment  dispatched  dtd.23-07-2025 vehicle no.HR 55 AU 3870  mob.7878282429</t>
  </si>
  <si>
    <t>MH04MR7798</t>
  </si>
  <si>
    <t>IB  OOC done dtd. 21-06-2025//WPC licence valid upto dtd.12-11-2025//OB confirmation mail send dtd. 24-06-2025//FORMI received dtd. 18-07-2025//custom duty requested dtd. 21-07-2025//OOC done dtd.23-07-2025 //shipment dispatched dtd. 23-07-2025 vehicle no.MH04MR7798 m. 8219333694</t>
  </si>
  <si>
    <t>IB OOC done dtd. 07-07-2025//WPC licence valid upto dtd.06-01-2026//OB confirmation mail send DTD. 07-07-2025//FORMI received dtd. 18-07-2025//custom duty requested dtd.21-07-2025//OOC done dtd.23-07-2025 //shipment dispatched dtd. 23-07-2025 vehicle no.MH04MR7798 m. 8219333694</t>
  </si>
  <si>
    <t>AI2025-0042205</t>
  </si>
  <si>
    <t>MH04MH9216</t>
  </si>
  <si>
    <t>IB OOC done dtd. 15-07-2025//WPC licence valid upto dtd. 24-12-2025// custom duty requested dtd.21-07-2025//OOC done dtd.23-07-2025 //shipment dispatched dtd.24-07-2025  vehicle no.MH04MH9216 mob.7881169446</t>
  </si>
  <si>
    <t>IB OOC done dtd. 16-07-2025//WPC lic. Valid upto 24-12-2025//custom duty requested dtd. 21-07-2025//OOC done dtd.23-07-2025 //shipment dispatched dtd.24-07-2025  vehicle no.MH04MH9216 mob.7881169446</t>
  </si>
  <si>
    <t>IB BOE assessed and under  TP process  dtd. 22-07-2025 // IB OOC done dtd. 23-07-2025//OB confirmation mail send dtd. 24-07-2025</t>
  </si>
  <si>
    <t>BY AIR</t>
  </si>
  <si>
    <t>IB OOC done dtd. 15-07-2025//WPC licence valid upto dtd.24-12-2025//FORM I received dtd.21-07-2025//custom duty requested dtd.21-07-2025//OOC done dtd.23-07-2025// shipment dispatched dtd. 24-07-2025</t>
  </si>
  <si>
    <t xml:space="preserve">IB OOC done dtd. 15-07-2025//WPC Lic.valid upto dtd.06-01-2026//custom duy  requested dtd. 21-07-2025//OOC done dtd.23-07-2025// shipment  dispatched dtd. 24-07-2025 </t>
  </si>
  <si>
    <t>Mh 48 CB 4938</t>
  </si>
  <si>
    <t>IB OOC done dtd. 07-07-2025/WPC licence not applicable //soft copy of FTA received on 08-07-2025//OB custom duty requested dtd.14-07-2025 &amp; duty paid dtd15-07-2025//OOC dtd.16-07-2025//Shipment dispatched dtd. 25-07-2025 vehicle no.Mh 48 CB 4938 mob.9521861733</t>
  </si>
  <si>
    <t>IB OOC done dtd. 08-07-2025/WPC licence not applicable //soft copy of FTA received on 09-07-2025//custom duty requested dtd.14-07-2025//OOC under queue //OOC dtd.16-07-2025//Shipment dispatched dtd. 25-07-2025 vehicle no.Mh 48 CB 4938 mob.9521861733</t>
  </si>
  <si>
    <t>IB OOC done dtd. 17-07-2025//WPC Licence not applicable//custom  duty requested dtd,23-07-2025//OOC done dtd. 24-07-2025//Shipment dispatched dtd. 25-07-2025 vehicle no.Mh 48 CB 4938 mob.9521861733</t>
  </si>
  <si>
    <t>IB OOC done dtd. 17-07-2025//WPC Licence not applicable//custom  duty requested dtd,23-07-2025 //OOC done dtd. 24-07-2025//Shipment dispatched dtd. 25-07-2025 vehicle no.Mh 48 CB 4938 mob.9521861733</t>
  </si>
  <si>
    <t>IB  OOC done dtd.18-07-2025//WPC Licence not applicable //FORM I recevied dtd. 21-07-2025//custom duty requested dtd.23-07-2025//OOC done dtd. 24-07-2025//Shipment dispatched dtd. 25-07-2025 vehicle no.Mh 48 CB 4938 mob.9521861733</t>
  </si>
  <si>
    <t xml:space="preserve">B0HODUNJ2
B0HODUNE9
</t>
  </si>
  <si>
    <t xml:space="preserve">BAL MO Punjab/PUR/62728
</t>
  </si>
  <si>
    <t>176-17661383</t>
  </si>
  <si>
    <t>G331685</t>
  </si>
  <si>
    <t>020-33929475</t>
  </si>
  <si>
    <t>42J0351990</t>
  </si>
  <si>
    <t>EXPEDITIORS</t>
  </si>
  <si>
    <t>MH04LE6915</t>
  </si>
  <si>
    <t>IB OOC done dtd.17-07-2025//WPC  Licence valid upto dtd.06-01-2026//FORM I received dtd.21-07-2025//custom duty requested dtd.23-07-2025//OOC done dtd. 25-07-2025//Shipment dispatched dtd. 26-07-2025 vehicle no.MH04LE6915  dtd. 26-07-2025</t>
  </si>
  <si>
    <t>IB  OOC done dtd.18-07-2025//WPC Licence not applicable //custom duty requested dtd. 24-07-2025//OOC done dtd. 25-07-2025 //Shipment dispatched dtd. 26-07-2025 vehicle no.MH46BB6951   MOB. 9867584328</t>
  </si>
  <si>
    <t>IB OOC done dtd.21-07-2025//OB confirmation mail send dtd.21-07-2025//WPC licence received on 22-07-2025  //WPC lic. Valid upto 20-10-2025//custom duty requested dtd.24-07-2025//OOC done dtd. 25-07-2025//Shipment dispatched dtd. 26-07-2025 vehicle no.MH46BB6951   MOB. 9867584328</t>
  </si>
  <si>
    <t>IB OOC done dtd. 17-07-2025//WPC Licence not applicable//FORM I received dtd. 21-07-2025//custom duty requested dtd.23-07-2025/OOC done dtd. 25-07-2025//Shipment dispatched dtd. 26-07-2025 vehicle no.MH46BB6951   MOB. 9867584328</t>
  </si>
  <si>
    <t>IB  OOC done dtd. 18-07-2025//WPC Licence valid upto dtd.06-01-2026//FORM I received dtd.21-07-2025//Custom duty requested dtd. 23-07-2025//OOC done dtd. 25-07-2025//Shipment dispatched dtd. 26-07-2025 vehicle no.MH04LE6915  MOB. 70805 11073</t>
  </si>
  <si>
    <t>BAL-ANG-UASL-NCRBAL-ANG-UASL-NCRHaryana/
PUR/10006313</t>
  </si>
  <si>
    <t>AI2025-0044188</t>
  </si>
  <si>
    <t>607-39397864</t>
  </si>
  <si>
    <t>AI2025-0041189</t>
  </si>
  <si>
    <t>607-39397912</t>
  </si>
  <si>
    <t>MH02YA6546</t>
  </si>
  <si>
    <t>IB OOC done dtd.21-07-2025//checklist  send for approval dtd.21-07-2025//WPC lic. Not applicalbe //custom duty requested dtd.23-7-2025//OOC done dtd. 25-07-2025//Part A  EWAY biil received on 26-07-2025/shipment dispatched dtd. 28-07-2025 vehicle no. MH02YA6546 mob.9137874244</t>
  </si>
  <si>
    <t>AI2025-0044720</t>
  </si>
  <si>
    <t>MTT-159202</t>
  </si>
  <si>
    <t>CFTAQSP28 103.1G-111.8G, 4X25G, WDM, SMF, 1310NM, 10 KM QSFP28 : 160-9402-900 (FOC)</t>
  </si>
  <si>
    <t>BAL-ANG-UASL-NCRBAL-ANG-UASL-NCR-Haryana/
PUR/10006496</t>
  </si>
  <si>
    <t>157-05797444</t>
  </si>
  <si>
    <t>MTT-159203</t>
  </si>
  <si>
    <t>BAL-ANG-UASL-MUMBAI-MAHARASHTRA/
PUR/10005099</t>
  </si>
  <si>
    <t xml:space="preserve">CFTAHWS03 </t>
  </si>
  <si>
    <t>CFTAHWS03 WAVESERVER WL5E 2X800G C-BAND PREMIUM 16XQSFP28/QSFP-DD MODULE (186-3101-901) -12X100G: 186-3101-901F</t>
  </si>
  <si>
    <t xml:space="preserve">607-39398074 </t>
  </si>
  <si>
    <t>30-07-225</t>
  </si>
  <si>
    <t>AI2025-0045103</t>
  </si>
  <si>
    <t>JB-2025-AI-21-002862</t>
  </si>
  <si>
    <t>834 </t>
  </si>
  <si>
    <t>MH46BB8212</t>
  </si>
  <si>
    <t xml:space="preserve">IB OOC done dtd.16-06-2025///OB  FORM I pending //WPC licence valid upto dtd.20-10-2025 //OB confirmation sent dtd. 17-06-2025//OB confirm received on dtd.24-07-2025//custom duty requested dtd. 28-07-2025//OOC done  dtd .29.07.2025//shipment dispatched dtd.31-07-2025 vehicleno. MH46BB8212 mob.89761 98695 </t>
  </si>
  <si>
    <t xml:space="preserve">IB BOE assessed and under  TP process  dtd. 22-07-2025 // IB OOC done dtd. 23-07-2025//WPC licence valid upto dtd. 04-01-2026/// OB confirmation mail send dtd. 25-07-2025//custom duty requested dtd.29-07-2025////OOC done dtd.30-07-2025//shipment dispatched dtd.31-07-2025 vehicleno. MH46BB8212 mob.89761 98695 </t>
  </si>
  <si>
    <t>MH04LQ1072</t>
  </si>
  <si>
    <t xml:space="preserve">IB OOC done dtd.16-07-2025//OB confirmation mail send dtd. 17-07-2025/confirmation received dtd. 28-07-2025//custom duty requested dtd. 29-07-2025//OOC done dtd.30-07-2025/shipment dispatched dtd.31-07-2025 vehicleno. MH04LQ1072  mob.72359 50566 </t>
  </si>
  <si>
    <t xml:space="preserve">IB OOC done dtd.16-07-2025//OB confirmation mail send dtd. 17-07-2025///confirmation received dtd. 28-07-2025//custom duty requested dtd.29-07-2025////OOC done dtd.30-07-2025/shipment dispatched dtd.31-07-2025 vehicleno. MH04LQ1072  mob.72359 50566 </t>
  </si>
  <si>
    <t xml:space="preserve">IB OOC done dtd. 19-07-2025///WPC Lic valid upto dtd.06-01-2026//OB confirmation mail send dtd.21-07-2025///confirmation received dtd. 28-07-2025//custm duty requested dtd. 29-07-2025////OOC done dtd.30-07-2025/shipment dispatched dtd.31-07-2025 vehicleno. MH04LQ1072  mob.72359 50566 </t>
  </si>
  <si>
    <t>JB-2025-AI-21-002890</t>
  </si>
  <si>
    <t>MH04 GC 8838</t>
  </si>
  <si>
    <t>OOC done dtd.02.08.2025//Shipment dispatched dtd. 02-08-2025 vehicle no. MH04 GC 8838 mob. 9820489996</t>
  </si>
  <si>
    <t>IB BOE assessed and under  TP process  dtd. 22-07-2025 // IB OOC done dtd. 23-07-2025//WPC licence valid upto dtd. 06-01-2026 ///OB confirmation mail send dtd. 25-07-2025//cusotm duty requested dtd.31-07-2025///OOC done dtd. 01-08-2025//Shipment dispatched dtd. 02-08-2025 vehicle no. MH03DV8647 mob.9082199978</t>
  </si>
  <si>
    <t>IB BOE assessed and under  TP process   dtd. 22-07-2025// IB OOC done dtd. 23-07-2025//OB confirmation mail send dtd. 24-07-2025//WPC licence valid upto dtd.06-01-2026//custom duty requested dtd. 31-07-2025//OOC done dtd. 01-08-2025/Shipment dispatched dtd. 02-08-2025 vehicle no. MH46BB7340  mob.997542537</t>
  </si>
  <si>
    <t>MH46BB7340</t>
  </si>
  <si>
    <t>IB BOE assessed and under  TP process  dtd. 22-07-2025 // IB OOC done dtd. 23-07-2025//OB confirmation mail send dtd. 24-07-2025///WPC licence  valid upto  16-02-2026 //custom duty requested dtd.31-07-2025//OOC done dtd. 01-08-2025//Shipment dispatched dtd. 02-08-2025 vehicle no. MH03DV8647 mob.9082199978</t>
  </si>
  <si>
    <t>IB BOE assessed and under  TP process  dtd. 22-07-2025 // IB OOC done dtd. 23-07-2025//WPC licence valid upto dtd. 06-01-2026 ///OB confirmation mail send dtd. 25-07-2025//custom duty requested dtd. 31-07-2025//OOC done dtd. 01-08-2025///Shipment dispatched dtd. 02-08-2025 vehicle no. MH46BB7340  mob.997542537</t>
  </si>
  <si>
    <t xml:space="preserve">BH AIR </t>
  </si>
  <si>
    <t>TP &amp; movement  From Sahar cargo to FTWZ Nhavasheva  processed dtd. 26- 07-2025//IB OOC done dtd.26-07-2025//WPC Licence not applicable //custom duty requested dtd.30-07-2025//OOC done dtd. 31-07-2025// shipment  dispatched dtd. 02-08-2025</t>
  </si>
  <si>
    <t>607-39397831</t>
  </si>
  <si>
    <t>24-06-2025  : Pre alert document received on the same day of Shipment landed, BOE filed but Number not generated due to system issue.
25-06-2025  : BOE Number generated and assessment done 
26-06-2025  : TP &amp; movement  From Sahar cargo to FTWZ Nhavasheva  processed 
27-06-2025  :  Inbond Cleared</t>
  </si>
  <si>
    <t xml:space="preserve">25-06-2025  : Pre alert document received late evening after arrival of Shipment (ATA 24-06-25) , BOE Checklist sent for approval, BOE filed after approval but number not generated
26-06-2025  : BOE Number generated and assessment done
27-06-2025  : TP &amp; movement  From Sahar cargo to FTWZ Nhavasheva  processed. Inbond Cleared </t>
  </si>
  <si>
    <t>TP &amp; movement  From Sahar cargo to FTWZ Nhavasheva  processed dtd. 26- 07-2025//IB OOC done dtd.26-07-2025//WPC Licence not applicable //custom duty requested dtd.30-07-2025///OOC done dtd. 01-08-2025//Shipment dispatched dtd.04.08.2025 vehilce no.MH. 46.BM.6609 mob.8422041211</t>
  </si>
  <si>
    <t>MH. 46.BM.6609</t>
  </si>
  <si>
    <t>AI2025-0046195</t>
  </si>
  <si>
    <t>53 </t>
  </si>
  <si>
    <t>934 </t>
  </si>
  <si>
    <t>733 </t>
  </si>
  <si>
    <t>IB BOE assessed and under  TP process  dtd. 22-07-2025 // IB OOC done dtd. 23-07-2025//wpc licence  valid upto dtd.24-12-2025//OB  confirmation mail send dtd. 25-07-2025//OB BOE filed confirm received dtd. 04-08-2025//custom duty requested dtd.05-08-2025//OOC done dtd. 06-08-2025</t>
  </si>
  <si>
    <t>MH04MH9784</t>
  </si>
  <si>
    <t>TP &amp; movement  From Sahar cargo to FTWZ Nhavasheva  processed dtd. 26- 07-2025//IB OOC done dtd.26-07-2025//WPC Liicence valid upto dtd..06-12-2025//OB confirmation mail send dtd. 30-07-2025//custom duty requested dtd.04-08-2025//OOC done dtd.05-08-2025//Shipment dispatched dtd.06-08-2025 vehicle no. MH04MH9784 mob. no. 91365 53619</t>
  </si>
  <si>
    <t>TP &amp; movement  From Sahar cargo to FTWZ Nhavasheva  processed dtd. 26- 07-2025//IB OOC done dtd.26-07-2025/WPC Liicence valid upto dtd..06-01-2026//OB confirmation mail send dtd. 30-07-2025//custom duty requested dtd.04-08-2025//OOC done dtd.05-08-2025//Shipment dispatched dtd.06-08-2025 vehicle no. MH04MH9784 mob. no. 91365 53619</t>
  </si>
  <si>
    <t>TP &amp; movement  From Sahar cargo to FTWZ Nhavasheva  processed dtd. 26- 07-2025//IB OOC done dtd.26-07-2025//wpc licence valid upto 06-01-2026///OB confirmation mail send dtd. 30-07-2025//custom duty requested dtd. 04-08-2025//OOC done dtd.05-08-2025//Shipment dispatched dtd.06-08-2025 vehicle no. MH04MH9784 mob. no. 91365 53619</t>
  </si>
  <si>
    <t>TP &amp; movement  From Sahar cargo to FTWZ Nhavasheva  processed dtd. 26- 07-2025//IB OOC done dtd.26-07-2025//WPC Licencce not applicable //custom duty requested dtd.30-07-2025////OOC done dtd. 01-08-2025//Shipment dispatched dtd.06-08-2025 vehicle no. MH46BB6951 mob. 9867584328</t>
  </si>
  <si>
    <t>IB BOE assessed and under TP process dtd.31-07-2025//OOC done dtd.31-07-2025//WPC licence not applicable//custom duty requested dtd.04-08-2025//OOC done dtd.05-08-2025//Shipment dispatched dtd.06-08-2025 vehicle no. MH46BB6951 mob. 9867584328</t>
  </si>
  <si>
    <t>IB OOC done dtd.27-06-2025//original  FTA received dtd.28-06-2025/</t>
  </si>
  <si>
    <t>Pre Aleart document received on sat evening  05-7-2025 time 7.44 pm ///IB OOC done dtd.10-07-2025//OB  confirmation mail send dtd.  11-07-2025   //FORM I received dtd.04-08-2025 //OB BOE filed confirm received dtd. 04-08-2025//wpc licence valid upto 24-12-2025//custom duty requested dtd.05-08-2025//OOC done dtd. 06-08-2025//</t>
  </si>
  <si>
    <t xml:space="preserve">IB OOC done dtd.21-07-2025//OB confirmation mail send dtd.21-07-2025// </t>
  </si>
  <si>
    <t>IB OOC done dtd.21-07-2025//OB confirmation mail send dtd. 21-07-2025//</t>
  </si>
  <si>
    <t>IB BOE assessed and under  TP process  dtd. 22-07-2025 // IB OOC done dtd. 23-07-2025//OB confirmation mail send dtd. 24-07-2025//</t>
  </si>
  <si>
    <t>IB BOE assessed and under  TP process  dtd. 22-07-2025 // IB OOC done dtd. 23-07-2025/</t>
  </si>
  <si>
    <t>IB BOE assessed and under  TP process  dtd. 22-07-2025 // IB OOC done dtd. 23-07-2025//WPC licence not applicable //custom duty requested dtd.28-07-2025////</t>
  </si>
  <si>
    <t>IB BOE assessed and under  TP process  dtd. 22-07-2025 // IB OOC done dtd. 23-07-2025//WPC licence not applicable//custom duty requested dtd.28-07-2025////</t>
  </si>
  <si>
    <t>TP &amp; movement  From Sahar cargo to FTWZ Nhavasheva  processed  DTD.02-08-2025//OOC done dtd. 02-08-2025//wpc lic. Not applicalble//custom duty requested dtd.05-08-2025//</t>
  </si>
  <si>
    <t>TP &amp; movement  From Sahar cargo to FTWZ Nhavasheva  processed   dtd.31-07-2025//OOC done dtd.31-07-2025//WPC licence not applicable//custom duty requested dtd.05-08-2025///</t>
  </si>
  <si>
    <t>TP &amp; movement  From Sahar cargo to FTWZ Nhavasheva  processed   dtd.3107-2025//OOC done dtd.31-07-2025//WPC licence not applicable//custom duty requested dtd.05-08-2025///</t>
  </si>
  <si>
    <t>TP &amp; movement  From Sahar cargo to FTWZ Nhavasheva  processed dtd. 28- 07-2025//OB OOC done dtd.29-07-2025//custom duty requested dtd. 04-08-2025//</t>
  </si>
  <si>
    <t>TP &amp; movement  From Sahar cargo to FTWZ Nhavasheva  processed dtd. 28- 07-2025//OB OOC done dtd.29-07-2025//custom duty requested dtd. 04-08-2025/</t>
  </si>
  <si>
    <t>TP &amp; movement  From Sahar cargo to FTWZ Nhavasheva  processed dtd. 26- 07-2025//IB OOC done dtd.26-07-2025//WPC Licence not applicable //custom duty requested dtd.30-07-2025//</t>
  </si>
  <si>
    <t>IB BOE assessed and under  TP process  dtd. 22-07-2025 // IB OOC done dtd. 23-07-2025//</t>
  </si>
  <si>
    <t>IB OOC done dtd.16-07-2025//OB confirmation mail send dtd. 17-07-2025//WPC licence not applicable/</t>
  </si>
  <si>
    <t>TP &amp; movement  From Sahar cargo to FTWZ Nhavasheva  processed dtd. 28- 07-2025//OB OOC done dtd.29-07-2025//</t>
  </si>
  <si>
    <t>IB BOE assessed and under TP process dtd.31-07-2025//OOC done dtd.31-07-2025//FTA certificate pending//WPC licence not applicable//custom duty requested dtd.05-08-2025//custom duty requested dtd.05-08-2025//</t>
  </si>
  <si>
    <t>IB BOE assessed and under  TP process  dtd. 22-07-2025 // IB OOC done dtd. 23-07-2025//OB confirmation mail send dtd. 24-07-2025///custom duty requested dtd.31-07-2025/</t>
  </si>
  <si>
    <t>UP11DT0717</t>
  </si>
  <si>
    <t>shipment  dispatched Dt-7/8/2025  vehicle no.UP11DT0717 mob.9758015952</t>
  </si>
  <si>
    <t>UP38AT8088</t>
  </si>
  <si>
    <t>OOC done  dtd .29.07.2025//shipment dispatched dtd. 08-08-2025 vehicle no.UP38AT8088 mob.8384848609</t>
  </si>
  <si>
    <t>OOC done dtd. 01-08-2025.//shipment dispatched dtd. 08-08-2025 vehicle no.UP38AT8088 mob.8384848609</t>
  </si>
  <si>
    <t>OOC done dtd. 05-08-2025///shipment dispatched dtd. 08-08-2025 vehicle no.UP38AT8088 mob.8384848609</t>
  </si>
  <si>
    <t>OOC done dtd. 05-08-2025////shipment dispatched dtd. 08-08-2025 vehicle no.UP38AT8088 mob.8384848609</t>
  </si>
  <si>
    <t>OOC done dtd. 06-08-2025///shipment dispatched dtd. 08-08-2025 vehicle no.UP38AT8088 mob.8384848609</t>
  </si>
  <si>
    <t>OOC done dtd. 06-08-2025////shipment dispatched dtd. 08-08-2025 vehicle no.UP38AT8088 mob.8384848609</t>
  </si>
  <si>
    <t>TP &amp; movement  From Sahar cargo to FTWZ Nhavasheva  processed dtd. 26- 07-2025//IB OOC done dtd.26-07-2025</t>
  </si>
  <si>
    <t>//WPC Licence not applicable //custom duty requested dtd.30-07-2025/</t>
  </si>
  <si>
    <t>IB  OOC done 07-08-2025//WPC licence not applicable //OB  custom duty requested dtd. 11-08-2025</t>
  </si>
  <si>
    <t>WPC licence valid upto dtd.21.01.2026/FORM I &amp; received Dt.07/08/2025 /..OB  custom duty requested dtd. 11-08-2025</t>
  </si>
  <si>
    <t>WPC licence valid upto dtd. 21-01-2026//FORM I &amp; received Dt.07/08/2025 ///OB custom duty requested dtd. 11-08-2025</t>
  </si>
  <si>
    <t>FORM I &amp; received Dt.07/08/2025 /.pending  OB confirmation./.OB custom duty requested dtd. 11-08-2025</t>
  </si>
  <si>
    <t>WPC lic valid upto dtd.15-07-2025///FORM I &amp; received Dt.07/08/2025 /.OB custom duty requested dtd. 11-08-2025</t>
  </si>
  <si>
    <t>BAL-ANG-UASL-MUMBAI-MAHARASHTRA/PUR/10005278</t>
  </si>
  <si>
    <t xml:space="preserve">MUMBAI </t>
  </si>
  <si>
    <t xml:space="preserve">607-39398170 </t>
  </si>
  <si>
    <t>AI2025-0046878</t>
  </si>
  <si>
    <t>607-39398170</t>
  </si>
  <si>
    <t>2730104 </t>
  </si>
  <si>
    <t>1200154 </t>
  </si>
  <si>
    <t>MH04FP7240</t>
  </si>
  <si>
    <t xml:space="preserve">Shipment dispatched dtd. 13-08-2025 vehicle no. MH04FP7240 MOB.9221100725 </t>
  </si>
  <si>
    <t>MH04MH7851</t>
  </si>
  <si>
    <t>OB OOC done dtd.12-08-2025 ///shipment dispatched dtd.13-08-2025 vehicle no. MH04MH7851  Mob.7841917933</t>
  </si>
  <si>
    <t>shipment dispatched dtd.13-08-2025 vehicle no. MH04MH7851  Mob.7841917933</t>
  </si>
  <si>
    <t>OB OOC done dtd.12-08-2025   ///shipment dispatched dtd.13-08-2025 vehicle no. MH04MH7851  Mob.7841917933</t>
  </si>
  <si>
    <t xml:space="preserve">SINCB25022871 </t>
  </si>
  <si>
    <t xml:space="preserve">SINC29936 </t>
  </si>
  <si>
    <t xml:space="preserve">6975844 
6975887 </t>
  </si>
  <si>
    <t xml:space="preserve"> 31-Jul-2025
 31-Jul-2025</t>
  </si>
  <si>
    <t>162890.00
69810</t>
  </si>
  <si>
    <t xml:space="preserve">CGHODUPV3 
CGHODUPX3
CGHODUPV3  
CGHODUPX3 </t>
  </si>
  <si>
    <t xml:space="preserve">70
70
30
30
</t>
  </si>
  <si>
    <t>Hexacom MO Rajasthan/PUR/68110
Hexacom MO Rajasthan/PUR/68110</t>
  </si>
  <si>
    <t xml:space="preserve">SINC29935 </t>
  </si>
  <si>
    <t xml:space="preserve">6881283 
6881287 </t>
  </si>
  <si>
    <t>19-Mar-2025
19-Mar-2025</t>
  </si>
  <si>
    <t>124620.00
83080.00</t>
  </si>
  <si>
    <t xml:space="preserve">CGHODUPX4 
CGHODUPX2 
CGHODUPX4 
CGHODUPX2 </t>
  </si>
  <si>
    <t>60
60
40
40</t>
  </si>
  <si>
    <t>BAL MO UPW -UP/PUR/10015609
BAL MO UPW -UP/PUR/10015609</t>
  </si>
  <si>
    <t xml:space="preserve">SINC29368 </t>
  </si>
  <si>
    <t xml:space="preserve">6886210 
6873211 </t>
  </si>
  <si>
    <t>24-Mar-2025
12-Mar-2025</t>
  </si>
  <si>
    <t>61509.00 
95445.00</t>
  </si>
  <si>
    <t xml:space="preserve">CGHODUPZ9 
CGHODUPX6 
CGHODUPI4 
CGHODUPY3 </t>
  </si>
  <si>
    <t>CGHODUPZ9 BR-0321-0 MW RADIO:IP-50CX-E-18-L-H,FREQ BAND:18 GHZ,TX POWER OUTPUT:24
CGHODUPX6 BR-0322-0 MW RADIO:IP-50CX-E-18-L-L,FREQ BAND:18 GHZ,TX POWER OUTPUT:24
CGHODUPI4 BR-0311-0 IP-50CX-F-23-L-H,23 GHZ (SUB 01),TYPE:HIGH,(1+0 UPGRADABLE TO XPIC WITH OMT)
CGHODUPY3 BR-0310-0 IP-50CX-F-23-L-L,23 GHZ (SUB 01),TYPE:LOW, (1+0 UPGRADABLE TO XPIC WITH OMT)</t>
  </si>
  <si>
    <t>29
29
45
45</t>
  </si>
  <si>
    <t xml:space="preserve">SINC29934 </t>
  </si>
  <si>
    <t>BAL MO  Mumbai/PUR/93953
BAL MO  Mumbai/PUR/93953</t>
  </si>
  <si>
    <t>HR39F0386</t>
  </si>
  <si>
    <t>shipment dispatched dtd. 13-08-2025 vehicle no. HR39F0386 mob no. 73550 14061</t>
  </si>
  <si>
    <t>020-33938365</t>
  </si>
  <si>
    <t>42J0353289</t>
  </si>
  <si>
    <t xml:space="preserve">CGHODUPV3
CGHODUPX3
CGHODUPV3
CGHODUPX3
</t>
  </si>
  <si>
    <t>CGHODUPV3 BR-0320-0 MW RADIO:IP-50CX-E-15-420-08W15-H,FREQUENCY BAND:15 GHZ (8W15),TX POWER
CGHODUPX3 BR-0325-0 MW RADIO:IP-50CX-E-15-420-08W15-L,FREQUENCY BAND:15 GHZ (8W15),TX POWER</t>
  </si>
  <si>
    <t xml:space="preserve">CGHODUPV3
CGHODUPX3
</t>
  </si>
  <si>
    <t xml:space="preserve">BAL MO U.P. East/PUR/72233
</t>
  </si>
  <si>
    <t>SIN76029998</t>
  </si>
  <si>
    <t>28175 </t>
  </si>
  <si>
    <t>10557 </t>
  </si>
  <si>
    <t>BAL-ANG-UASL-MUMBAI-MAHARASHTRA/
PUR/10005159</t>
  </si>
  <si>
    <t>42J0353341</t>
  </si>
  <si>
    <t>020-33938752</t>
  </si>
  <si>
    <t>12713 </t>
  </si>
  <si>
    <t>37724551 </t>
  </si>
  <si>
    <t>6790419 </t>
  </si>
  <si>
    <t>WPC licence valid upto dtd. 06-01-2026//BOE under amendment //Original revised FTA recevied dtd.20-08-2025//</t>
  </si>
  <si>
    <t>2791 </t>
  </si>
  <si>
    <t>OOC done dtd.19-08-2025//shipment dispatched dtd. 22-08-2025 vehicle no. MH03CP8728 MOB. 7021883595</t>
  </si>
  <si>
    <t>custom duty requested dtd.20-08-2025//OOC done dtd. 22-08-2025//shipment dispatched dtd. 22-08-2025 vehicle no. MH03CP8728 MOB. 7021883595</t>
  </si>
  <si>
    <t>14-08-2025  : Pre alert document received, Checklist sent for approval
16-08-2025  : Checklist approved, Advance BOE filed, 
17-08-2025  : Shipment landed, 
18-08-2025  : Custom duty paid and linked late evening
19-08-2025  : Out of Charge obtained</t>
  </si>
  <si>
    <t>IB BOE  OOC done dtd.24-07-2025//</t>
  </si>
  <si>
    <t>MH04MH9788</t>
  </si>
  <si>
    <t>custom duty requested dtd. 21-08-2025//OOC done dtd.22-08-2025//Shipment dispatched dtd.23-08-2025 vehicle no. MH04MH9788  mob.93054 47281</t>
  </si>
  <si>
    <t>6136299 </t>
  </si>
  <si>
    <t>1104534 </t>
  </si>
  <si>
    <t>WPC licence valid upto dtd. 05-10-2025//OB  confirmation  mail send dtd.25-07-2025//OB confirmation received dtd.23-08-2025//</t>
  </si>
  <si>
    <t>WPC licence valid upto dtd.10-10-2025   //OB confirmation mail send dtd.25-07-2025//OB confirmation received dtd.23-08-2025//</t>
  </si>
  <si>
    <t>WPC Lic. Valid upto dtd. 08-12-2025 //OB confirmation mail snd ddtd. 25-07-2025///OB confirmation received dtd.23-08-2025//</t>
  </si>
  <si>
    <t>WPC licence valid upto dtd.28-02-2026//IB BOE OOC done dtd.22-08-2025//OB confirmationmail send dtd. 22-08-2025//</t>
  </si>
  <si>
    <t>IB BOE  OOC done dtd. 23-08-2025   //WPC licence valid upto dtd.06-01-2026//OB confrmation mail send dtd. 25-08-2025 &amp; confirmation confirm mailed dtd.25-08-2025//</t>
  </si>
  <si>
    <t xml:space="preserve">6975843
6975845 </t>
  </si>
  <si>
    <t>04-Aug-2025
 05-Aug-2025</t>
  </si>
  <si>
    <t xml:space="preserve">CGHODUPX1 
CGHODUPV2 
CGHODUPA5 
CGHODUPC3 </t>
  </si>
  <si>
    <t>CGHODUPX1 BR-0318-0 MW RADIO:IP-50CX-E-15-420-01W08-H,FREQUENCY BAND:15 GHZ (1W8),TX POWER
CGHODUPV2 BR-0319-0 MW RADIO:IP-50CX-E-15-420-01W08-L,FREQUENCY BAND:15 GHZ (1W8),TX POWER
CGHODUPA5 BR-0304-0 MW RADIO:IP-50CX-E-18-L-H,FREQUENCY BAND:18 GHZ,TX POWER OUTPUT:24
CGHODUPC3 BR-0305-0 MW RADIO:IP-50CX-E-18-L-L,FREQUENCY BAND:18 GHZ,TX POWER OUTPUT:24</t>
  </si>
  <si>
    <t xml:space="preserve">SINC30573 </t>
  </si>
  <si>
    <t xml:space="preserve">CGHODUPY4 
CGHODUPI9 </t>
  </si>
  <si>
    <t>CGHODUPY4 BR-0316-0 MW RADIO:IP-50CX-E-18-H-H,FREQUENCY BAND:18 GHZ,TX POWER OUTPUT:24
CGHODUPI9 BR-0317-0 MW RADIO:IP-50CX-E-18-H-L,FREQUENCY BAND:18 GHZ,TX POWER</t>
  </si>
  <si>
    <t>62
62</t>
  </si>
  <si>
    <t>BAL MO U.P.East/PUR/72515</t>
  </si>
  <si>
    <t xml:space="preserve">SINC30577 </t>
  </si>
  <si>
    <t xml:space="preserve">6969156 
6969157 </t>
  </si>
  <si>
    <t>31-Jul-2025
31-Jul-2025</t>
  </si>
  <si>
    <t xml:space="preserve">6981.00
4154.00 </t>
  </si>
  <si>
    <t xml:space="preserve">CGHODUPX1 
CGHODUPV2 </t>
  </si>
  <si>
    <t xml:space="preserve">CGHODUPX1 
CGHODUPV2
CGHODUPX4
CGHODUPX2   </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</si>
  <si>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TO</t>
  </si>
  <si>
    <t>3
3
2
2</t>
  </si>
  <si>
    <t xml:space="preserve">SINC30575 </t>
  </si>
  <si>
    <t>BAL-MO-UPW-UP/PUR/10016318
BAL-MO-UPW-UP/PUR/10016318</t>
  </si>
  <si>
    <t xml:space="preserve">SINC30576 </t>
  </si>
  <si>
    <t>BAL-MO-HARYANA-HARYANA/PUR/10009865</t>
  </si>
  <si>
    <t xml:space="preserve">SINC30579 </t>
  </si>
  <si>
    <t>BAL MO Punjab/PUR/63106</t>
  </si>
  <si>
    <t xml:space="preserve">CGHODUPV3 
CGHODUPX3 </t>
  </si>
  <si>
    <t xml:space="preserve">SINC30578 </t>
  </si>
  <si>
    <t xml:space="preserve">BAL MOPunjab/PUR/63106 </t>
  </si>
  <si>
    <t xml:space="preserve">6975081
6969155
6969130 </t>
  </si>
  <si>
    <t>05-Aug-2025
31-Jul-2025
31-Jul-2025</t>
  </si>
  <si>
    <t>162890.00
37386.00
2327.00</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</si>
  <si>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CGHODUPX1 BR-0318-0 MW RADIO:IP-50CX-E-15-420-01W08-H,FREQUENCY BAND:15 GHZ (1W8),TX POWER
CGHODUPV2 BR-0319-0 MW RADIO:IP-50CX-E-15-420-01W08-L,FREQUENCY BAND:15 GHZ (1W8),TX POWER</t>
  </si>
  <si>
    <t xml:space="preserve">CGHODUPX1
CGHODUPV2
CGHODUPX4
CGHODUPX2
CGHODUPX1 
CGHODUPV2    </t>
  </si>
  <si>
    <t xml:space="preserve">BAL MO Madhya Pradesh/PUR/53674
BAL MO Madhya Pradesh/PUR/53553
BAL MO Madhya Pradesh/PUR/53553
</t>
  </si>
  <si>
    <t xml:space="preserve">SINC30574 </t>
  </si>
  <si>
    <t>GJ01DU0433</t>
  </si>
  <si>
    <t>OB BOE  OOC done dtd. 26-08-2025//Shipment dispatched dtd. 26-08-2025 vehilce no. GJ01DU0433 MOB.63063 77372</t>
  </si>
  <si>
    <t>27-08-2025 was holiday a/c of Ganesh Chaturthi ,As discussed and confirmed, we will file the BOE on Monday, dated 01-09-2025.</t>
  </si>
  <si>
    <t>16-07-2025  : Pre alert document received, Checklist sent for approval, Checklist Approved
16-07-2025  : Advance BOE filed, 
19-07-2025  : Shipment landed late night.(Saturday)
20-07-2025  : Sunday 
21-07-2025  : Out of Charge obtained
22-07-2025  : Shipment cleared and dispatched after confirmation received by circle team.</t>
  </si>
  <si>
    <t xml:space="preserve">BAL MO UPW -UP/PUR/10015976
</t>
  </si>
  <si>
    <t xml:space="preserve">JH10CD 3573 </t>
  </si>
  <si>
    <t>OB BOE   OOC done dtd. 28-08-2025//Shipment dispatched dtd.30-08-2025 Vehicle NO. JH10CD 3573 MOB NO. 8539969648</t>
  </si>
  <si>
    <t>27-08-2025 was holiday a/c of Ganesh Chaturthi ,As discussed and confirmed, we will file the BOE on Monday, dated 01-09-2025.//BOE has been filed and Customs duty information shared today.</t>
  </si>
  <si>
    <t>IB BOE  OOC done dtd. 29-07-2025//
OUTBOND BOE has been filed and Customs duty information shared today.</t>
  </si>
  <si>
    <t>OUTBOND BOE has been filed and Customs duty information shared today.</t>
  </si>
  <si>
    <t xml:space="preserve">MP09GH6282  </t>
  </si>
  <si>
    <t>17 FEET</t>
  </si>
  <si>
    <t xml:space="preserve">WPC licence valid upto dtd.05.10.2025//IB BOE OOC done dtd.22-08-2025//OB confirmationmail send dtd. 22-08-2025//dispatched  dtd.  02-Sep-2025.  </t>
  </si>
  <si>
    <t xml:space="preserve">OB BOE  OOC done dtd. 26-08-2025//PART A  E WAY BILL  received  dtd.27-08-2025//shipment dispatched dtd. 02-09-2025 vehicle no. MP09GH6282  mobile no.-8720070813 </t>
  </si>
  <si>
    <t>6992089
6992090</t>
  </si>
  <si>
    <t>25-08-2025
25-08-2025</t>
  </si>
  <si>
    <t>2327.00
37386.00</t>
  </si>
  <si>
    <t>CGHODUPX1
CGHODUPV2
CGHODUPX4
CGHODUPX2</t>
  </si>
  <si>
    <t>1
1
18
18</t>
  </si>
  <si>
    <t>BAL MO Gujarat/PUR/51145
BAL MO Gujarat/PUR/51145</t>
  </si>
  <si>
    <t>SINC31453</t>
  </si>
  <si>
    <t>6975853
6975854</t>
  </si>
  <si>
    <t>06-Aug-2025
08-Aug-2025</t>
  </si>
  <si>
    <t>16289.00
6981.00</t>
  </si>
  <si>
    <t>CGHODUPV3
CGHODUPX3
CGHODUPY4
CGHODUPI9</t>
  </si>
  <si>
    <t>CGHODUPV3 BR-0320-0 MW RADIO:IP-50CX-E-15-420-08W15-H,FREQUENCY BAND:15 GHZ (8W15),TX POWER
CGHODUPX3 BR-0325-0 MW RADIO:IP-50CX-E-15-420-08W15-L,FREQUENCY BAND:15 GHZ (8W15),TX POWER
CGHODUPY4 BR-0316-0 MW RADIO:IP-50CX-E-18-H-H,FREQUENCY BAND:18 GHZ,TX POWER OUTPUT:24
CGHODUPI9 BR-0317-0 MW RADIO:IP-50CX-E-18-H-L,FREQUENCY BAND:18 GHZ,TX POWER</t>
  </si>
  <si>
    <t>7
7
3
3</t>
  </si>
  <si>
    <t>GHAZIABAD UTTAR PRADESH</t>
  </si>
  <si>
    <t>BAL MO U.P.East/PUR/72424
BAL MO U.P.East/PUR/72424</t>
  </si>
  <si>
    <t>SINC31337</t>
  </si>
  <si>
    <t>6992079
6992094
6992100</t>
  </si>
  <si>
    <t>25-Aug-2025
25-Aug-2025
25-Aug-2025</t>
  </si>
  <si>
    <t>34905.00
10385.00
4154.00</t>
  </si>
  <si>
    <t>CGHODUPY4
CGHODUPI9
CGHODUPX5
CGHODUPV9
CGHODUQY4
CGHODUQI4</t>
  </si>
  <si>
    <t>CGHODUPY4 BR-0316-0 MW RADIO:IP-50CX-E-18-H-H,FREQUENCY BAND:18 GHZ,TX POWER OUTPUT:24
CGHODUPI9 BR-0317-0 MW RADIO:IP-50CX-E-18-H-L,FREQUENCY BAND:18 GHZ,TX POWER
CGHODUPX5 BR-0323-0 MW RADIO:IP-50CX-E-18-H-H,FREQ BAND:18 GHZ,TX POWER OUTPUT:24
CGHODUPV9 BR-0324-0 MW RADIO:IP-50CX-E-18-H-L,FREQ BAND:18 GHZ,TX POWER OUTPUT:24
CGHODUQY4 BR-0328-0 MW RADIOIP-50CX-E-15-420-08W15-H FB 15 GHZ (8W15)TXP 25 DBM HIGH1+0 UPGRD
CGHODUQI4 BR-0329-0 MW RADIO:IP-50CX-E-15-420-08W15-L,FB15 GHZ (8W15)TXP:25 DBM LOW 1+0 UPGRD</t>
  </si>
  <si>
    <t>15
15
5
5
2
2</t>
  </si>
  <si>
    <t>BAL MO U.P.East/PUR/72404
BAL MO U.P.East/PUR/72424
BAL MO U.P.East/PUR/72424</t>
  </si>
  <si>
    <t>SINC31452</t>
  </si>
  <si>
    <t>6990044
6990045
6990046
6990047
6990048</t>
  </si>
  <si>
    <t>22-08-2025
22-08-2025
22-08-2025
22-08-2025
22-08-2025</t>
  </si>
  <si>
    <t>2077.00
4154.00
6981.00
1635.00
20943.00</t>
  </si>
  <si>
    <t xml:space="preserve">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CGHODUPA5 BR-0304-0 MW RADIO:IP-50CX-E-18-L-H,FREQUENCY BAND:18 GHZ,TX POWER OUTPUT:24
CGHODUPC3 BR-0305-0 MW RADIO:IP-50CX-E-18-L-L,FREQUENCY BAND:18 GHZ,TX POWER OUTPUT:24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t>
  </si>
  <si>
    <t>CGHODUPX4
CGHODUPX2
CGHODUQY4
CGHODUQI4
CGHODUPA5
CGHODUPC3
CGHODUPX1
CGHODUPV2
CGHODUPV3
CGHODUPX3</t>
  </si>
  <si>
    <t xml:space="preserve">1
1
2
2
3
3
5
5
9
9
</t>
  </si>
  <si>
    <t>Hexacom MO Rajasthan/PUR/66970
Hexacom MO Rajasthan/PUR/66970
Hexacom MO Rajasthan/PUR/66970
Hexacom MO Rajasthan/PUR/66970
Hexacom MO Rajasthan/PUR/66970</t>
  </si>
  <si>
    <t>SINC31445</t>
  </si>
  <si>
    <t>6990049
6990053
6990054</t>
  </si>
  <si>
    <t>22-08-2025
22-08-2025
22-08-2025</t>
  </si>
  <si>
    <t>58175.00
58175.00
58175.00</t>
  </si>
  <si>
    <t>CGHODUPX1
CGHODUPV2
CGHODUPX1
CGHODUPV2
CGHODUPX1
CGHODUPV2</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</si>
  <si>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</si>
  <si>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25
25
25
25
25
25</t>
  </si>
  <si>
    <t xml:space="preserve">Hexacom MO Rajasthan/PUR/68185
Hexacom MO Rajasthan/PUR/68185
Hexacom MO Rajasthan/PUR/68185
</t>
  </si>
  <si>
    <t>SINC31447</t>
  </si>
  <si>
    <t>6990061
6990062
6990063</t>
  </si>
  <si>
    <t>22-Aug-2025
22-Aug-2025
22-Aug-2025</t>
  </si>
  <si>
    <t>CGHODUPA5
CGHODUPC3
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</si>
  <si>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</si>
  <si>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SINC31451</t>
  </si>
  <si>
    <t>6990055
6990056
6990057</t>
  </si>
  <si>
    <t>CGHODUPV3
CGHODUPX3
CGHODUPV3
CGHODUPX3
CGHODUPV3
CGHODUPX3</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</si>
  <si>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</si>
  <si>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SINC31449</t>
  </si>
  <si>
    <t>6990058
6990059
6990060
6990064
6990065
6990066</t>
  </si>
  <si>
    <t xml:space="preserve">22-Aug-2025
22-Aug-2025
22-Aug-2025
22-Aug-2025
22-Aug-2025
22-Aug-2025
</t>
  </si>
  <si>
    <t>58175.00
58175.00
58175.00
41540.00
41540.00
20770.00</t>
  </si>
  <si>
    <t>CGHODUPV3
CGHODUPX3
CGHODUPV3
CGHODUPX3
CGHODUPV3
CGHODUPX3
CGHODUPX4
CGHODUPX2
CGHODUQY4
CGHODUQI4
CGHODUPZ9
CGHODUPX6</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</si>
  <si>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</si>
  <si>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25
25
25
25
25
25
20
20
20
20
10
10</t>
  </si>
  <si>
    <t xml:space="preserve">Hexacom MO Rajasthan/PUR/68185
Hexacom MO Rajasthan/PUR/68185
Hexacom MO Rajasthan/PUR/68185
Hexacom MO Rajasthan/PUR/68240
Hexacom MO Rajasthan/PUR/68240
Hexacom MO Rajasthan/PUR/68240
</t>
  </si>
  <si>
    <t>SINC31450</t>
  </si>
  <si>
    <t>UP16JT6707</t>
  </si>
  <si>
    <t>OB confirmation mail send dtd. 17-07-2025///OB confirmation recevied dtd 27-08-2025/WPC Licencen not applicable /// OB boe will be filed on  Monday dtd.01-09-2025//
 Customs duty information shared  dtd. 01-09-2025//OOC done dtd.03-09-2025//Shipment dispatched dtd. 04-09-2025 vehicle no.UP16JT6707 mob.7048913541</t>
  </si>
  <si>
    <t>wpc licence valid upto 11-11-2025//OB onfirmation mail send dtd. 30-07-2025///OB confirmation recevied dtd 27-08-2025//OB boe will be filed on  Monday dtd.01-09-2025///Customs duty information shared dtd. 01-09-2025///OOC done dtd.03-09-2025/Shipment dispatched dtd. 04-09-2025 vehicle no.UP16JT6707 mob.7048913541</t>
  </si>
  <si>
    <t>HR38AC0178</t>
  </si>
  <si>
    <t>IB BOE OOC  done  dtd. 25- 07-2025//WPC Lic. Valid upto dtd.24-12-2025//OB confirmation mail send dtd. 25-07-2025//OB confirmation received dtd. 29-8-2025// Customs duty information shared dtd. 01-09-2025//OOC done dtd.03-09-2025//Shipment dispatched dtd. 04-09-2025 vehicle no. HR38AC0178 mob.9711532900</t>
  </si>
  <si>
    <t>IB BOE OOC  done  dtd. 25- 07-2025//WPC licnence valid upto dtd. 06-12-2025// OB confirmation mail send dtd. 25-07-2025///OB confirmation recevied dtd 27-08-2025//OB boe will be filed on  Monday dtd.01-09-2025//
Customs duty information shared dtd. 01-09-2025/OOC done dtd.03-09-2025 /Shipment dispatched dtd. 04-09-2025 vehicle no. HR38AC0178 mob.9711532900</t>
  </si>
  <si>
    <t>WPC licence valid upto dtd.06-12-2025///OB confirmation mail send dtd. 30-07-2025////OB confirmation recevied dtd 27-08-2025//OB boe will be filed on  Monday dtd.01-09-2025// Customs duty information shared  dtd. 01-09-2025 ///OOC done dtd.03-09-2025/Shipment dispatched dtd. 04-09-2025 vehicle no. HR38AC0178 mob.9711532900</t>
  </si>
  <si>
    <t>WPC licence valid upto dtd.05.10.2025////IB BOE assessed and under TP process //container scaning hold /as the container was placed on scanning hold. The 100% examination of the cargo has been completed, and the scanning report has been submitted.</t>
  </si>
  <si>
    <t>IB BOE assessed and under TP process.   //WPC licence valid upto 06-02-2026//OB OOC done dtd.03-09-2025//</t>
  </si>
  <si>
    <t>IB BOE assessed and under TP process.  //WPC licence valid upto 28-02-2026//OB OOC done dtd.03-09-2025//</t>
  </si>
  <si>
    <t>IB BOE assessed and under TP process. //WPC licence valid upto 17-02-2026//OB OOC done dtd.03-09-2025//</t>
  </si>
  <si>
    <t>IB BOE assessed and under TP process. //WPC licence valid upto 06-02-2026//OB OOC done dtd.03-09-2025//</t>
  </si>
  <si>
    <t>IB BOE assessed and under TP process.//WPC licence valid upto 04-02-2026//OB OOC done dtd.03-09-2025//</t>
  </si>
  <si>
    <t>IB BOE assessed and under TP process.//WPC licence valid upto 28-02-2026//OB OOC done dtd.03-09-2025//</t>
  </si>
  <si>
    <t>IB BOE assessed and under TP process.  ///WPC licence valid upto dtd.28-02-2026//OB OOC done dtd.03-09-2025//</t>
  </si>
  <si>
    <t>MH03CP7771</t>
  </si>
  <si>
    <t>customs clearance will be completed after 01-09-2025, as the WPC license is valid from 01-09-2025 onwards  //OB BOE OOC done dtd. 01-09-2025///  PART A EWAY BILL eceived dtd. 04-09-2025 //shipment dispatched dtd.05-09-2025 vehicle no.MH03CP7771 mob. 9915836233</t>
  </si>
  <si>
    <t>SINCB25025682 </t>
  </si>
  <si>
    <t>70
70
18
18
1
1</t>
  </si>
  <si>
    <t>MTT-159779</t>
  </si>
  <si>
    <t>BAL-ANG-UASL-Mumbai-Maharashtra/PUR/10005282</t>
  </si>
  <si>
    <t>MTT-159780</t>
  </si>
  <si>
    <t>BAL-ANG-UASL-Mumbai-Maharashtra/PUR/10005340</t>
  </si>
  <si>
    <t>BAL-ANG-UASL-ROM-Maharashtra/
PUR/10002591</t>
  </si>
  <si>
    <t>MTT-159781</t>
  </si>
  <si>
    <t>AI2025-0053644</t>
  </si>
  <si>
    <t>WPC licence not applicable // IB BOE  assessed and under TP process</t>
  </si>
  <si>
    <t>2071030 </t>
  </si>
  <si>
    <t>10355150 </t>
  </si>
  <si>
    <t xml:space="preserve">as per circle instruction OB boe filed </t>
  </si>
  <si>
    <t>6942927
6942957</t>
  </si>
  <si>
    <t>23-Jun-25
23-Jun-25</t>
  </si>
  <si>
    <t>10385.00
143313.00</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</si>
  <si>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</si>
  <si>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5
5
69
69</t>
  </si>
  <si>
    <t>BAL MO Gujarat/PUR/50857
BAL MO Gujarat/PUR/50857</t>
  </si>
  <si>
    <t>6942918
6942958</t>
  </si>
  <si>
    <t>23-06-2025
24-06-2025</t>
  </si>
  <si>
    <t>155775.00
1038.50</t>
  </si>
  <si>
    <t>CGHODUPX4
CGHODUPX2
CGHODUPX2</t>
  </si>
  <si>
    <t xml:space="preserve">CGHODUPX4 BR-0327-0 MW RADIO IP-50CX-E-15-420-01W08-H,FB 15 GHZ 1W8 TXP:25 DBM HIGH 1+0 UPGRD
CGHODUPX2 BR-0326-0 MW RADIOIP-50CX-E-15-420-01W08-L,FB 15 GHZ 1W8 TXP 25 DBM LOW 1+0 UPGRD
CGHODUPX2 BR-0326-0 MW RADIOIP-50CX-E-15-420-01W08-L,FB 15 GHZ 1W8 TXP 25 DBM LOW 1+0 UPGRD
 </t>
  </si>
  <si>
    <t>75
75
1</t>
  </si>
  <si>
    <t>BAL MO U.P.East/PUR/72573</t>
  </si>
  <si>
    <t>6993124
6993129
6993174
6996121</t>
  </si>
  <si>
    <t>25-Aug-2025
25-Aug-2025
25-Aug-2025
29-Aug-2025</t>
  </si>
  <si>
    <t>58175.00
69810.00
58175.00
23270.00</t>
  </si>
  <si>
    <t>CGHODUPX1
CGHODUPV2
CGHODUPX1
CGHODUPV2
CGHODUPV3
CGHODUPX3
CGHODUPA5
CGHODUPC3</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</si>
  <si>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CGHODUPA5 BR-0304-0 MW RADIO:IP-50CX-E-18-L-H,FREQUENCY BAND:18 GHZ,TX POWER OUTPUT:24
CGHODUPC3 BR-0305-0 MW RADIO:IP-50CX-E-18-L-L,FREQUENCY BAND:18 GHZ,TX POWER OUTPUT:24</t>
  </si>
  <si>
    <t>25
25
30
30
25
25
10
10</t>
  </si>
  <si>
    <t>BAL MO Punjab/PUR/63106
BAL MO Punjab/PUR/63106
BAL MO Punjab/PUR/63106
BAL MO Punjab/PUR/63106</t>
  </si>
  <si>
    <t>11-Sep-2025.</t>
  </si>
  <si>
    <t>JB-2025-AI-21-003572</t>
  </si>
  <si>
    <t>JB-2025-AI-21-003571</t>
  </si>
  <si>
    <t>766 </t>
  </si>
  <si>
    <t>MH04LE6137</t>
  </si>
  <si>
    <t>WPC Licence valid upto dtd.31-10-2025///OB confirmation and FORM I mail send dtd.28-06-2025//FORM I received dtd. 04-09-2025//OB BOE  custom duty requested dtd.09-09-2025//OOC done DTD. 10-09-2025//Shipment dispatched dtd. 11-09-2025 vehicle no.MH04LE6137 mob.9575844929 .</t>
  </si>
  <si>
    <t>WPC  lic.valid upto 21-12-2025///FORM I received dtd. 04-09-2025//OB BOE  custom duty requested dtd.09-09-2025//OOC done DTD. 10-09-2025//Shipment dispatched dtd. 11-09-2025 vehicle no.MH04LE6137 mob.9575844929 .</t>
  </si>
  <si>
    <t>WPC licence valid upto dtd. 31-10-2025//OB  confirmation  mail send dtd.25-07-2025///FORM I received dtd. 04-09-2025//OB BOE  custom duty requested dtd. 09-09-2025///OOC done DTD. 10-09-2025//Shipment dispatched dtd. 11-09-2025 vehicle no.MH04LE6137 mob.9575844929 .</t>
  </si>
  <si>
    <t>OB confirmation mail send dtd. 05-09-2025//OB BOE  custom duty requested dtd.09-09-2025//OOC done DTD. 10-09-2025///Shipment dispatched dtd. 11-09-2025 vehicle no.MH04LE6137 mob.9575844929 .</t>
  </si>
  <si>
    <t xml:space="preserve">CGHODUPX4 BR-0327-0 MW RADIO IP-50CX-E-15-420-01W08-H,FB 15 GHZ 1W8 TXP:25 DBM HIGH 1+0 UPGRD
CGHODUPX2 BR-0326-0 MW RADIOIP-50CX-E-15-420-01W08-L,FB 15 GHZ 1W8 TXP 25 DBM LOW 1+0 UPGRD
 </t>
  </si>
  <si>
    <t>BAL MO Gujarat/PUR/50552</t>
  </si>
  <si>
    <t>5-0973</t>
  </si>
  <si>
    <t>AAI0035077</t>
  </si>
  <si>
    <t>10-Sep-2025.</t>
  </si>
  <si>
    <t>MH04MR1303</t>
  </si>
  <si>
    <t>IB OOC done dtd.04-09-2025//OB confirmation mail send dtd. 05-09-2025//OB confirmation mail received 09-09-2025//OB BOE custom duty requested dtd. 10-09-2025//OB OOC done dtd.11-09-2025//Shipment dispatched dtd.12-09-2025 vehicle no. MH04MR1303  mob.7014430632</t>
  </si>
  <si>
    <t>OB confirmation mail send dtd. 05-09-2025//pending confirmation //OB confirmation mail received 09-09-2025//OB BOE custom duty requested dtd.10-09-2025//OB OOC done dtd.11-09-2025//Shipment dispatched dtd.12-09-2025 vehicle no. MH04MR1303  mob.7014430632</t>
  </si>
  <si>
    <t>MH04KU6587</t>
  </si>
  <si>
    <t>WPC licence valid upto dtd.06.02.2026////IB BOE OOC done dtd.22-08-2025//OB confirmationmail send dtd. 22-08-2025//confirmation mail received dtd. 09-09-2025//OB BOE  custom duty requested dtd. 10-09-2025//OOC done dtd. 12-09-2025 //Shipment dispatched vehicle no. MH04KU6587 mob.6393864288</t>
  </si>
  <si>
    <t>OB confirmation mail send dtd. 05-09-2025//OB confirmation mail received 09-09-2025//OB BOE custom duty requested dtd.10-09-2025//OOC done dtd. 12-09-2025//Shipment dispatched vehicle no. MH04KU6587 mob.6393864288</t>
  </si>
  <si>
    <t>RJ14GK9944</t>
  </si>
  <si>
    <t>OB confirmation mail send dtd. 05-09-2025//OB confirmation mail received 09-09-2025//OOC done dtd. 12-09-2025/shipment dispatched dtd.13-09-2025 vehicle no. RJ14GK9944 mob.9549571154</t>
  </si>
  <si>
    <t>DL01LW8767</t>
  </si>
  <si>
    <t>OB confirmation mail send dtd. 05-09-2025//OB confirmation received dtd.10-09-2025///OOC done dtd. 12-09-2025//Shipment dispatched vehicle no.DL01LW8767 mob. 9899210514</t>
  </si>
  <si>
    <t>MH04LY6743</t>
  </si>
  <si>
    <t>OB confirmation mail send dtd. 05-09-2025//OB confirmation received dtd.10-09-2025///OOC done dtd. 12-09-2025/Shipment dispatched   dtd. 13.09.2025 vehicle no. MH04LY6743</t>
  </si>
  <si>
    <t>OB confirmation mail send dtd. 05-09-2025//OB confirmation received dtd.10-09-2025///OOC done dtd. 12-09-2025//Shipment dispatched   dtd. 13.09.2025 vehicle no. MH04LY6743</t>
  </si>
  <si>
    <t>SUVARNABHUMI</t>
  </si>
  <si>
    <t>607-50607701</t>
  </si>
  <si>
    <t>4113645 </t>
  </si>
  <si>
    <t>1808358 </t>
  </si>
  <si>
    <t>MTT-160016</t>
  </si>
  <si>
    <t>BAL LDS NLD/PUR/2055758</t>
  </si>
  <si>
    <t>MTT-160017</t>
  </si>
  <si>
    <t>BAL LDS NLD/PUR/2055772</t>
  </si>
  <si>
    <t>MTT-160018</t>
  </si>
  <si>
    <t>BAL LDS NLD/PUR/2055830</t>
  </si>
  <si>
    <t>MTT-160019</t>
  </si>
  <si>
    <t>BAL LDS NLD/PUR/2055847</t>
  </si>
  <si>
    <t>BAL MO U.P.East/PUR/72599</t>
  </si>
  <si>
    <t>8XP7428</t>
  </si>
  <si>
    <t>6995341
6995342</t>
  </si>
  <si>
    <t>02-Sep-2025
02-Sep-2025</t>
  </si>
  <si>
    <t>174525.00
32578.00</t>
  </si>
  <si>
    <t>75
75
14
14</t>
  </si>
  <si>
    <t>BAL MO U.P.East/PUR/72515
BAL MO U.P.East/PUR/72515</t>
  </si>
  <si>
    <t>SINC32008</t>
  </si>
  <si>
    <t>6996122
6996123
6996124
6995343</t>
  </si>
  <si>
    <t>29-Aug-2025
29-Aug-2025
29-Aug-2025
29-Aug-2025</t>
  </si>
  <si>
    <t>55848.00
46540.00
6981.00
3490.50</t>
  </si>
  <si>
    <t>CGHODUPV3
CGHODUPX3
CGHODUPV3
CGHODUPX3
CGHODUPV3
CGHODUPI9</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</si>
  <si>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CGHODUPI9 BR-0317-0 MW RADIO:IP-50CX-E-18-H-L,FREQUENCY BAND:18 GHZ,TX POWER</t>
  </si>
  <si>
    <t>24
24
20
20
6
3</t>
  </si>
  <si>
    <t>BAL MO U.P.East/PUR/72573
BAL MO U.P.East/PUR/72573
BAL MO U.P.East/PUR/72573
BAL MO U.P.East/PUR/72515</t>
  </si>
  <si>
    <t>SINC32011</t>
  </si>
  <si>
    <t>6996274
6996275</t>
  </si>
  <si>
    <t>03-Sep-2025
03-Sep-2025</t>
  </si>
  <si>
    <t>174525.00
11635.00</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</si>
  <si>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</si>
  <si>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75
75
5
5</t>
  </si>
  <si>
    <t>BAL MO Punjab/PUR/63188
BAL MO Punjab/PUR/63188</t>
  </si>
  <si>
    <t>SINC32009</t>
  </si>
  <si>
    <t>BAL MO Madhya Pradesh/PUR/53811</t>
  </si>
  <si>
    <t>SINC32010</t>
  </si>
  <si>
    <t>IB BOE OOC done dtd. 15.09.2025/WPC Licence valid upto dtd.12.02.2026//</t>
  </si>
  <si>
    <t>IB BOE  OOC done dtd.15-09-2025//WPC  Lic.valid upto dtd.16-02-2026//OB confirmation mail send dtd. 15-09-2025//</t>
  </si>
  <si>
    <t>IB OOC done dtd. 15-09-2025//WPC Licence valid upto dtd.22-01-2026//OB confirmation mail send dtd. 15-09-2025//</t>
  </si>
  <si>
    <t>IB OOC done dtd. 13-08-2025 //WPC licence not applicalbe  //</t>
  </si>
  <si>
    <t>IB OOC done dtd,15-09-2025//WPC Licence valid upto dtd.12.02.2026/</t>
  </si>
  <si>
    <t>IB OOC done dtd. 15-09-2025   //WPC lic.valid upto dtd.12-02-2026//</t>
  </si>
  <si>
    <t>IB OOC done dtd. 15-09-2025//WPC licence valid dtd.21-01-2026//</t>
  </si>
  <si>
    <t>IB   OOC done dtd. 15-09-2025//WPC Licence valid upto dtd.12.02.2026//</t>
  </si>
  <si>
    <t>BAL LDS NLD/PUR/2055843</t>
  </si>
  <si>
    <t>HR61F6860</t>
  </si>
  <si>
    <t>Custom duty requested dtd.18-08-2025//OOC done dtd. 21-08-2025//Shipment dispatched dtd.17-09-2025 vehicle no. HR61F6860 mob.80539 53749</t>
  </si>
  <si>
    <t>OOC done dtd.16-09-25// Shipment dispatched dtd.17-09-2025 vehicle no. HR61F6860 mob.80539 53749</t>
  </si>
  <si>
    <t xml:space="preserve"> IB BOE  OOC done dtd. 12-09-2025///OB BOE will be file on Monday dtd. 15-09-2025/OB BOE will be file on Monday dtd. 15-09-2025// custom duty requested dtd.15-09-2025///</t>
  </si>
  <si>
    <t>MH19BM3428</t>
  </si>
  <si>
    <t>IB OOC done dtd.11-09-2025/Original FTA certificate pending //OB BOE will be file on Monday dtd. 15-09-2025//custom duty requested dtd.15-09-2025///OOC done dtd. 17-09-2025 //shipment dispatched dtd. 17-09-2025 vehicle no. MH19BM3428  mob.9860394390</t>
  </si>
  <si>
    <t>WPC licence not applicable // IB OOC done dtd.11-09-2025//Original FTA certificate pending ////OB BOE will be file on Monday dtd. 15-09-2025</t>
  </si>
  <si>
    <t>JB-2025-AI-21-003684</t>
  </si>
  <si>
    <t>JB-2025-AI-21-003670</t>
  </si>
  <si>
    <t>JB-2025-AI-21-003691</t>
  </si>
  <si>
    <t>JB-2025-AI-21-003686</t>
  </si>
  <si>
    <t>JB-2025-AI-21-003687</t>
  </si>
  <si>
    <t>AI2025-0056247</t>
  </si>
  <si>
    <t>AI2025-0056248</t>
  </si>
  <si>
    <t>//custom duty requested dtd. 15-09-2025//OOC done dtd.16-09-25 /PART A E WAY BILL  received dtd.18-09-2025//shipment dispatched dtd. 18-09-2025 vehicle no.MH46BB6951 mob.9867584328</t>
  </si>
  <si>
    <t>MH-03CP8728</t>
  </si>
  <si>
    <t>custom duty requested dtd. 15-09-2025//OOC done dtd.17-09-2025 // PART A  EWAY BILL received dtd.18-09-2025//Shipment dispatched dt.18-09-2025 vehicle no.MH-03CP8728 mob.7021883595</t>
  </si>
  <si>
    <t>2298 </t>
  </si>
  <si>
    <t>3665 </t>
  </si>
  <si>
    <t xml:space="preserve">query raised  //IB BOE OOC done dtd. 19-09-2025//WPC licence not applicable </t>
  </si>
  <si>
    <t>DL01LAC6754</t>
  </si>
  <si>
    <t>OB confirm received dtd.15-09-2025//custom duty requested dtd. 17-09-2025//OB OOC  done dtd. 18-09-2025//Shipment dispatched dtd.20-09-2025 vehicle no. DL01LAC6754 mob.  9336779508</t>
  </si>
  <si>
    <t>IB BOE done dtd. 20-09-2025//wpc licencevalid upto dtd.11.03.2026</t>
  </si>
  <si>
    <t>9227073 </t>
  </si>
  <si>
    <t>IB BOE  OOC done dtd.17-09-2025//OB confirmation mail send dtd.18-09-2025//wpc licence valid upto dtd.18.10.2025//</t>
  </si>
  <si>
    <t>IB BOE OOC done dtd.18-09-2025//WPC licence valide upto dtd.05-03-2026//OB confrimation mail send &amp; received dtd. 19-09-2025 //</t>
  </si>
  <si>
    <t>MH04KU7508</t>
  </si>
  <si>
    <t xml:space="preserve">/OB confirmation mail send dtd. 15-09-2025//OB confirmation received dtd.17-09-2025//Custom duty requested dtd.17-09-2025///OOC  done dtd. 19-09-2025//shipment  dispatched  DTD.20-09-2025 vehicle no. MH04KU7508 mob.9024058977 </t>
  </si>
  <si>
    <t>OB confirmation mail send dtd. 15-09-2025//OB confirmation received dtd.17-09-2025//Custom duty requested dtd.17-09-2025///OOC  done dtd. 19-09-2025////shipment  dispatched  DTD.20-09-2025 vehicle no. MH04KU7508 mob.9024058977  &amp; vehicle no. RJ 37 GB 0027 mob.6376012031</t>
  </si>
  <si>
    <t>MH04KU7508
RJ 37 GB 0027</t>
  </si>
  <si>
    <t xml:space="preserve">OB confirmation mail send dtd. 15-09-2025//OB confirmation received dtd.17-09-2025//Custom duty requested dtd.17-09-2025//OOC  done dtd. 19-09-2025//shipment dispatched  dtd.20-09-2025 vehicle no.MH04KU6511 mob.7045845344 </t>
  </si>
  <si>
    <t>MH04KU6511</t>
  </si>
  <si>
    <t xml:space="preserve">OB confirmation mail send dtd. 15-09-2025//OB confirmation received dtd.17-09-2025//Custom duty requested dtd.17-09-2025//OOC  done dtd. 19-09-2025///shipment dispatched  dtd.20-09-2025 vehicle no.MH04KU6511 mob.7045845344 </t>
  </si>
  <si>
    <t>MH46CL2405</t>
  </si>
  <si>
    <t xml:space="preserve">OB confirmation mail send dtd. 15-09-2025//OB confirmation received dtd.17-09-2025//Custom duty requested dtd.17-09-2025///OOC  done dtd. 19-09-2025//shipment  dispatched  DTD.20-09-2025 VEHICLE NO. MH46CL2405 MOB.9105002479 </t>
  </si>
  <si>
    <t>IB BOE OOC done dtd.18-09-2025/WPC licence valide upto dtd.08-12-2025//</t>
  </si>
  <si>
    <t>IB BOE OOC done dtd.18-09-2025//WPC licence valide upto dtd.08-12-2025//</t>
  </si>
  <si>
    <t xml:space="preserve">CGHODUPX1 BR-0318-0 MW RADIO:IP-50CX-E-15-420-01W08-H,FREQUENCY BAND:15 GHZ (1W8),TX POWER
CGHODUPV2 BR-0319-0 MW RADIO:IP-50CX-E-15-420-01W08-L,FREQUENCY BAND:15 GHZ (1W8),TX POWER
</t>
  </si>
  <si>
    <t xml:space="preserve">CGHODUPX1
CGHODUPV2
</t>
  </si>
  <si>
    <t xml:space="preserve">BAL-MO-HARYANA-HARYANA/PUR/10009912
</t>
  </si>
  <si>
    <t>SINC32294</t>
  </si>
  <si>
    <t>SINC32370</t>
  </si>
  <si>
    <t>6996266
6996278</t>
  </si>
  <si>
    <t>08-Sep-2025
08-Sep-2025</t>
  </si>
  <si>
    <t>116350.00
155775.00</t>
  </si>
  <si>
    <t>CGHODUPY4
CGHODUPI9
CGHODUQY4
CGHODUQI4</t>
  </si>
  <si>
    <t>CGHODUPY4 BR-0316-0 MW RADIO:IP-50CX-E-18-H-H,FREQUENCY BAND:18 GHZ,TX POWER OUTPUT:24
CGHODUPI9 BR-0317-0 MW RADIO:IP-50CX-E-18-H-L,FREQUENCY BAND:18 GHZ,TX POWER
CGHODUQY4 BR-0328-0 MW RADIOIP-50CX-E-15-420-08W15-H FB 15 GHZ (8W15)TXP 25 DBM HIGH1+0 UPGRD
CGHODUQI4 BR-0329-0 MW RADIO:IP-50CX-E-15-420-08W15-L,FB15 GHZ (8W15)TXP:25 DBM LOW 1+0 UPGRD</t>
  </si>
  <si>
    <t>50
50
75
75</t>
  </si>
  <si>
    <t>BAL MO U.P.East/PUR/72573
BAL MO U.P.East/PUR/72599</t>
  </si>
  <si>
    <t>SINC32293</t>
  </si>
  <si>
    <t xml:space="preserve">BAL MO U.P.East/PUR/72233
</t>
  </si>
  <si>
    <t>6995338
6996277</t>
  </si>
  <si>
    <t>29-08-2025
08-09-2025</t>
  </si>
  <si>
    <t>69810.00
155775.00</t>
  </si>
  <si>
    <t>30
30
75
75</t>
  </si>
  <si>
    <t>BAL MO Madhya Pradesh/PUR/53674
BAL MO Madhya Pradesh/PUR/53811</t>
  </si>
  <si>
    <t>SINC32292</t>
  </si>
  <si>
    <t>IB BOE OOC  done dtd. 22-09-2025//wpc licence valid upto dtd.12.02.2026</t>
  </si>
  <si>
    <t>IB BOE OOC  done dtd. 22-09-2025//wpc licence valid upto dtd.11.03.2026</t>
  </si>
  <si>
    <t xml:space="preserve">Supplier </t>
  </si>
  <si>
    <t>897 </t>
  </si>
  <si>
    <t>IB BOE OOC  done dtd. 22-09-2025//wpc licencevalid upto dtd.28.02.2026//</t>
  </si>
  <si>
    <t>IB BOE OOC  done dtd. 22-09-2025//wpc licence valid upto dtd.28-02-2026//</t>
  </si>
  <si>
    <t>IB BOE OOC done dtd.18-09-2025//wpc licence valid upto dtd.28.02.2026//</t>
  </si>
  <si>
    <t>1031 </t>
  </si>
  <si>
    <t>AI2025-0057267</t>
  </si>
  <si>
    <t>7002609
6996265</t>
  </si>
  <si>
    <t>16-Sep-2025
16-Sep-2025</t>
  </si>
  <si>
    <t>103850.00
23270.00</t>
  </si>
  <si>
    <t>CGHODUPA3
CGHODUPI7
CGHODUPF1
CGHODUPE9</t>
  </si>
  <si>
    <t>CGHODUPA3 BR-0303-0 MW RADIO:IP-50CX-E-13-266-05W08-H,FREQUENCY BAND:13GHZ,TX POWER
CGHODUPI7 BR-0315-0 MW RADIO:IP-50CX-E-13-266-05W08-L,FREQ BAND:13GHZ,TX POWER OUTPUT:26
CGHODUPF1 BR-0332-0 MW RADIO:IP-50CX-E-13-266-05W08-H,FREQUENCY BAND:13 GHZ,TX POWER
CGHODUPE9 BR-0333-0 MW RADIO:IP-50CX-E-13-266-05W08-L,FREQUENCY BAND:13 GHZ,TX POWER</t>
  </si>
  <si>
    <t>50
50
10
10</t>
  </si>
  <si>
    <t xml:space="preserve">BAL MO U.P.East/PUR/72599
BAL MO U.P.East/PUR/72573
</t>
  </si>
  <si>
    <t>8XP7470</t>
  </si>
  <si>
    <t>8XP7471</t>
  </si>
  <si>
    <t>CGHODUPA3 BR-0303-0 MW RADIO:IP-50CX-E-13-266-05W08-H,FREQUENCY BAND:13GHZ,TX POWER
CGHODUPI7 BR-0315-0 MW RADIO:IP-50CX-E-13-266-05W08-L,FREQ BAND:13GHZ,TX POWER OUTPUT:26</t>
  </si>
  <si>
    <t>IB OOC done dtd.11-09-2025//FTA soft copy received 18-09-2025// OB custom duty requested dtd. 19-09-2025//OOC done dtd.23-09-2025//Shipment dispatched dtd.24-09-2025 vehicle no. MH46BB6951 mob.9867584328</t>
  </si>
  <si>
    <t>MH04 MH 9787</t>
  </si>
  <si>
    <t>OB BOE  custom duty requested dtd. 22-09-2025//OOC done dtd.23-09-2025//Shipment dispatched dtd.24-09-2025 vehicle no. MH04 MH 9787  mob.95650 13313</t>
  </si>
  <si>
    <t>OB BOE  custom duty requested dtd. 22-09-2025//OOC done dtd.23-09-2025/Shipment dispatched dtd.24-09-2025 vehicle no. MH04 MH 9787  mob.95650 13313</t>
  </si>
  <si>
    <t>382 </t>
  </si>
  <si>
    <t>742 </t>
  </si>
  <si>
    <t>3528500 </t>
  </si>
  <si>
    <t>635130 </t>
  </si>
  <si>
    <t>SINC32369</t>
  </si>
  <si>
    <t>MH04MH3867</t>
  </si>
  <si>
    <t>Original FTA received dtd22-09-2025///OB  OOC done dtd.24-09-2025//Shipment dispatched dtd.25-09-2025 vehicle no.MH04MH3867 MOB.867206162</t>
  </si>
  <si>
    <t>OB  OOC done dtd.24-09-2025//Shipment dispatched dtd.25-09-2025 vehicle no.MH04MH3867 MOB.867206162</t>
  </si>
  <si>
    <t>IB BOE OOC  done dtd. 22-09-2025//WPC licence not applicalbe///OB  OOC done dtd.24-09-2025//Shipment dispatched dtd.25-09-2025 vehicle no.MH04MH3867 MOB.867206162</t>
  </si>
  <si>
    <t>MH04LY8650</t>
  </si>
  <si>
    <t>OB  OOC done dtd.24-09-2025//Shipment dispatched dtd.25-09-2025 vehicle no. MH04LY8650 mob.7652057109</t>
  </si>
  <si>
    <t>IB BOE  OOC done dtd.15-09-2025 //WPC Lic.valid upto dtd.20-01-2026//OB confirmation mail send dtd. 15-09-2025// ///  OB confirmation  received dtd. 25-9-2025//</t>
  </si>
  <si>
    <t>MH04KU5764</t>
  </si>
  <si>
    <t xml:space="preserve"> FORM I  received dtd.22-09-2025///OB  OOC done dtd.24-09-2025// shipment dispatched dtd.26-09-2025 vehicle no.MH04KU5764 mob.no.8423851645</t>
  </si>
  <si>
    <t>OB  OOC done dtd.24-09-2025// shipment dispatched dtd.26-09-2025 vehicle no.MH04KU5764 mob.no.8423851645</t>
  </si>
  <si>
    <t>AI2025-0057717</t>
  </si>
  <si>
    <t>AI2025-0058229</t>
  </si>
  <si>
    <t>13840609 </t>
  </si>
  <si>
    <t>2491310 </t>
  </si>
  <si>
    <t>GJ06AZ4408</t>
  </si>
  <si>
    <t>Custom duty requested dtd. 25-09-2025 //OOC done dtd. 29-09-2025//Shipment dispatched dtd.30-09-2025 Vehicle no. GJ06AZ4408 MOB. 9925652572</t>
  </si>
  <si>
    <t>835 </t>
  </si>
  <si>
    <t>1024 </t>
  </si>
  <si>
    <t>AI2025-0059232</t>
  </si>
  <si>
    <t>AI2025-0059231</t>
  </si>
  <si>
    <t>MH04GR4043</t>
  </si>
  <si>
    <t>IB  OOC done dtd.29-09-2025   //wpc licence   valid upto dtd.11-03-2026//OB custom duty requested dtd. 30-09-2025//OOC  done dtd. 01-10-2025//Shipment dispatched dtd. 03-10-2025 vehicle no.MH04GR4043 mob.73556 24761</t>
  </si>
  <si>
    <t>MH04GR4043
UP14PT2677</t>
  </si>
  <si>
    <t>IB  OOC done dtd.29-09-2025 //wpc licence   valid upto dtd.11-03-2026//OB custom duty requested dtd. 30-09-2025//OOC  done dtd. 01-10-2025//Shipment dispatched dtd. 03-10-2025 vehicle no.MH04GR4043 mob.73556 24761 , vehicle no. UP14PT2677 mob.9310077975</t>
  </si>
  <si>
    <t>RJ 14 GP 8284</t>
  </si>
  <si>
    <t>IB  OOC done dtd.29-09-2025 //wpc licence not applicalbe//OB OOC done dtd. 30-09-2025//PART A EWAY BILL &amp; ASN update confirmation  recevied dtd.01-10-2025//shipment  dispatched dtd.03-10-2025  vehicle no. RJ 14 GP 8284 mob.7426831499</t>
  </si>
  <si>
    <t>6999090
6999093
6999094
6999098</t>
  </si>
  <si>
    <t>11-Sep-2025
11-Sep-2025
11-Sep-2025
11-Sep-2025</t>
  </si>
  <si>
    <t>155775.00
155775.00
155775.00
103850.00</t>
  </si>
  <si>
    <t>CGHODUPX4
CGHODUPX2
CGHODUPX4
CGHODUPX2
CGHODUPX4
CGHODUPX2
CGHODUPX4
CGHODUPX2</t>
  </si>
  <si>
    <t>75
75
75
75
75
75
50
50</t>
  </si>
  <si>
    <t>BAL MO Madhya Pradesh/PUR/53811
BAL MO Madhya Pradesh/PUR/53811
BAL MO Madhya Pradesh/PUR/53811
BAL MO Madhya Pradesh/PUR/53811</t>
  </si>
  <si>
    <t>SINCB25027754</t>
  </si>
  <si>
    <t>SINC32674</t>
  </si>
  <si>
    <t>6996272
6996273</t>
  </si>
  <si>
    <t>16-Sep-2025
03-Sep-2025</t>
  </si>
  <si>
    <t>137293.00
1163.50</t>
  </si>
  <si>
    <t>CGHODUPX1
CGHODUPV2
CGHODUPX1</t>
  </si>
  <si>
    <t>CGHODUPX1 BR-0318-0 MW RADIO:IP-50CX-E-15-420-01W08-H,FREQUENCY BAND:15 GHZ (1W8),TX POWER
CGHODUPV2 BR-0319-0 MW RADIO:IP-50CX-E-15-420-01W08-L,FREQUENCY BAND:15 GHZ (1W8),TX POWER
CGHODUPX1 BR-0318-0 MW RADIO:IP-50CX-E-15-420-01W08-H,FREQUENCY BAND:15 GHZ (1W8),TX POWER</t>
  </si>
  <si>
    <t>59
59
1</t>
  </si>
  <si>
    <t>SINC32768</t>
  </si>
  <si>
    <t xml:space="preserve">BAL MO U.P.East/PUR/72515
</t>
  </si>
  <si>
    <t>SINC32727</t>
  </si>
  <si>
    <t>6995989
7002139
7004184
7004185</t>
  </si>
  <si>
    <t>15-Sep-2025
15-Sep-2025
15-Sep-2025
15-Sep-2025</t>
  </si>
  <si>
    <t>2077.00
89311.00
1038.50
31155.00</t>
  </si>
  <si>
    <t>CGHODUQY4
CGHODUQI4
CGHODUQY4
CGHODUQI4
CGHODUQI4
CGHODUPX5
CGHODUPV9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</si>
  <si>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CGHODUQI4 BR-0329-0 MW RADIO:IP-50CX-E-15-420-08W15-L,FB15 GHZ (8W15)TXP:25 DBM LOW 1+0 UPGRD
CGHODUPX5 BR-0323-0 MW RADIO:IP-50CX-E-18-H-H,FREQ BAND:18 GHZ,TX POWER OUTPUT:24
CGHODUPV9 BR-0324-0 MW RADIO:IP-50CX-E-18-H-L,FREQ BAND:18 GHZ,TX POWER OUTPUT:24</t>
  </si>
  <si>
    <t>1
1
43
43
1
15
15</t>
  </si>
  <si>
    <t>BAL MO U.P.East/PUR/72599
BAL MO U.P.East/PUR/72599
BAL MO U.P.East/PUR/72599
BAL MO U.P.East/PUR/72599</t>
  </si>
  <si>
    <t>SINC32725</t>
  </si>
  <si>
    <t>6995793
6995796
6999102
6999103</t>
  </si>
  <si>
    <t>58175.00
20770.00
83080.00
41540.00</t>
  </si>
  <si>
    <t>CGHODUPY4
CGHODUPI9
CGHODUPX5
CGHODUPV9
CGHODUPX5
CGHODUPV9
CGHODUPX5
CGHODUPV9</t>
  </si>
  <si>
    <t>CGHODUPY4 BR-0316-0 MW RADIO:IP-50CX-E-18-H-H,FREQUENCY BAND:18 GHZ,TX POWER OUTPUT:24
CGHODUPI9 BR-0317-0 MW RADIO:IP-50CX-E-18-H-L,FREQUENCY BAND:18 GHZ,TX POWE
CGHODUPX5 BR-0323-0 MW RADIO:IP-50CX-E-18-H-H,FREQ BAND:18 GHZ,TX POWER OUTPUT:2
CGHODUPV9 BR-0324-0 MW RADIO:IP-50CX-E-18-H-L,FREQ BAND:18 GHZ,TX POWER OUTPUT:24
CGHODUPX5 BR-0323-0 MW RADIO:IP-50CX-E-18-H-H,FREQ BAND:18 GHZ,TX POWER OUTPUT:2
CGHODUPV9 BR-0324-0 MW RADIO:IP-50CX-E-18-H-L,FREQ BAND:18 GHZ,TX POWER OUTPUT:24
CGHODUPX5 BR-0323-0 MW RADIO:IP-50CX-E-18-H-H,FREQ BAND:18 GHZ,TX POWER OUTPUT:2
CGHODUPV9 BR-0324-0 MW RADIO:IP-50CX-E-18-H-L,FREQ BAND:18 GHZ,TX POWER OUTPUT:24</t>
  </si>
  <si>
    <t>25
25
10
10
40
40
20
20</t>
  </si>
  <si>
    <t>BAL MO U.P.East/PUR/72573
BAL MO U.P.East/PUR/72599
BAL MO U.P.East/PUR/72599
BAL MO U.P.East/PUR/72599</t>
  </si>
  <si>
    <t>SINC32675</t>
  </si>
  <si>
    <t>MH04LY8731</t>
  </si>
  <si>
    <t>WPC licence valid upto 21-12-2025 ///OB confirmation mail send dtd. 25-07-2025 ///OB confirmation received dtd. 25-9-2025 //OB  OOC done dtd.30-09-2025//Shipment dispatched dtd. 04-10-2025 vehicle no. MH04LY8731 mob.919991688398</t>
  </si>
  <si>
    <t>OB confirmation mail send dtd.23-09-2025//OB confirmation received dtd.29-09-2025///OB  OOC done dtd.30-09-2025//Shipment dispatched dtd. 04-10-2025 vehicle no. MH04LY8731 mob.919991688398</t>
  </si>
  <si>
    <t>MH04KU7501</t>
  </si>
  <si>
    <t>OB confirmation mail send dtd. 19-09-2025// OB confirmation received dtd.29-09-2025//OB  OOC done dtd.30-09-2025//Shipment dispatched dtd. 04-10-2025 vehicle no. MH04KU7501 Mob.919672541070</t>
  </si>
  <si>
    <t>CAMPFTA01 MIDSTAGELINE AMPLIFIER 3 (MLA3 C-BAND) CIRCUIT PACK: NTK552GAE5</t>
  </si>
  <si>
    <t>AI2025-0059522</t>
  </si>
  <si>
    <t>7002736
7002741</t>
  </si>
  <si>
    <t>18-Sep-2025
18-Sep-2025</t>
  </si>
  <si>
    <t>174525.00
23270.00</t>
  </si>
  <si>
    <t xml:space="preserve">CGHODUPF1
CGHODUPE9
CGHODUPF1
CGHODUPE9
</t>
  </si>
  <si>
    <t>75
75
10
10</t>
  </si>
  <si>
    <t>BAL MO U.P.East/PUR/72573
BAL MO U.P.East/PUR/72573</t>
  </si>
  <si>
    <t>8XP7534</t>
  </si>
  <si>
    <t>8XP7535</t>
  </si>
  <si>
    <t>8XP7536</t>
  </si>
  <si>
    <t>BAL MO U.P.East/PUR/72745</t>
  </si>
  <si>
    <t>BAL MO U.P.East/PUR/72424</t>
  </si>
  <si>
    <t>IB BOE  OOC done dtd. 04-10-2025/ //WPC licence valid upto dtd.06-01-2026//</t>
  </si>
  <si>
    <t>IB BOE  OOC done dtd. 04-10-2025/ //WPC licence valid upto dtd.05-03-2026//</t>
  </si>
  <si>
    <t>IB BOE  OOC done dtd. 04-10-2025/ //WPC licence valid upto dtd.12.02.2026//</t>
  </si>
  <si>
    <t>IB BOE  OOC done dtd. 04-10-2025//WPC licence valid upto dtd.12.02.2026//</t>
  </si>
  <si>
    <t>607-51010326</t>
  </si>
  <si>
    <t>AI2025-0060510</t>
  </si>
  <si>
    <t>1806 </t>
  </si>
  <si>
    <t>618 </t>
  </si>
  <si>
    <t>HR 55 AL 4029</t>
  </si>
  <si>
    <t>IB BOE OOC done dtd.04-10-2025 // WPC licence not applicalbe//IB BOE custom duty requested dtd. 06-10-2025//OOC done dtd.08-10-2025//Shipment dispatched dtd. 09-10-2025 vehicle no. HR 55 AL 4029 mob.9718676206</t>
  </si>
  <si>
    <t>IB BOE OOC done dtd.04-10-2025 // WPC licence not applicalbe/IB BOE custom duty requested dtd. 06-10-2025/OOC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</si>
  <si>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</si>
  <si>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</si>
  <si>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MH46 BB 8213</t>
  </si>
  <si>
    <t>OB confirmation mail send dtd. 04-10-2025 &amp;  confirmation received dtd. 07-10-2025//custom duty requested dtd.08-10-2025//OOC done dtd.09-10-2025//shipment dispatched dtd.10-10-2025 vehicle No.MH46 BB 8213 mob.85768 55155</t>
  </si>
  <si>
    <t>OB confirmation mail send dtd. 04-10-2025 &amp; confirmation received dtd. 07-10-2025///Custom duty requested dtd.08-10-2025//OOC done dtd.09-10-2025/shipment dispatched dtd.10-10-2025 vehicle No.MH46 BB 8213 mob.85768 55155</t>
  </si>
  <si>
    <t>MH04LE8349</t>
  </si>
  <si>
    <t>OB confirmation mail send dtd. 04-10-2025 &amp; confirmation received dtd. 07-10-2025//OOC done dtd.09-10-2025//shipment dispatched dtd.10-10-2025 vehicle no. MH04LE8349 mob.08683875396</t>
  </si>
  <si>
    <t>OB confirmation mail send dtd. 04-10-2025 &amp; confirmation received dtd. 07-10-2025//OOC done dtd.10-10-2025 vehicle no. MH04LE8349  mob no. 08683875396</t>
  </si>
  <si>
    <t>BAL LDS NLD/PUR/2055941</t>
  </si>
  <si>
    <t>AI2025-0061509</t>
  </si>
  <si>
    <t>607-51010433</t>
  </si>
  <si>
    <t>IB BOE done dtd.08-10-2025  //WPC licence valid upto dtd. 08-12-2025// revised FTA  soft copy received dtd. 08-10-2025/OB confirmation mailed send &amp; received confirmation  dtd.09-10-2025//custom duty requested dtd.10-10-2025//</t>
  </si>
  <si>
    <t>IB BOE OOC done dtd. 09-10-2025///wpc licence valid upto dtd. 01-04-2026//OB confirmation mail send dtd.10-10-2025&amp; confirmaiton confirm dtd. 13-10-2025</t>
  </si>
  <si>
    <t>BAL MO Gujarat/PUR/51418
BAL MO Gujarat/PUR/51418</t>
  </si>
  <si>
    <t>container move ameya CFS to SARVESHWER // IB BOE OOC done dtd.13.10.2025 //WPC licence valid  upto dtd.07-02-2026</t>
  </si>
  <si>
    <t>container move ameya CFS to SARVESHWER //IB BOE OOC done dtd.13.10.2025 //WPC licence valid upto  dtd.28-02-2026</t>
  </si>
  <si>
    <t>container move ameya CFS to SARVESHWER // IB BOE OOC done dtd.13.10.2025//wpc licence valid upto  dtd. 11-03-2026</t>
  </si>
  <si>
    <t>container move ameya CFS to SARVESHWER // IB BOE OOC done dtd.13.10.2025//wpc licence valid upto  dtd. 05-03-2026</t>
  </si>
  <si>
    <t xml:space="preserve">FTA certificate soft copy not received //IB BOE OOC done dtd. 09-10-2025//wpc licence valid upto dtd.16-02-2026//OB confirmation mail send dtd.10-10-2025&amp; confirmaiton confirm dtd. 13-10-2025 </t>
  </si>
  <si>
    <t>FTA certificate soft copy not received //IB BOE OOC done dtd. 09-10-2025///wpc licence valid upto dtd. 05-03-2026//OB confirmation mail send dtd.10-10-2025 &amp; confirmaiton confirm dtd. 13-10-2025</t>
  </si>
  <si>
    <t>Original FTA  certificate received dtd.11-10-2025/OOC done dtd.13-10-2025// Shipment dispatched vehicle no.MHO4HD.8757</t>
  </si>
  <si>
    <t>MHO4HD.8757</t>
  </si>
  <si>
    <t xml:space="preserve">CGHODUPF1 
CGHODUPE9 </t>
  </si>
  <si>
    <t xml:space="preserve">BAL MO U.P.East/PUR/72573
</t>
  </si>
  <si>
    <t xml:space="preserve">8XP7573 </t>
  </si>
  <si>
    <t>8XP7574</t>
  </si>
  <si>
    <t>8XP7575</t>
  </si>
  <si>
    <t>17615840112 </t>
  </si>
  <si>
    <t>MTT-160803</t>
  </si>
  <si>
    <t>MTT-160804</t>
  </si>
  <si>
    <t>BAL LDS NLD/PUR/2055945</t>
  </si>
  <si>
    <t>BAL LDS NLD/PUR/2056072</t>
  </si>
  <si>
    <t>293305 </t>
  </si>
  <si>
    <t>JB-2025-AI-21-004084</t>
  </si>
  <si>
    <t>JB-2025-AI-21-004092</t>
  </si>
  <si>
    <t xml:space="preserve">BAL MO U.P.East/PUR/72745
</t>
  </si>
  <si>
    <t>9
9</t>
  </si>
  <si>
    <t xml:space="preserve">BAL MO U.P.East/PUR/72424
</t>
  </si>
  <si>
    <t>SINC33973</t>
  </si>
  <si>
    <t>7010172
7010247</t>
  </si>
  <si>
    <t>29-Sep-2025
29-Sep-2025</t>
  </si>
  <si>
    <t xml:space="preserve">46540.00
30251.00
</t>
  </si>
  <si>
    <t>20
20
13
13</t>
  </si>
  <si>
    <t>7006064
7007110</t>
  </si>
  <si>
    <t>22-Sep-2025
22-Sep-2025</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</si>
  <si>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</si>
  <si>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BAL MO Gujarat/PUR/51465
BAL MO Gujarat/PUR/51465</t>
  </si>
  <si>
    <t>SINC33974</t>
  </si>
  <si>
    <t>SINC33972</t>
  </si>
  <si>
    <t>SINC33977</t>
  </si>
  <si>
    <t>7002134
7002135
7006059
7006060</t>
  </si>
  <si>
    <t>24-09-2025
24-09-2025
24-09-2025
24-09-2025</t>
  </si>
  <si>
    <t>35309.00
2077.00
10385.00
1038.50</t>
  </si>
  <si>
    <t>CGHODUQY4
CGHODUQI4
CGHODUQY4
CGHODUPX4
CGHODUPX2
CGHODUPX2</t>
  </si>
  <si>
    <t>17
17
2
5
5
1</t>
  </si>
  <si>
    <t>BAL MO Punjab/PUR/63301
BAL MO Punjab/PUR/63301
BAL MO Punjab/PUR/63301
BAL MO Punjab/PUR/63301</t>
  </si>
  <si>
    <t>custom duty requested dtd. 14-10-2025////OB BOE OOC done dtd.15-10-2025 //shipment dispatched dtd.17-10-25 vehicle no. MH03DV8647 mob. No.9892251978</t>
  </si>
  <si>
    <t>custom duty requested dtd. 14-10-2025///OB BOE OOC done dtd.15-10-2025// shipment dispatched dtd.17-10-2025 vehicle no.MH03DV8647 mob no.9892251978</t>
  </si>
  <si>
    <t>MH04JK0580</t>
  </si>
  <si>
    <t>OB confirmation mail send dtd.14-10-2025//confirnation confrim dtd.14-10-2025//custom duty requested dtd.15-10-2025///OB OOC doen dtd. 16-10-2025//Shipment dispatched dtd.17-10-2025 vehicle no.MH04JK0580 mob.9137357454</t>
  </si>
  <si>
    <t>custom duty requested dtd. 14-10-2025///OB BOE OOC done dtd.15-10-2025///Shipment dispatched dtd.17-10-2025 vehicle no.MH04JK0580 mob.9137357454</t>
  </si>
  <si>
    <t>MH04JU1840</t>
  </si>
  <si>
    <t>OB confirmation mail send dtd.14-10-2025//confirnation confrim dtd.14-10-2025//custom duty requested dtd.15-10-2025///OB OOC doen dtd. 16-10-2025  // Shipment dispatched dtd. 17-10-2025 vehicle no.MH04JU1840 mob.9137357454</t>
  </si>
  <si>
    <t>OB confirmation mail send dtd.14-10-2025//confirnation confrim dtd.14-10-2025//custom duty requested dtd.15-10-2025///OB OOC doen dtd. 16-10-2025 // Shipment dispatched dtd. 17-10-2025 vehicle no.MH04JU1840 mob.9137357454</t>
  </si>
  <si>
    <t>MH04HD3785</t>
  </si>
  <si>
    <t>OB confirmation mail send dtd.14-10-2025//confirnation confrim dtd.14-10-2025//custom duty requested dtd.15-10-2025///OB OOC doen dtd. 16-10-2025 //Shipment dispatched dtd. 17-10-2025 vehilce no. MH04HD3785  mob.09925970802</t>
  </si>
  <si>
    <t xml:space="preserve">SINC33975 </t>
  </si>
  <si>
    <t>607-51010234</t>
  </si>
  <si>
    <t>DL 01 LAJ 5062</t>
  </si>
  <si>
    <t>IB BOE OOC done dtd. 09-10-2025//WPC licence not applicalbe//custom duty requested dtd. 14-10-2025//OB BOE OOC done dtd.15-10-2025 //Shipment dispatched dtd.18-10-2025 vehicle no.DL 01 LAJ 5062 mob.9910432516</t>
  </si>
  <si>
    <t>IB BOE OOC done dtd.13.10-2025//WPC licence not applicalbe//custom duty requested dtd.14-10-2025////OB BOE OOC done dtd.15-10-2025//Shipment dispatched dtd.18-10-2025 vehicle no.DL 01 LAJ 5062 mob.9910432516</t>
  </si>
  <si>
    <t>IB BOE OOC done dtd.15-10-2025 //WPC licence not applicalbe//Custom duty requested dtd.16-10-2025// OB OOC doen dtd.17.10.2025//Shipment dispatched dtd.18-10-2025 vehicle no.DL 01 LAJ 5062 mob.9910432516</t>
  </si>
  <si>
    <t>IB BOE  OOC done dtd. 04-10-2025///WPC licence valid upto dtd.28.02.2026/</t>
  </si>
  <si>
    <t>container move ameya CFS to SARVESHWER //IB BOE done dtd. 14-10-2025 //wpc licence valid upto   dtd. 11-03-2026//</t>
  </si>
  <si>
    <t>IB BOE OOC done dtd.18-10-2025/// WPC licence valid upto dtd. 05-03-2025//</t>
  </si>
  <si>
    <t>IB BOE OOC done dtd.18-10-2025   // WPC licence valid upto dtd. 05-03-2025//</t>
  </si>
  <si>
    <t>IB BOE OOC done dtd.18-10-2025// WPC licence valid upto dtd. 05-03-2025//</t>
  </si>
  <si>
    <t>CFTAHWS03 WAVESERVER WL5E 2X800G C-BAND PREMIUM 16XQSFP28/QSFP-DD MODULE (186-3101-901) - 12X100G: 186-3101-901F</t>
  </si>
  <si>
    <t>CRLSHMD01</t>
  </si>
  <si>
    <t>AI2025-0062971</t>
  </si>
  <si>
    <t>BAL LDS NLD/PUR/2055773</t>
  </si>
  <si>
    <t>AI2025-0062970</t>
  </si>
  <si>
    <t>BAL LDS NLD/PUR/2055746</t>
  </si>
  <si>
    <t>AI2025-0062969</t>
  </si>
  <si>
    <t>BAL LDS NLD/PUR/2055774</t>
  </si>
  <si>
    <t>AI2025-0062973</t>
  </si>
  <si>
    <t>AI2025-0062972</t>
  </si>
  <si>
    <t xml:space="preserve">IB BOE OOC done dtd.21-10-2025 /WPC Licence not applicable </t>
  </si>
  <si>
    <t xml:space="preserve">IB BOE OOC done dtd.21-10-2025   //WPC Licence not applicable </t>
  </si>
  <si>
    <t>09830667722</t>
  </si>
  <si>
    <t>SIN76030604</t>
  </si>
  <si>
    <t>BAL-ANG-UASL-MUMBAI-MAHARASHTRA/
PUR/10005340</t>
  </si>
  <si>
    <t>02041673575</t>
  </si>
  <si>
    <t>42J0356269</t>
  </si>
  <si>
    <t xml:space="preserve">42J0356270 </t>
  </si>
  <si>
    <t xml:space="preserve">42J0356271 </t>
  </si>
  <si>
    <t>AAI0035277</t>
  </si>
  <si>
    <t>5-1164</t>
  </si>
  <si>
    <t>AAI0035276</t>
  </si>
  <si>
    <t>B0HODUNF3
B0HODUNJ6</t>
  </si>
  <si>
    <t>BAL-MO-ROM-Maharashtra/PUR/10024929</t>
  </si>
  <si>
    <t>BAL-MO-ROM-Maharashtra/PUR/10026050</t>
  </si>
  <si>
    <t>5-1162</t>
  </si>
  <si>
    <t>AAI0035274</t>
  </si>
  <si>
    <t>AAI0035275</t>
  </si>
  <si>
    <t>custom duty requested dtd. 22-10-2025//OOC done dtd.24-10-2025//Shipment dispatched by air lift dtd. 25-10-2025</t>
  </si>
  <si>
    <t>BAL-ANG-UASL-MUMBAI-MAHARASHTRA/
PUR/10005278</t>
  </si>
  <si>
    <t>607-51010654</t>
  </si>
  <si>
    <t>BAL LDS NLD/PUR/2055763</t>
  </si>
  <si>
    <t>MTT-161208</t>
  </si>
  <si>
    <t>MTT-161212</t>
  </si>
  <si>
    <t>BAL-ANG-UASL-NCRBAL-ANG-UASL-NCRHaryana/
PUR/10006719</t>
  </si>
  <si>
    <t>AI2025-0064297</t>
  </si>
  <si>
    <t>AI2025-0064298</t>
  </si>
  <si>
    <t>AI2025-0064299</t>
  </si>
  <si>
    <t>AI2025-0064296</t>
  </si>
  <si>
    <t>AAI0035291</t>
  </si>
  <si>
    <t>AAI0035292</t>
  </si>
  <si>
    <t>AAI0035293</t>
  </si>
  <si>
    <t>AIFTA  recevied dtd. 28-10-2025</t>
  </si>
  <si>
    <t xml:space="preserve">CW5FTA4HC </t>
  </si>
  <si>
    <t>607-51026150</t>
  </si>
  <si>
    <t>60751026150 </t>
  </si>
  <si>
    <t>4840739725 </t>
  </si>
  <si>
    <t>4840739726 </t>
  </si>
  <si>
    <t>BAL-ANG-UASL-MUMBAI-MAHARASHTRA/
PUR/10005342</t>
  </si>
  <si>
    <t>AI2025-0065096</t>
  </si>
  <si>
    <t>AI2025-0065095</t>
  </si>
  <si>
    <t>AI2025-0064744</t>
  </si>
  <si>
    <t>AI2025-0064745</t>
  </si>
  <si>
    <t>7019111
7019115</t>
  </si>
  <si>
    <t>17-Oct-2025
17-Oct-2025</t>
  </si>
  <si>
    <t>93080.00
93080.00</t>
  </si>
  <si>
    <t>40
40
40
40</t>
  </si>
  <si>
    <t>Hexacom MO  Rajasthan/PUR/68665
Hexacom MO  Rajasthan/PUR/68665</t>
  </si>
  <si>
    <t>H559119</t>
  </si>
  <si>
    <t>custom duty requesed dtd.27-10-2025//OOC done dtd.29-10-2025//shipment dispatched dtd.30-10-2025 vehicle no. MH02ER9062 mob.8286364070</t>
  </si>
  <si>
    <t>custom duty requesed dtd.27-10-2025//OOC done dtd.30-10-2025//shipment dispatched dtd.30-10-2025 vehicle no. MH02ER9062 mob.8286364070</t>
  </si>
  <si>
    <t>custom duty requesed dtd.27-10-2025//OOC done dtd.28-10-2025//shipment dispatched dtd.30-10-2025 vehicle no. MH02ER9062 mob.8286364070</t>
  </si>
  <si>
    <t>MH02ER9062</t>
  </si>
  <si>
    <t>H559141</t>
  </si>
  <si>
    <t>H558895</t>
  </si>
  <si>
    <t xml:space="preserve">7019098 
7019099 </t>
  </si>
  <si>
    <t xml:space="preserve">CGHODUPX1 
CGHODUPV2
CGHODUPX1 
CGHODUPV2  </t>
  </si>
  <si>
    <t xml:space="preserve">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t>
  </si>
  <si>
    <t>H559045</t>
  </si>
  <si>
    <t>H558951</t>
  </si>
  <si>
    <t xml:space="preserve">7019142 
7019147 </t>
  </si>
  <si>
    <t>41540.00
20770.00</t>
  </si>
  <si>
    <t xml:space="preserve">CGHODUPX4 
CGHODUPX2 
CGHODUPZ9 
CGHODUPX6 </t>
  </si>
  <si>
    <t>20
20
10
10</t>
  </si>
  <si>
    <t>Hexacom MO  Rajasthan/PUR/68679
Hexacom MO  Rajasthan/PUR/68679</t>
  </si>
  <si>
    <t>MH04HD.5605</t>
  </si>
  <si>
    <t>IB BOE  done dtd.24-10-2025//WPC Licence vaild upto dtd. 11-03-2026// OB confirmation mailed send dtd. 25-10-2025//Confirmation confirm maled received dtd,27-10-2025//custom duty requested dtd.28-10-2025//OOC done dtd. 30-10-2025 //Shipment dispatched dtd.31-10-2025 vehicle no. MH04HD.5605 mob 99750 10574</t>
  </si>
  <si>
    <t>B0HODUNF3 BR-0336-0 MICROWAVE RADIO,MODEL:IP-50EXA-100-H,FREQUENCY BAND:80 GHZ,TX 
B0HODUNJ6 BR-0337-0 MICROWAVE RADIO,MODEL:IP-50EXA-100-L,FREQUENCY BAND:80 GHZ,TX POWER</t>
  </si>
  <si>
    <t xml:space="preserve">CGHODUPX1 BR-0318-0 MW RADIO:IP-50CX-E-15-420-01W08-H,FREQUENCY BAND:15 GHZ (1W8),TX 
CGHODUPV2 BR-0319-0 MW RADIO:IP-50CX-E-15-420-01W08-L,FREQUENCY BAND:15 GHZ (1W8),TX 
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</si>
  <si>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</si>
  <si>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</si>
  <si>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 xml:space="preserve">CGHODUQY4 BR-0328-0 MW RADIOIP-50CX-E-15-420-08W15-H FB 15 GHZ (8W15)TXP 25 DBM HIGH1+0 
CGHODUQI4 BR-0329-0 MW RADIO:IP-50CX-E-15-420-08W15-L,FB15 GHZ (8W15)TXP:25 DBM LOW 1+0 
CGHODUQY4 BR-0328-0 MW RADIOIP-50CX-E-15-420-08W15-H FB 15 GHZ (8W15)TXP 25 DBM HIGH1+0 
CGHODUPX4 BR-0327-0 MW RADIO IP-50CX-E-15-420-01W08-H,FB 15 GHZ 1W8 TXP:25 DBM HIGH 1+0 
CGHODUPX2 BR-0326-0 MW RADIOIP-50CX-E-15-420-01W08-L,FB 15 GHZ 1W8 TXP 25 DBM LOW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</si>
  <si>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</si>
  <si>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CGHODUPV3 BR-0320-0 MW RADIO:IP-50CX-E-15-420-08W15-H,FREQUENCY BAND:15 GHZ (8W15),TX 
CGHODUPX3 BR-0325-0 MW RADIO:IP-50CX-E-15-420-08W15-L,FREQUENCY BAND:15 GHZ (8W15),TX 
CGHODUPV3 BR-0320-0 MW RADIO:IP-50CX-E-15-420-08W15-H,FREQUENCY BAND:15 GHZ (8W15),TX 
CGHODUPX3 BR-0325-0 MW RADIO:IP-50CX-E-15-420-08W15-L,FREQUENCY BAND:15 GHZ (8W15),TX </t>
  </si>
  <si>
    <t>CGHODUPX4 BR-0327-0 MW RADIO IP-50CX-E-15-420-01W08-H,FB 15 GHZ 1W8 TXP:25 DBM HIGH 1+0 
CGHODUPX2 BR-0326-0 MW RADIOIP-50CX-E-15-420-01W08-L,FB 15 GHZ 1W8 TXP 25 DBM LOW 1+0 
CGHODUPZ9 BR-0321-0 MW RADIO:IP-50CX-E-18-L-H,FREQ BAND:18 GHZ,TX POWER OUTPUT:24
CGHODUPX6 BR-0322-0 MW RADIO:IP-50CX-E-18-L-L,FREQ BAND:18 GHZ,TX POWER OUTPUT:24</t>
  </si>
  <si>
    <t>020-41674765</t>
  </si>
  <si>
    <t>42J0356318</t>
  </si>
  <si>
    <t>42J0356319</t>
  </si>
  <si>
    <t>BAL-ANG-UASL-ROM-MAHARASHTRA/
PUR/10002590</t>
  </si>
  <si>
    <t>MAHARAHSTRA</t>
  </si>
  <si>
    <t>HR61E7146</t>
  </si>
  <si>
    <t>custom duty requested dtd. 22-10-2025//OOC done dtd.24-10-2025//hold for clubing due to small shipment //Shipment dispatched vehicle no.HR61E7146 mob.7263928206</t>
  </si>
  <si>
    <t>IB BOE OOC done dtd.25-10-2025 //WPC Licence not applicalbe//custom duty requested dtd.29-10-2025// OOC done dtd. 01-11-25////Shipment dispatched vehicle no.HR61E7146 mob.7263928206</t>
  </si>
  <si>
    <t>IB BOE OOC done dtd.25-10-2025 //WPC Licence not applicalbe////custom duty requested dtd.29-10-2025//OOC done dtd. 30-10-2025//Shipment dispatched vehicle no.HR61E7146 mob.7263928206</t>
  </si>
  <si>
    <t>IB BOE OOC done dtd.25-10-2025 //WPC Licence not applicalbe//custom duty requested dtd.29-10-2025/OOC done dtd. 30-10-2025//Shipment dispatched vehicle no.HR61E7146 mob.7263928206</t>
  </si>
  <si>
    <t>JB-2025-AI-21-004298</t>
  </si>
  <si>
    <t>JB-2025-AI-21-004299</t>
  </si>
  <si>
    <t>OB confirmation mail send dtd.21-10-2025// Confirmation confirm mailed dtd. 22-10-2025 //OB BOE under assessment //Custom duty requested dtd. 30-10-2025//OOC done dtd.01-11-2025//Shipment dispatched dtd.03-11-2025 vehicle no.MH04MH9784 mob.7067474161</t>
  </si>
  <si>
    <t>OB confirmation mail send dtd.21-10-2025// Confirmation confirm mailed dtd. 22-10-2025 //custom duty requested dtd.28-10-2025//OOC done dtd. 30-10-2025//Shipment dispatched dtd.03-11-2025 vehicle no.MH04MH9784 mob.7067474161</t>
  </si>
  <si>
    <t>IB BOE  done dtd.24-10-2025    // WPC Licence valid upto dtd. 01-04-2026// OB confirmation mailed send dtd. 25-10-2025//Confirmation confirm maled received dtd,27-10-2025//custom duty requested dtd.28-10-2025//OOC done dtd. 30-10-2025//Shipment dispatched dtd.03-11-2025 vehicle no.MH04MH9784 mob.7067474161</t>
  </si>
  <si>
    <t>IB BOE  done dtd.24-10-2025// WPC Licence valid upto dtd. 16-02-2026 //OB confirmation mailed send dtd. 25-10-2025//Confirmation confirm maled received dtd,27-10-2025//custom duty requested dtd.28-10-2025//OOC done dtd. 30-10-2025//Shipment dispatched dtd.03-11-2025 vehicle no.MH04MH9784 mob.7067474161</t>
  </si>
  <si>
    <t>IB BOE  done dtd.24-10-2025 // WPC Licence valid upto dtd. 05-03-2026 //OB confirmation mailed send dtd. 25-10-2025//Confirmation confirm maled received dtd,27-10-2025//custom duty requested dtd.28-10-2025//OOC done dtd. 30-10-2025//Shipment dispatched dtd.03-11-2025 vehicle no.MH04MH9784 mob.7067474161</t>
  </si>
  <si>
    <t>3417769TSTH788</t>
  </si>
  <si>
    <t>BAL-MO-AP-Telangana/PUR/10019877</t>
  </si>
  <si>
    <t>217-06963401</t>
  </si>
  <si>
    <t>3417765MHTH791</t>
  </si>
  <si>
    <t>BAL-ANG-UASL-ROM-MAHARASHTRA/
PUR/10026095</t>
  </si>
  <si>
    <t>3417798MHTH790</t>
  </si>
  <si>
    <t>BAL-ANG-UASL-ROM-MAHARASHTRA/
PUR/10026114</t>
  </si>
  <si>
    <t>3417513MHTH789
3417798MHTH798</t>
  </si>
  <si>
    <t>29-Oct-2025
29-Oct-2025</t>
  </si>
  <si>
    <t>13354.00
59486.00</t>
  </si>
  <si>
    <t>BAL-ANG-UASL-ROM-MAHARASHTRA/
PUR/10025652
BAL-ANG-UASL-ROM-MAHARASHTRA/
PUR/10026114</t>
  </si>
  <si>
    <t xml:space="preserve">BY AIR </t>
  </si>
  <si>
    <t xml:space="preserve">IB BOE OOC done dtd.25-10-2025 //WPC Licence not applicalbe//OB BOE under assessment //custom duty requested dtd. 30-10-2025 //OOC done dtd.01-11-2025//Shipment dispatched dtd. 03.11-2025 by air </t>
  </si>
  <si>
    <t>CUSTOM duty requesed dtd.30-10-2025//duty paid  dtd.04-11-2025//OOC done dtd.04-11-2025</t>
  </si>
  <si>
    <t>10018215TSSFP778
10018215TSSFP779</t>
  </si>
  <si>
    <t>16-Oct-2025
16-Oct-2025</t>
  </si>
  <si>
    <t>124.65
706.35</t>
  </si>
  <si>
    <t>BAL-MO-AP-Telangana/PUR/10018215
BAL-MO-AP-Telangana/PUR/10018215</t>
  </si>
  <si>
    <t>618-48585132</t>
  </si>
  <si>
    <t>CUSTOM duty requesed dtd.01-11-2025 //OOC done dtd.04-11-2025//dispatched shipment  dtd.05-11-2025 vehicle no.MH03CP8728  mob. 7021883595</t>
  </si>
  <si>
    <t>MH.14.MH.6248</t>
  </si>
  <si>
    <t>IB BOE OOC DONE 29-10-2025 /// wpc licence valid upto dtd.08-11-2025// OB confirmation mail send dtd. 30-10-2025 //OB confirmation mail send dtd.30-10-2025//OB  cusotm duty requested dtd.03-11-2025 //OOC done dtd. 04-11-2025//Shipment dispatched dtd. 06-11-2025 vehicle no.MH.14.MH.6248 mob.9762150085</t>
  </si>
  <si>
    <t xml:space="preserve">OB confirmation mail send dtd. 04-10-2025//FORM I received dtd.01-11-2025 //custom duty requested dtd.03-11-2025//OOC done dtd. 04-11-2025//Shipment dispatched dtd.06-11-2025 vehicle no. MH04KU5764 mob.9685376585  </t>
  </si>
  <si>
    <t>MH46CU6642</t>
  </si>
  <si>
    <t>CUSTOM duty requesed dtd.01-11-2025//OOC done dtd.04-11-2025//shipment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</si>
  <si>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</si>
  <si>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</si>
  <si>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 //custom duty requested dtd.04-11-2025// OOC done dtd.05-11-2025//shipment dispatched dtd.06-11-2025 vehicle no.MH 46 CU 6642 mob.8850169677 &amp; 8652627505</t>
  </si>
  <si>
    <t>MH04MR2661</t>
  </si>
  <si>
    <t>Final AWB received dtd.04-11-2025///custom duty requested dtd.04-11-2025// OOC done dtd.05-11-2025//Shipment dispatched dtd.06-11-2025 vehicle no. MH04MR2661 mob.9136676669</t>
  </si>
  <si>
    <t>IB BOE OOC DONE 29-10-2025 /// wpc Licence valid upto 04-03-2026 //</t>
  </si>
  <si>
    <t>IB BOE  done dtd.24-10-2025   //// WPC licence valid upto dtd.04-03-2026//</t>
  </si>
  <si>
    <t>IB BOE OOC DONE 29-10-2025 /// wpc licence valid from 02-11-2025 upto 01-05-2026 //</t>
  </si>
  <si>
    <t>IB BOE OOC DONE 29-10-2025 /// WPC Licence valid upto 11-03-2026  //</t>
  </si>
  <si>
    <t>IB BOE OOC under queue dtd. 03-11-2025//</t>
  </si>
  <si>
    <t>IB BOE done dtd. 06-11-2025 //</t>
  </si>
  <si>
    <t>IB BOE done dtd. 06-11-2025 //HAWB received dtd.01-11-2025 //</t>
  </si>
  <si>
    <t>IB BOE  OOC done dtd..01-11-2025/ WPC Licence not applicalbe//Soft copy of  FTA received dtd. 03-11-2025// OB BOE under assessment//</t>
  </si>
  <si>
    <t>IB BOE  OOC done dtd..01-11-2025/ WPC Licence not applicalbe//Soft copy of  FTA received dtd. 03-11-2025/</t>
  </si>
  <si>
    <t>pre alert document recevied dtd. 27-10-2025 after evening//IB BOE OOC done dtd.30-10-2025// wpc licence valid from 02-11-2025 upto 01-05-2026</t>
  </si>
  <si>
    <t>CGHODUQY4</t>
  </si>
  <si>
    <t>CGHODUQY4 BR-0328-0 MW RADIOIP-50CX-E-15-420-08W15-H FB 15 GHZ (8W15)TXP 25 DBM HIGH1+0 UPGRD</t>
  </si>
  <si>
    <t xml:space="preserve">BAL MO U.P.East/PUR/72649
</t>
  </si>
  <si>
    <t>8XW9907</t>
  </si>
  <si>
    <t xml:space="preserve">HR61F4830 </t>
  </si>
  <si>
    <t>IB BOE  OOC done dtd 01-11-2025// WPC Licence not applicalbe//custom duty requested dtd. 04-11-2025//OOC done dtd. 06-11-2025// Shipement dispatched dtd.08-11-2025 vehicle no.HR61F4830  mob.8178225406</t>
  </si>
  <si>
    <t>Custom duty requested dtd. 04-11-2025//OOC done dtd.07-11-2025// ORIGINAL FTA recevied dtd. 05-11-2025// Shipement dispatched dtd.08-11-2025 vehicle no.HR61F4830  mob.8178225406</t>
  </si>
  <si>
    <t>/custom duty requested dtd.04-11-2025//OOC done dtd. 06-11-2025//ORIGINAL FTA recevied dtd. 05-11-2025//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</si>
  <si>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</si>
  <si>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</si>
  <si>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 WPC Licence not applicalbe//Custom duty requested dtd. 06-11-2025//OOC  done dtd. 07-11-2025// Shipement dispatched dtd.08-11-2025 vehicle no.HR61F4830  mob.8178225406</t>
  </si>
  <si>
    <t>61847668434 </t>
  </si>
  <si>
    <t>3417506TSTH818
3417769TSTH819
3417794TSTH820</t>
  </si>
  <si>
    <t>06-Nov-2025
06-Nov-2025
06-Nov-2025</t>
  </si>
  <si>
    <t>20638.00
78910.00
24280.00</t>
  </si>
  <si>
    <t xml:space="preserve">BAL-MO-AP-Telangana/PUR/10019397
BAL-MO-AP-Telangana/PUR/10019877
BAL-MO-AP-Telangana/PUR/10019899
</t>
  </si>
  <si>
    <t>BAL-MO-ROM-Maharashtra/PUR/10026095</t>
  </si>
  <si>
    <t xml:space="preserve">pre alert docs recvd dtd.31-10-2025 
IGM filed late niight dtd.06-11-2025&amp; BOE filed dtd.07-11-2025
BOE assessesd after evening 
08-11-2025 custom holiday due to second Saturday  &amp; 09-11-2025 Sunday 
10-11-2025  TP &amp; movement  From Sahar cargo to FTWZ Nhavasheva  processed </t>
  </si>
  <si>
    <t xml:space="preserve"> final AWB received dtd. 06-11-2025//OOC done 08-11-2025//shipment dispatched dtd.10-11-2025 through GATI DOCKET NO.422176525</t>
  </si>
  <si>
    <t>GATI Docket No 422176525</t>
  </si>
  <si>
    <t>BAL-MO-ROM-Maharashtra/PUR/10002609</t>
  </si>
  <si>
    <t>02041683644 </t>
  </si>
  <si>
    <t>42J0356389 </t>
  </si>
  <si>
    <t xml:space="preserve">CGHODUPX4 
CGHODUPX2 </t>
  </si>
  <si>
    <t>BAL MO Punjab/PUR/63301</t>
  </si>
  <si>
    <t>BAL MO Punjab/PUR/63425</t>
  </si>
  <si>
    <t>5-1230</t>
  </si>
  <si>
    <t>5-1229</t>
  </si>
  <si>
    <t>AAI0035374</t>
  </si>
  <si>
    <t>AAI0035375</t>
  </si>
  <si>
    <t>BAL MO Mumbai/PUR/96032</t>
  </si>
  <si>
    <t>5-1231</t>
  </si>
  <si>
    <t>AAI0035373</t>
  </si>
  <si>
    <t xml:space="preserve">28-10-2025  : Pre alert document received  
29-10-2025  : Shipment arrived // Flight landed late night.
30-10-2025  :  BOE filed
31-10-2025  :  BOE Assessment done, TP &amp; movement   From Sahar cargo to FTWZ Nhavasheva completed  </t>
  </si>
  <si>
    <t xml:space="preserve">24-10-2025  : Pre alert document received  
27-10-2025  :  Advance BOE filed and assessment done.
28-10-2025  : Shipment arrived 
29-10-2025  : Shipment was under OOC queue
30-10-2025 : Query Raised by the department, Query response submitted.
30-10-2025 :  OOC Done, </t>
  </si>
  <si>
    <t>24-10-2025  : Pre alert document received  
27-10-2025  :  Advance BOE filed and assessment done.
28-10-2025  : Shipment arrived 
29-10-2025 : Custom duty paid , BOE marked for OOC queue.
29-10-2025 :  OOC done  and material dispatched from Sahar Cargo</t>
  </si>
  <si>
    <t xml:space="preserve">24-10-2025  : Pre alert document received  
27-10-2025  :  Advance BOE filed and assessment done.
28-10-2025  : Shipment arrived 
28-10-2025  :  Custom duty paid, OOC done 
30-10-2025 : Confirmation received from Airtel for dispatch the material </t>
  </si>
  <si>
    <t>29-10-2025  : Pre alert document received  
30-10-2025  :  Advance BOE filed and assesment done. Shipment arrived late night 
30-10-2025  : Custom duty request sent 
04-11-2025  : Custom duty paid. 
04-11-2025  :  OOC done  and material dispatched from Sahar Cargo</t>
  </si>
  <si>
    <t>MH46BU9801</t>
  </si>
  <si>
    <t xml:space="preserve"> OB confirmation mailed send dtd. 25-10-2025//confirmation confirm dtd.07-11-2025 //OB BOE  custom duty requested dtd. 10-11-2025//OOC done dtd. 11-11-2025//Shipment dispatched dtd.12.11.2025 vehicle no.MH46BU9801 mob.8118814819</t>
  </si>
  <si>
    <t>OB confirmation mail send dtd.30-10-2025/confirmation confirm dtd.07-11-2025//OB BOE custom duty requested dtd. 10-11-2025//OOC done dtd. 11-11-2025//Shipment dispatched dtd.12.11.2025 vehicle no.MH46BU9801 mob.8118814819</t>
  </si>
  <si>
    <t>IB BOE  OOC done dtd. 11-11-2025  //WPC licence valid upto dtd.18-03-2026//</t>
  </si>
  <si>
    <t>BAL-ANG-UASL-MUMBAI-MAHARASHTRA/PUR/10005342</t>
  </si>
  <si>
    <t>AI2025-0068030</t>
  </si>
  <si>
    <t>3417765MHTH821</t>
  </si>
  <si>
    <t>BAL MO Gujarat/PUR/51465</t>
  </si>
  <si>
    <t>SINC36039</t>
  </si>
  <si>
    <t>SINC36038</t>
  </si>
  <si>
    <t>SINC36044</t>
  </si>
  <si>
    <t>SINC36040</t>
  </si>
  <si>
    <t>SINC36041</t>
  </si>
  <si>
    <t>SINC36043</t>
  </si>
  <si>
    <t>SINC36036</t>
  </si>
  <si>
    <t>BAL-MO-MPCG-Chhattisgarh/PUR/10002859</t>
  </si>
  <si>
    <t>SINC35976</t>
  </si>
  <si>
    <t>SINC36035</t>
  </si>
  <si>
    <t>SINC36037</t>
  </si>
  <si>
    <t>SINC36042</t>
  </si>
  <si>
    <t>7
7</t>
  </si>
  <si>
    <t xml:space="preserve">BAL MO U.P.East/PUR/72599
</t>
  </si>
  <si>
    <t>SINC36045</t>
  </si>
  <si>
    <t xml:space="preserve">MH25AK6147 </t>
  </si>
  <si>
    <t xml:space="preserve">MH14KA4623 </t>
  </si>
  <si>
    <t>Final AWB received dtd. 11-11-2025//custom duty requested dtd. 11-11-2025//OOC done  dtd.12-11-2025//  shipment dispatched  dtd.13-11-2025 vehicle no.MH25AK6147  MOB.9595950429</t>
  </si>
  <si>
    <t>Final AWB received dtd. 11-11-2025//custom duty requested dtd. 11-11-2025//OOC done  dtd.12-11-2025//shipment dispatched  dtd.13-11-2025 vehicle no.MH14KA4623    MOB.9405020757</t>
  </si>
  <si>
    <t>Custom duty requested dtd.13-11-2025//OOC done dtd.14-11-2025//Shipment dispatched dtd, 14-11-2025 vehicle no.MH03CP8728 mob.7021883595</t>
  </si>
  <si>
    <t>3417192TSSG793</t>
  </si>
  <si>
    <t>BAL-MO-AP-Telangana/PUR/10019071</t>
  </si>
  <si>
    <t>3417239MHSG797</t>
  </si>
  <si>
    <t>BAL-MO-ROM-Maharashtra/PUR/10025392</t>
  </si>
  <si>
    <t>3417794TSTH847</t>
  </si>
  <si>
    <t>BAL-MO-AP-Telangana/PUR/10019899</t>
  </si>
  <si>
    <t>MH03EG2733</t>
  </si>
  <si>
    <t>OB confirmation mail send dd. 12-11-2025 &amp; confirmation confirm received dtd.12-11-2025///  custom duty requested dtd. 13-11-2025//OOC done dtd.14-11-2025//Shipment dispatched dtd.15-11-2025 vehicle no.MH03EG2733 MOB.8828002199</t>
  </si>
  <si>
    <t>IB BOE OOC DONE 29-10-2025  //WPC Licence valid upto dtd.06-01-2026//OB confirmation mail send dtd. 30-10-2025//custom duty requested dtd.11-11-2025 //OOC doen dtd. 12-11-2025//Shipment dispatched dtd.15-11-2025 vehicle no.MH03EG2733 MOB.8828002199</t>
  </si>
  <si>
    <t>MH04LQ4961</t>
  </si>
  <si>
    <t>WPC licence valid from 12-11-2025 upto  11-05-2026//OB confirmation mail send dtd. 07-11-2025//custom duty requested dtd.13-11-2025//OOC done dtd.14-11-2025 //shipment dispatched dtd.14-11-2025 vehicle no. MH04LQ4961 mob.08708365731</t>
  </si>
  <si>
    <t>WPC licence valid from 12-11-2025 upto  11-05-2026//OB confirmation mail send dtd. 07-11-2025//custom duty requested dtd.13-11-2025///OOC done dtd.14-11-2025 //shipment dispatched dtd.14-11-2025 vehicle no. MH04LQ4961 mob.08708365731</t>
  </si>
  <si>
    <t>MH04LQ3126</t>
  </si>
  <si>
    <t>IB BOE  OOC done dtd. 11-11-2025  //HAWB received dtd.01-11-2025//WPC licence valid form 12-11-2025 upto 11-05-2025 /OB confirmation mail send dd. 12-11-2025//custom duty requested dtd.13-11-2025///OOC done dtd.14-11-2025 //shipment dispatched dtd.14-11-2025 vehicle no. MH04LQ3126  mob.+91 6378004510</t>
  </si>
  <si>
    <t>WPC licence valid from 12-11-2025 upto  11-05-2026//OB confirmation mail send dtd. 07-11-2025///OOC done dtd.14-11-2025 //shipment dispatched dtd.14-11-2025 vehicle no. MH04LQ3126  mob.+91 6378004510</t>
  </si>
  <si>
    <t>WPC licence valid from 12-11-2025 upto  11-05-2026//OB confirmation mailed dtd. 04-11-2025//custom duty requested dtd.13-11-2025///OOC done dtd.14-11-2025 //shipment dispatched dtd.14-11-2025 vehicle no. MH04LQ3126  mob.+91 6378004510</t>
  </si>
  <si>
    <t>3417765MHTH848</t>
  </si>
  <si>
    <t>B0HODUNJ2</t>
  </si>
  <si>
    <t>B0HODUNJ2 BR-0334-0 MICROWAVE RADIO,MODEL:IP-50E-DX0H-H-ESSQ,FREQUENCY BAND:80 GHZ,TX</t>
  </si>
  <si>
    <t>BAL MO Mumbai/PUR/95983</t>
  </si>
  <si>
    <t>8XW9959</t>
  </si>
  <si>
    <t>8XW9960</t>
  </si>
  <si>
    <t xml:space="preserve">MH02ER9085 </t>
  </si>
  <si>
    <t>Custom duty requested dtd.13-11-2025//OOC done dtd.15-11-2025//Shipment dispatched dtd.19-11-2025 vehicle no.MH02ER9085 mob.7208686029</t>
  </si>
  <si>
    <t>final AWB recevied dt. 17-11-2025//custom duty requested dtd.17-11-2025/OOC done dtd.18-11-2025//Shipment dispatched dtd.19-11-2025 vehicle no.MH02ER9085 mob.7208686029</t>
  </si>
  <si>
    <t>final AWB received dtd.18-11-2025//OOC done dtd.19-11-2025//Shipment dispatched dtd.19-11-2025 vehicle no.MH02ER9085 mob.7208686029</t>
  </si>
  <si>
    <t>final AWB recevied dt. 17-11-2025//custom duty requested dtd.17-11-2025/OOC done dtd.19-11-2025//Shipment dispatched dtd.19-11-2025 vehicle no.MH04KF4308   mob.7208266776</t>
  </si>
  <si>
    <t>final AWB received dtd. 17-11-2025///Custom duty requested dtd.17-11-2025//OOC done dtd.19-11-2025//Shipment dispatched dtd.19-11-2025 vehicle no.MH04KF4308   mob.7208266776</t>
  </si>
  <si>
    <t xml:space="preserve">MH04KF4308 </t>
  </si>
  <si>
    <t>7044179
7044180</t>
  </si>
  <si>
    <t>10-Nov-25
10-Nov-25</t>
  </si>
  <si>
    <t xml:space="preserve">41540.00
83080.00
</t>
  </si>
  <si>
    <t xml:space="preserve">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t>
  </si>
  <si>
    <t>20
20
40
40</t>
  </si>
  <si>
    <t>Hexacom MO Rajasthan/PUR/68679
Hexacom MO Rajasthan/PUR/68679</t>
  </si>
  <si>
    <t>8XW9958</t>
  </si>
  <si>
    <t>IB BOE OOC done dtd. 03-11-2025/// WPC Licence not applicalbe//custom duty requested  dtd. 04-11-2025//OOC done dtd. 12-11-2025//Shipment dispatched dtd.20-11-2025 vehicle no.MH04MH7851 mob.63907 65785</t>
  </si>
  <si>
    <t>IB BOE OOC done dtd. 17-11-2025  //WPC licence not applicalbe//Custom duty paid dtd. 18-11-2025//OOC done Dt-19-11-2025//Shipment dispatched dtd.20-11-2025 vehicle no.MH04MH7851 mob.63907 65785</t>
  </si>
  <si>
    <t>MH46CU8120</t>
  </si>
  <si>
    <t>IB BOE OOC done dtd. 17-11-2025 //WPC licence valid upto 05-04-2026//OB confirmation mail send dtd.17-11-2025//custom duty requested dtd. 18-11-2025//OOC done dtd.20-11-2025//shipment dispatched dtd. 21-11-2025 vehicle no. MH46CU8120 mob.9619026903</t>
  </si>
  <si>
    <t>NTK843BA</t>
  </si>
  <si>
    <t>CDWHMD108 CCMD 8X24 C-BAND MODULE (8-DEGREE 24-CHANNEL COLORLESS MUX/DEMUX) NTK843BA</t>
  </si>
  <si>
    <t>AI2025-0070155</t>
  </si>
  <si>
    <t xml:space="preserve">CGHODUPX1 BR-0318-0 MW RADIO:IP-50CX-E-15-420-01W08-H,FREQUENCY BAND:15 GHZ (1W8),TX 
CGHODUPV2 BR-0319-0 MW RADIO:IP-50CX-E-15-420-01W08-L,FREQUENCY BAND:15 GHZ (1W8),TX </t>
  </si>
  <si>
    <t>BAL MO Madhya Pradesh/PUR/54216</t>
  </si>
  <si>
    <t>H775637</t>
  </si>
  <si>
    <t xml:space="preserve">CGHODUPX4 BR-0327-0 MW RADIO IP-50CX-E-15-420-01W08-H,FB 15 GHZ 1W8 TXP:25 DBM HIGH 1+0 
CGHODUPX2 BR-0326-0 MW RADIOIP-50CX-E-15-420-01W08-L,FB 15 GHZ 1W8 TXP 25 DBM LOW 1+0 
</t>
  </si>
  <si>
    <t>36
36</t>
  </si>
  <si>
    <t>H763333</t>
  </si>
  <si>
    <t>BAL MO UPW -UP/PUR/10016737</t>
  </si>
  <si>
    <t>GHAZIABAD  UTTAR PRADESH</t>
  </si>
  <si>
    <t>date</t>
  </si>
  <si>
    <t>IB BOE   OOC  done dtd. 25-11-2025//WPC Licence valid upto dtd.26-03-2026//OB process confirmation mail send dtd. 26-11-2025 &amp; confirm dtd.26-11-2025</t>
  </si>
  <si>
    <t>BAL-ANG-UASL-MUMBAI MAHARASHTRA/
PUR/10005381</t>
  </si>
  <si>
    <t>020-41690224</t>
  </si>
  <si>
    <t>42J0360378</t>
  </si>
  <si>
    <t>IB BOE   OOC  done dtd. 25-11-2025//WPC licence valid upto dtd.05-03-2026 //</t>
  </si>
  <si>
    <t>IB BOE OOC done dtd. 17-11-2025   / //WPC licence valid upto 04-03-2026//</t>
  </si>
  <si>
    <t>IB BOE OOC done dtd. 17-11-2025  // WPC licence valid upto 01-05-2026//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</si>
  <si>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</si>
  <si>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</si>
  <si>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</si>
  <si>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</si>
  <si>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01.04.2026//</t>
  </si>
  <si>
    <t>IB BOE  OOC done dtd.19- 11-2025//WPC licence valid upto dtd. 01.04.2026 //</t>
  </si>
  <si>
    <t>IB BOE  OOC done dtd.19- 11-2025// WPC licence valid upto dtd.11-03-2026//</t>
  </si>
  <si>
    <t>IB BOE   OOC  done dtd. 25-11-2025//final AWB receving dtd. 21-11-2025//WPC Licence valid upto dtd.11.05.2026//</t>
  </si>
  <si>
    <t>BAL-MO-UPW-UP/PUR/10016725</t>
  </si>
  <si>
    <t>H795534</t>
  </si>
  <si>
    <t>H795467</t>
  </si>
  <si>
    <t>H806401</t>
  </si>
  <si>
    <t xml:space="preserve">CGHODUQY4 BR-0328-0 MW RADIOIP-50CX-E-15-420-08W15-H FB 15 GHZ (8W15)TXP 25 DBM HIGH1+0 
CGHODUQI4 BR-0329-0 MW RADIO:IP-50CX-E-15-420-08W15-L,FB1 5 GHZ (8W15)TXP:25 DBM LOW 1+0 </t>
  </si>
  <si>
    <t>H795386</t>
  </si>
  <si>
    <t xml:space="preserve">BAL MO U.P.East/PUR/72987
</t>
  </si>
  <si>
    <t>7044883
7048194
7048201</t>
  </si>
  <si>
    <t>21-Nov-25
21-Nov-25
21-Nov-25</t>
  </si>
  <si>
    <t>34905.00
69810.00
69810.00</t>
  </si>
  <si>
    <t xml:space="preserve">CGHODUPF1 
CGHODUPE9 
CGHODUPF1 
CGHODUPE9 
CGHODUPF1 
CGHODUPE9 </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</si>
  <si>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</si>
  <si>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15
15
30
30
30
30</t>
  </si>
  <si>
    <t>H806451</t>
  </si>
  <si>
    <t>BAL MO U.P. East/PUR/72984
BAL MO U.P. East/PUR/72984
BAL MO U.P. East/PUR/72984</t>
  </si>
  <si>
    <t>H795509</t>
  </si>
  <si>
    <t>3417769TSTH862
3417794TSTH863</t>
  </si>
  <si>
    <t>27-Nov-2025
27-Nov-2025</t>
  </si>
  <si>
    <t>20638.00
54630.00</t>
  </si>
  <si>
    <t>BAL-MO-AP-Telangana/PUR/10019877
BAL-MO-AP-Telangana/PUR/10019899</t>
  </si>
  <si>
    <t>217-07323444</t>
  </si>
  <si>
    <t>176-21172782</t>
  </si>
  <si>
    <t>176-21172771</t>
  </si>
  <si>
    <t>AI2025-0070962</t>
  </si>
  <si>
    <t>607-51570466</t>
  </si>
  <si>
    <t>QUERY :PLEASE EXPLAIN APPLICABILITY OF MTCTE ON IMPORTED GOODS.</t>
  </si>
  <si>
    <t>BAL MO Punjab/PUR/63478</t>
  </si>
  <si>
    <t>H795470</t>
  </si>
  <si>
    <t>UP 14HT 1281</t>
  </si>
  <si>
    <t>OB confirmation mail send dtd. 20-11-2025//Custom duty requested dtd.24-11-2025//OOC  done dtd. 25-11-2025//Shipment dispatched dtd.01-12-2025 vehicle no.UP 14HT 1281 mob.7668915154</t>
  </si>
  <si>
    <t>OB process confirmation mail send dtd. 26-11-2025 &amp; confirm dtd.26-11-2025//OB BOE under assessment //Custom duty requested dtd.27-11-2025//OOC done dtd. 29-11-2025//Shipment dispatched dtd.01-12-2025 vehicle no.UP 14HT 1281 mob.7668915154</t>
  </si>
  <si>
    <t>176-21172760</t>
  </si>
  <si>
    <t>custom duty requested dtd. 27-11-2025//Duty paid dtd. 28-11-2025//OOC done dtd. 02-12-2025</t>
  </si>
  <si>
    <t>7044884
7044885
7048196</t>
  </si>
  <si>
    <t>21-Nov-2025
21-Nov-2025
21-Nov-2025</t>
  </si>
  <si>
    <t>51925.00
1038.50
62310.00</t>
  </si>
  <si>
    <t>CGHODUPX5
CGHODUPV9
CGHODUPX5
CGHODUPA3
CGHODUPI7</t>
  </si>
  <si>
    <t>CGHODUPX5 BR-0323-0 MW RADIO:IP-50CX-E-18-H-H,FREQ BAND:18 GHZ,TX POWER OUTPUT:24
CGHODUPV9 BR-0324-0 MW RADIO:IP-50CX-E-18-H-L,FREQ BAND:18 GHZ,TX POWER OUTPUT:24
CGHODUPV9 BR-0324-0 MW RADIO:IP-50CX-E-18-H-L,FREQ BAND:18 GHZ,TX POWER OUTPUT:24
CGHODUPA3 BR-0303-0 MW RADIO:IP-50CX-E-13-266-05W08-H,FREQUENCY BAND:13GHZ,TX POWER
CGHODUPI7 BR-0315-0 MW RADIO:IP-50CX-E-13-266-05W08-L,FREQ BAND:13GHZ,TX POWER</t>
  </si>
  <si>
    <t>25
25
1
30
30</t>
  </si>
  <si>
    <t xml:space="preserve">BAL MO U.P.East/PUR/72987
BAL MO U.P.East/PUR/72987
BAL MO U.P.East/PUR/72987
</t>
  </si>
  <si>
    <t>H806292</t>
  </si>
  <si>
    <t xml:space="preserve">MH03CP8728 </t>
  </si>
  <si>
    <t>KA38A2562</t>
  </si>
  <si>
    <t>Flight arrive dt-02/12/2025  /IGM CONSOL error solve  //Final AWB received dtd.01-12-2025//</t>
  </si>
  <si>
    <t>Flight arrive dt-02/12/2025  /IGM CONSOL error solve// /Final AWB received dtd.01-12-2025//</t>
  </si>
  <si>
    <t>RJ14GR1735</t>
  </si>
  <si>
    <t>OB confirmation mail send dtd.17-11-2025 //OB confirmation mail recived dtd.03-12-2025//OB BOE file and custom duty call dt-04/12/2025. //OOC done dtd. 05-12-2025//Shipment dispatched dtd.05-12-2025 vehicle no.RJ14GR1735 mob.7014561835</t>
  </si>
  <si>
    <t>42J0360434</t>
  </si>
  <si>
    <t>160-03283711</t>
  </si>
  <si>
    <t xml:space="preserve">Final AWB recevied  dtd. 01-12-2025 //Custom duty requested dtd.01-12-2025//OOC done dtd 02-12-2025//shipment dispatched dtd. 03-12-2025 vehicleno.KA38A2562 mob.9343183141 </t>
  </si>
  <si>
    <t>OB confirmation mail send dtd.17-11-2025 //OB confirmation mail recived dtd.03-12-2025//OB BOE file and custom duty call dt-04/12/2025.  //</t>
  </si>
  <si>
    <t>IB BOE OOC done DTD. 06-12-2025   .//Final AWB received dtd.01-12-2025//wpc licence valid upto dtd. 28-02-2026 /</t>
  </si>
  <si>
    <t>HR84 4537</t>
  </si>
  <si>
    <t>OOC done dtd. 05-12-2025// E WAYBILL  PART A  received dtd. 08-12-2025// Shipment dispatched dtd.08-12-2025 vehicle no. HR84 4537 mob. No. 8307205335</t>
  </si>
  <si>
    <t>OOC done dtd. 05-12-2025//E WAYBILL  PART A  received dtd. 08-12-2025// Shipment dispatched dtd.08-12-2025 vehicle no. HR84 4537 mob. No. 8307205335</t>
  </si>
  <si>
    <t>IB BOE OOC done DTD. 06-12-2025  //Final AWB received dtd.01-12-2025//wpc licence valid upto dtd.11-05-2026 /</t>
  </si>
  <si>
    <t>IB BOE OOC done DTD. 06-12-2025  //Final AWB received dtd. 02-112-2025//WPC licence valid upto dtd.11-05-2026 /</t>
  </si>
  <si>
    <t>BAL-ANG-UASL-MUMBAI-MAHARASHTRA/
PUR/10005469</t>
  </si>
  <si>
    <t>020-20898592</t>
  </si>
  <si>
    <t>42J0360449</t>
  </si>
  <si>
    <t>42J0360444</t>
  </si>
  <si>
    <t>IB BOE OOC done DTD. 06-12-2025 //WPC licence valid upto 11-05-2025  //</t>
  </si>
  <si>
    <t>AAI0035504</t>
  </si>
  <si>
    <t>AAI0035502</t>
  </si>
  <si>
    <t>BAL-MO-HARYANA-HARYANA/PUR/10009345</t>
  </si>
  <si>
    <t xml:space="preserve">MH04MH7851 </t>
  </si>
  <si>
    <t>IB BOE OOC done dtd. 28-11-2025   //WPC licence not applicable //Custom duty requested dtd.01-12-2025//OB OOC  done dtd. 02-12-2025//dispatch will  be club //Shipment dispatched dtd.10-12-2025 vehilce no.MH04MH7851  mob.63907 65785</t>
  </si>
  <si>
    <t>IB BOE OOC done DTD. 06-12-2025   //WPC licence not applicable //OOC done dtd. 09-12-2025//Shipment dispatched dtd.10-12-2025 vehilce no.MH04MH7851  mob.63907 65785</t>
  </si>
  <si>
    <t>IB BOE OOC done dtd. 28-11-2025 // WPC licence valid upto dtd. 07-05-2026//</t>
  </si>
  <si>
    <t>IB BOE OOC done DTD. 06-12-2025  //Final AWB received dtd. 02-112-2025/ //WPC licence valid upto dtd.11-05-2026//</t>
  </si>
  <si>
    <t xml:space="preserve">IB BOE OOC done DTD. 06-12-2025   //WPC licence valid upto dtd.13.04.2026 AIFTA RECIVED DTD.04/12/2025 ///  </t>
  </si>
  <si>
    <t>QUERY : PL GET COO DEFACED Query Raised</t>
  </si>
  <si>
    <t>IB BOE OOC done dtd. 28-11-2025  /  /// WPC licence valid upto dtd. 11-05-2026//OB confirmation mail send dtd.01-12-2025 &amp; confirm confirmation  dtd. 08-12-2025  /// query :PL GET COO DEFACED</t>
  </si>
  <si>
    <t>WPC licence valid upto dtd. 11-05-2026///IB BOE OOC done DTD. 06-12-2025  /OB confirmation mail send dtd. 08-12-2025 &amp; confirm confirmation  dtd. 08-12-2025 /// query :PL GET COO DEFACED</t>
  </si>
  <si>
    <t>WPC licence valid upto dtd. 11-05-2026/// IB BOE OOC done DTD. 06-12-2025  /OB confirmation mail send dtd. 08-12-2025  &amp; confirm confirmation  dtd. 08-12-2025 /// query :PL GET COO DEFACED</t>
  </si>
  <si>
    <t>3417798MHTH861</t>
  </si>
  <si>
    <t>BAL-MO-ROM-Maharashtra/PUR/10026114</t>
  </si>
  <si>
    <t>217-07323761</t>
  </si>
  <si>
    <t>3418063TSTH945</t>
  </si>
  <si>
    <t>BAL-MO-AP-Telangana/PUR/10020183</t>
  </si>
  <si>
    <t>217-07324096</t>
  </si>
  <si>
    <t>3417929TSTH866</t>
  </si>
  <si>
    <t>BAL-MO-AP-Telangana/PUR/10020068</t>
  </si>
  <si>
    <t>the Ceragon shipments for other Circles are currently held up at Customs due to an objection raised regarding the FOB value declared in the FTA. The issue is still unresolved.</t>
  </si>
  <si>
    <t>BAL-ANG-UASL-ROM-MAHARASHTRA/
PUR/10002609</t>
  </si>
  <si>
    <t>020-20898743</t>
  </si>
  <si>
    <t>42J0360456</t>
  </si>
  <si>
    <t>42J0360457</t>
  </si>
  <si>
    <t>217-07323665</t>
  </si>
  <si>
    <t>BAL MO Madhya Pradesh/PUR/52416</t>
  </si>
  <si>
    <t>awaiting</t>
  </si>
  <si>
    <t>SINCB25036834</t>
  </si>
  <si>
    <t>SINC38385</t>
  </si>
  <si>
    <t>7051064
7051065</t>
  </si>
  <si>
    <t>01-12-2025
01-12-2025</t>
  </si>
  <si>
    <t>162890.00
37232.00</t>
  </si>
  <si>
    <t>70
70
16
16</t>
  </si>
  <si>
    <t>BAL-MO-HARYANA-HARYANA/PUR/10010205
BAL-MO-HARYANA-HARYANA/PUR/10010205</t>
  </si>
  <si>
    <t>SINC38360</t>
  </si>
  <si>
    <t>CGHODUPA5</t>
  </si>
  <si>
    <t>CGHODUPA5 BR-0304-0 MW RADIO:IP-50CX-E-18-L-H,FREQUENCY BAND:18 GHZ,TX POWER OUTPUT:24</t>
  </si>
  <si>
    <t>BAL-MO-HARYANA-HARYANA/PUR/10009459</t>
  </si>
  <si>
    <t>SINC38359</t>
  </si>
  <si>
    <t>SINC38365</t>
  </si>
  <si>
    <t>7046454
7044333
7044332</t>
  </si>
  <si>
    <t>17-Nov-2025
10-Nov-2025
10-Nov-2025</t>
  </si>
  <si>
    <t>174525.00
93080.00
93080.00</t>
  </si>
  <si>
    <t xml:space="preserve">CGHODUPV3
CGHODUPX3
CGHODUPX1
CGHODUPV2
CGHODUPX1
CGHODUPV2
</t>
  </si>
  <si>
    <t xml:space="preserve">CGHODUPV3 BR-0320-0 MW RADIO:IP-50CX-E-15-420-08W15-H,FREQUENCY BAND:15 GHZ (8W15),TX 
CGHODUPX3 BR-0325-0 MW RADIO:IP-50CX-E-15-420-08W15-L,FREQUENCY BAND:15 GHZ (8W15),TX 
CGHODUPX1 BR-0318-0 MW RADIO:IP-50CX-E-15-420-01W08-H,FREQUENCY BAND:15 GHZ (1W8),TX 
CGHODUPV2 BR-0319-0 MW RADIO:IP-50CX-E-15-420-01W08-L,FREQUENCY BAND:15 GHZ (1W8),TX 
CGHODUPV2 BR-0319-0 MW RADIO:IP-50CX-E-15-420-01W08-L,FREQUENCY BAND:15 GHZ (1W8),TX </t>
  </si>
  <si>
    <t>75
75
40
40
40
40</t>
  </si>
  <si>
    <t>Hexacom MO Rajasthan/PUR/68924
Hexacom MO Rajasthan/PUR/68924
Hexacom MO Rajasthan/PUR/68924</t>
  </si>
  <si>
    <t>SINC38364</t>
  </si>
  <si>
    <t>SINC38297</t>
  </si>
  <si>
    <t xml:space="preserve">CGHODUPI4 BR-0311-0 IP-50CX-F-23-L-H,23 GHZ (SUB 01),TYPE:HIGH,(1+0 UPGRADABLE TO XPIC WITH 
CGHODUPY3 BR-0310-0 IP-50CX-F-23-L-L,23 GHZ (SUB 01),TYPE:LOW, (1+0 UPGRADABLE TO XPIC WITH </t>
  </si>
  <si>
    <t>SINC38366</t>
  </si>
  <si>
    <t>6941720
6942276</t>
  </si>
  <si>
    <t>25-Nov-2025
25-Nov-2025</t>
  </si>
  <si>
    <t>10385
1038.50</t>
  </si>
  <si>
    <t>CGHODUPI4
CGHODUPY3
CGHODUPI4</t>
  </si>
  <si>
    <t xml:space="preserve">CGHODUPI4 BR-0311-0 IP-50CX-F-23-L-H,23 GHZ (SUB 01),TYPE:HIGH,(1+0 UPGRADABLE TO XPIC WITH 
CGHODUPY3 BR-0310-0 IP-50CX-F-23-L-L,23 GHZ (SUB 01),TYPE:LOW, (1+0 UPGRADABLE TO XPIC WITH 
CGHODUPI4 BR-0311-0 IP-50CX-F-23-L-H,23 GHZ (SUB 01),TYPE:HIGH,(1+0 UPGRADABLE TO XPIC WITH 
</t>
  </si>
  <si>
    <t>5
5
1</t>
  </si>
  <si>
    <t xml:space="preserve">BAL MO Mumbai/PUR/93953
BAL MO Mumbai/PUR/93953
</t>
  </si>
  <si>
    <t>SINC38367</t>
  </si>
  <si>
    <t>MH14HU3795</t>
  </si>
  <si>
    <t>Custom duty requested dtd.27-11-2025//OB OOC done dtd. 29-11-2025//as per discussed with circle shipment wiil be dispatch with club //Shipment dispatched dtd. 13-12-2025 vehicle no. MH14HU3795  mob.9559141479</t>
  </si>
  <si>
    <t>OB confirmation mail send dtd. 08-12-2025//Custom duty requested dtd. 08-12-2025// OOC done dtd. 12-12-2025 //Shipment dispatched dtd. 13-12-2025 vehicle no. MH14HU3795  mob.9559141479</t>
  </si>
  <si>
    <t>HR57A9267</t>
  </si>
  <si>
    <t>custom duty requested  dtd. 09-12-2025/ OOC done dtd. 12-12-2025//Shipment dispatched dtd. 13-12-2025 vehicle no.HR57A9267 mob.9460760413</t>
  </si>
  <si>
    <t>custom duty requested dtd.09-12-2025// OOC done dtd. 12-12-2025//Shipment dispatched dtd. 13-12-2025 vehicle no.HR57A9267 mob.9460760413</t>
  </si>
  <si>
    <t>custom duty requested dtd. 09-12-2025// OOC done dtd. 12-12-2025//Shipment dispatched dtd. 13-12-2025 vehicle no.HR57A9267 mob.9460760413</t>
  </si>
  <si>
    <t>RJ14GN7297</t>
  </si>
  <si>
    <t>OB confirmation mail send dtd. 08-12-2025 &amp; confirmation received dtd.9-12-2025//custom duty requested dtd.10-12-2025//  OOC done dtd. 12-12-2025  //Shipment dispatched dtd. 13-12-2025 vehicle no.RJ14GN7297  mob.9351319807</t>
  </si>
  <si>
    <t>OB confirmation mail send dtd. 08-12-2025 &amp; confirmation received dtd.9-12-2025// custom duty requested dtd.10-12-2025//   OOC done dtd. 12-12-2025//Shipment dispatched dtd. 13-12-2025 vehicle no.MH03DV8647   mob.9892251978</t>
  </si>
  <si>
    <t>OB confirmation mail send dtd. 08-12-2025 &amp; confirmation received dtd.10-12-2025//Custom duty requested dtd.10-12-2025//   OOC done dtd. 12-12-2025 //Shipment dispatched dtd. 13-12-2025 vehicle no.MH03DV8647   mob.9892251978</t>
  </si>
  <si>
    <t>CFTAHWS01 WAVESERVER WL5E 2X800G C-BAND PREMIUM 16XQSFP28/QSFP-DD MODULE</t>
  </si>
  <si>
    <t xml:space="preserve">3417513MHTH935 </t>
  </si>
  <si>
    <t>BAL-MO-ROM-Maharashtra/PUR/10025652</t>
  </si>
  <si>
    <t>6941697
6942849</t>
  </si>
  <si>
    <t>25-Nov-2025
24-Nov-2025</t>
  </si>
  <si>
    <t>56079.00
1038.50</t>
  </si>
  <si>
    <t>CGHODUPI4
CGHODUPY3
CGHODUPY3</t>
  </si>
  <si>
    <t>CGHODUPI4 BR-0311-0 IP-50CX-F-23-L-H,23 GHZ (SUB 01),TYPE:HIGH,(1+0 UPGRADABLE TO XPIC WITH 
CGHODUPY3 BR-0310-0 IP-50CX-F-23-L-L,23 GHZ (SUB 01),TYPE:LOW, (1+0 UPGRADABLE TO XPIC WITH 
CGHODUPY3 BR-0310-0 IP-50CX-F-23-L-L,23 GHZ (SUB 01),TYPE:LOW, (1+0 UPGRADABLE TO XPIC WITH</t>
  </si>
  <si>
    <t>27
27
1</t>
  </si>
  <si>
    <t xml:space="preserve">BAL MO Mumbai/PUR/94622
BAL MO Mumbai/PUR/94622
</t>
  </si>
  <si>
    <t>SINC38362</t>
  </si>
  <si>
    <t>custom duty requested dtd.09-12-2025//OOC done dtd.15.12.2025//Shipment dispatched dtd.15-12-2025 vehicle no. MH03CP8728 mob.7021883595</t>
  </si>
  <si>
    <t>MTT-162225</t>
  </si>
  <si>
    <t>BAL-ANG-UASL-Mumbai-Maharashtra/PUR/10005469</t>
  </si>
  <si>
    <t>AI2025-0074747</t>
  </si>
  <si>
    <t>3417929TSTH874
3418008TSTH875</t>
  </si>
  <si>
    <t>01-Dec-2025
01-Dec-2025</t>
  </si>
  <si>
    <t>89836.00
2428.00</t>
  </si>
  <si>
    <t>BAL-MO-AP-Telangana/PUR/10020068
BAL-MO-AP-Telangana/PUR/10020093</t>
  </si>
  <si>
    <t>160-99875274</t>
  </si>
  <si>
    <t>CATHAY</t>
  </si>
  <si>
    <t>MH046BF8688</t>
  </si>
  <si>
    <t>MH04MR6713 &amp; MH046BF8688</t>
  </si>
  <si>
    <t>Final AWB received dtd. 15-12-2025//custom duty requested dtd.15-12-2025 //paid dtd.16-12-2025//OOC done dtd.16-12-2025//Shipment dispatched dtd.17-12-2025 vehiilce no. MH04MR6713  mob. 9004307795 &amp; vehicle no.MH046BF8688  mob.8296639582</t>
  </si>
  <si>
    <t>Final AWB received dtd. 15-12-2025//custom duty requested dtd.15-12-2025//paid dtd.16-12-2025//OOC done dtd.16-12-2025//shipment dispatched dtd. 17-12-2025 vehicle no.MH046BF8688  mob.8296639582</t>
  </si>
  <si>
    <t>Final AWB received dtd. 16-12-2025//Custom duty requested dtd.16-12-2025//OOC done dtd.17-12-2025 //shipment dispatched dtd.18-12-2025 vehicle no. MH14MH2328 mob..9082301393</t>
  </si>
  <si>
    <t>MH14MH2328</t>
  </si>
  <si>
    <t>3417929TSTH938
3418008TSTH939
3418063TSTH940</t>
  </si>
  <si>
    <t>08-Dec-2025
08-Dec-2025
08-Dec-2025</t>
  </si>
  <si>
    <t>201524.00
15782.00
77696.00</t>
  </si>
  <si>
    <t>BAL-MO-AP-Telangana/PUR/10020068
BAL-MO-AP-Telangana/PUR/10020093
BAL-MO-AP-Telangana/PUR/10020183</t>
  </si>
  <si>
    <t>229-17791712</t>
  </si>
  <si>
    <t>KUWAIT</t>
  </si>
  <si>
    <t>3418063TSTH937</t>
  </si>
  <si>
    <t>176-23941842</t>
  </si>
  <si>
    <t>EMIRATES</t>
  </si>
  <si>
    <t>3418143MHTH943
3417798MHTH944</t>
  </si>
  <si>
    <t>08-Dec-2025
08-Dec-2025</t>
  </si>
  <si>
    <t>60700.00
3642.00</t>
  </si>
  <si>
    <t>BAL-MO-ROM-Maharashtra/PUR/10026430</t>
  </si>
  <si>
    <t>229-17791723</t>
  </si>
  <si>
    <t>custom duty requested dtd.13-12-2025//OOC done dtd.18-12-2025//Shipment dispatched dtd.19-12-2025 vehicle no. MH03CP8728  mob.7021883595</t>
  </si>
  <si>
    <t>MH01CR6117</t>
  </si>
  <si>
    <t>custom duty requested dtd.13-12-2025//OOC done dtd.18-12-2025/Shipment dispatched dtd.19-12-2025 vehicle no. MH01CR6117   mob.9167662447</t>
  </si>
  <si>
    <t>Final AWB  received dtd.17-12-2025//Custom duty requested dtd.17-12-2025//OOC done dtd.18-12-2025 /Shipment dispatched dtd.19-12-2025 vehicle no. MH01CR6117   mob.9167662447</t>
  </si>
  <si>
    <t xml:space="preserve">MH02FX9073 </t>
  </si>
  <si>
    <t>custom duty requested dtd.12-12-2025 &amp; paid dtd. 15-12-2025// OOC done dtd. 20-12-2025//Shipment dispatched dtd.22-12-2025 vehicle no.MH02FX9073  mob.7304286007</t>
  </si>
  <si>
    <t>custom duty requested dtd.12-12-2025&amp; paid dtd. 15-12-2025 // OOC done dtd. 20-12-2025//Shipment dispatched dtd.22-12-2025 vehicle no.MH02FX9073  mob.7304286007</t>
  </si>
  <si>
    <t>JB-225-AI-21-004892</t>
  </si>
  <si>
    <t>7060232
7060233</t>
  </si>
  <si>
    <t>93080.00
127985.00</t>
  </si>
  <si>
    <t>40
40
55
55</t>
  </si>
  <si>
    <t xml:space="preserve">Hexacom MO Rajasthan/PUR/68924
Hexacom MO Rajasthan/PUR/68924
</t>
  </si>
  <si>
    <t>SINCB25037611</t>
  </si>
  <si>
    <t>SINC39041</t>
  </si>
  <si>
    <t>SINC39040</t>
  </si>
  <si>
    <t>CGHODUPV3 BR-0320-0 MW RADIO:IP-50CX-E-15-420-08W15-H,FREQUENCY BAND:15 GHZ (8W15),TX
CGHODUPX3 BR-0325-0 MW RADIO:IP-50CX-E-15-420-08W15-L,FREQUENCY BAND:15 GHZ (8W15),TX</t>
  </si>
  <si>
    <t>BAL MO Orissa/PUR/38408</t>
  </si>
  <si>
    <t>ORISSA</t>
  </si>
  <si>
    <t>Biswajit Sahoo</t>
  </si>
  <si>
    <t>SINC39042</t>
  </si>
  <si>
    <t>CGHODUQY4 BR-0328-0 MW RADIOIP-50CX-E-15-420-08W15-H FB 15 GHZ
CGHODUQI4 BR-0329-0 MW RADIO:IP-50CX-E-15-420-08W15-L,FB15 GHZ (</t>
  </si>
  <si>
    <t>BAL MO Bihar/PUR/38408</t>
  </si>
  <si>
    <t>BIHAR</t>
  </si>
  <si>
    <t>Shimant Bhushan</t>
  </si>
  <si>
    <t>SINC39043</t>
  </si>
  <si>
    <t>BAL MO Orissa/PUR/38501</t>
  </si>
  <si>
    <t>SINCB25037309</t>
  </si>
  <si>
    <t>SINC38748</t>
  </si>
  <si>
    <t>7055285
7055286
7055287
7055292</t>
  </si>
  <si>
    <t>03-12-2025
03-12-2025
03-12-2025
03-12-2025</t>
  </si>
  <si>
    <t>162890
34905.00
2327.00
46540.00</t>
  </si>
  <si>
    <t>70
70
15
15
2
20
20</t>
  </si>
  <si>
    <t>CGHODUPX1
CGHODUPV2
CGHODUPX1
CGHODUPV2
CGHODUPV2
CGHODUPX1
CGHODUPV2</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</si>
  <si>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CGHODUPV2 BR-0319-0 MW RADIO:IP-50CX-E-15-420-01W08-L,FREQUENCY BAND:15 GHZ (1W8),TX
CGHODUPX1 BR-0318-0 MW RADIO:IP-50CX-E-15-420-01W08-H,FREQUENCY BAND:15 GHZ (1W8),TX
CGHODUPV2 BR-0319-0 MW RADIO:IP-50CX-E-15-420-01W08-L,FREQUENCY BAND:15 GHZ (1W8),TX</t>
  </si>
  <si>
    <t xml:space="preserve">BAL MO Punjab/PUR/63622
BAL MO Punjab/PUR/63622
BAL MO Punjab/PUR/63622
BAL MO Punjab/PUR/63712
</t>
  </si>
  <si>
    <t>SINC38747</t>
  </si>
  <si>
    <t xml:space="preserve">BAL MO Punjab/PUR/63622
</t>
  </si>
  <si>
    <t>SINC38745</t>
  </si>
  <si>
    <t>8
8</t>
  </si>
  <si>
    <t>SINC38746</t>
  </si>
  <si>
    <t>7055289
7055293
7055294</t>
  </si>
  <si>
    <t>03-Dec-2025
03-Dec-2025
03-Dec-2025</t>
  </si>
  <si>
    <t>31155.00
3115.50
46540.00</t>
  </si>
  <si>
    <t>CGHODUPX4
CGHODUPX2
CGHODUPZ9
CGHODUPX1
CGHODUPV2</t>
  </si>
  <si>
    <t>CGHODUPX4 BR-0327-0 MW RADIO IP-50CX-E-15-420-01W08-H,FB 15 GHZ 1W8 TXP:25 DBM HIGH 1+0 UPGRD
CGHODUPX2 BR-0326-0 MW RADIOIP-50CX-E-15-420-01W08-L,FB 15 GHZ 1W8 TXP 25 DBM LOW 1+0 UPGRD TO
CGHODUPZ9 BR-0321-0 MW RADIO:IP-50CX-E-18-L-H,FREQ BAND:18 GHZ,TX POWER OUTPUT:24
CGHODUPX1 BR-0318-0 MW RADIO:IP-50CX-E-15-420-01W08-H,FREQUENCY BAND:15 GHZ (1W8),TX POWER
CGHODUPV2 BR-0319-0 MW RADIO:IP-50CX-E-15-420-01W08-L,FREQUENCY BAND:15 GHZ (1W8),TX POWER</t>
  </si>
  <si>
    <t>15
15
3
20
20</t>
  </si>
  <si>
    <t>SINC38744</t>
  </si>
  <si>
    <t>BAL-MO-HARYANA-HARYANA/PUR/10010241
BAL-MO-HARYANA-HARYANA/PUR/10010252
BAL-MO-HARYANA-HARYANA/PUR/10010250</t>
  </si>
  <si>
    <t xml:space="preserve">BAL-MO-HARYANA-HARYANA/PUR/10010205
</t>
  </si>
  <si>
    <t>SINC38741</t>
  </si>
  <si>
    <t>7055283
7055290
7055291</t>
  </si>
  <si>
    <t>05-Dec-2025
05-Dec-2025
05-Dec-2025</t>
  </si>
  <si>
    <t>116350.00
8308.00
1038.50</t>
  </si>
  <si>
    <t>CGHODUPV3
CGHODUPX3
CGHODUQY4
CGHODUQI4
CGHODUQI4</t>
  </si>
  <si>
    <t>CGHODUPV3 BR-0320-0 MW RADIO:IP-50CX-E-15-420-08W15-H,FREQUENCY BAND:15 GHZ (8W15),TX
CGHODUPX3 BR-0325-0 MW RADIO:IP-50CX-E-15-420-08W15-L,FREQUENCY BAND:15 GHZ (8W15),TX
CGHODUQY4 BR-0328-0 MW RADIOIP-50CX-E-15-420-08W15-H FB 15 GHZ (8W15)TXP 25 DBM HIGH1+0 UPGRD
CGHODUQI4 BR-0329-0 MW RADIO:IP-50CX-E-15-420-08W15-L,FB15 GHZ (8W15)TXP:25 DBM LOW 1+0 UPGRD
CGHODUQI4 BR-0329-0 MW RADIO:IP-50CX-E-15-420-08W15-L,FB15 GHZ (8W15)TXP:25 DBM LOW 1+0 UPGRD</t>
  </si>
  <si>
    <t>50
50
4
4
1</t>
  </si>
  <si>
    <t xml:space="preserve">BAL-MO-HARYANA-HARYANA/PUR/10010205
BAL-MO-HARYANA-HARYANA/PUR/10010241
BAL-MO-HARYANA-HARYANA/PUR/10010241
</t>
  </si>
  <si>
    <t>SINC38742</t>
  </si>
  <si>
    <t>BAL LDS NLD/PUR/2055958</t>
  </si>
  <si>
    <t>AI2025-0075957</t>
  </si>
  <si>
    <t>H595443</t>
  </si>
  <si>
    <t>X44994H</t>
  </si>
  <si>
    <t>B0HSTHXP2 - NPT-1100H DC SHELF ASSEMBLED OR FIBER OPTIC PRODUCT TEM CODE - X44994H
1</t>
  </si>
  <si>
    <t>H618481</t>
  </si>
  <si>
    <t>H595525</t>
  </si>
  <si>
    <t>H621006</t>
  </si>
  <si>
    <t>1024038
1024039</t>
  </si>
  <si>
    <t>15-Dec-2025
15-Dec-2025</t>
  </si>
  <si>
    <t>82858.40
97358.62</t>
  </si>
  <si>
    <t>X44994H
X44994H</t>
  </si>
  <si>
    <t>B0HSTHXP2 -NPT-1100H DC SHELF ASSEMBLED OR FIBER OPTIC PRODUCT TEM CODE - X44994H
1
B0HSTHXP2 - NPT-1100H DC SHELF ASSEMBLED OR FIBER OPTIC PRODUCT TEM CODE - X44994H
1</t>
  </si>
  <si>
    <t>40
47</t>
  </si>
  <si>
    <t>BAL LDS NLD/PUR/2055319
BAL LDS NLD/PUR/2056231</t>
  </si>
  <si>
    <t>H669255</t>
  </si>
  <si>
    <t>MH04KF4308</t>
  </si>
  <si>
    <t>Final AWB copy received dtd. 22-12-2025 //Custom duty requested  dtd. 22-12-2025 &amp;duty paid dtd.22-12-2025   //OOC  done dtd. 22-12-2025   /Shipment dispatched dtd.23-12-2025 vehicle no. MH04KF4308 mob.8828462919</t>
  </si>
  <si>
    <t>MH04KF4308 &amp;MH46BF8688</t>
  </si>
  <si>
    <t>custom duty requested dtd. 20-12-2025 &amp;duty paid dtd.22-12-2025  //OOC done dtd.22-12-2025//Shipment dispatched dtd.23-12-2025 vehicle no. MH04KF4308 mob.8828462919  &amp;  vehicle no. MH46BF8688  mob.8296639582</t>
  </si>
  <si>
    <t>BAL MO Gujarat/PUR/52129</t>
  </si>
  <si>
    <t>8XP5839</t>
  </si>
  <si>
    <t>8XP5841</t>
  </si>
  <si>
    <t>BAL MO Orissa/PUR/38511</t>
  </si>
  <si>
    <t>8XP5842</t>
  </si>
  <si>
    <t>BAL MO WEST BENGAL/PUR/38511</t>
  </si>
  <si>
    <t xml:space="preserve"> WEST BENGAL</t>
  </si>
  <si>
    <t>SARAT PANI</t>
  </si>
  <si>
    <t>8XP5840</t>
  </si>
  <si>
    <t>AI2025-0075986</t>
  </si>
  <si>
    <t>CFTAHWS02 WAVESERVER WL5E 2X800G C-BAND PREMIUM 16XQSFP28/QSFP-DD MODULE</t>
  </si>
  <si>
    <t>AI2025-0075985</t>
  </si>
  <si>
    <t>BAL-MO-ROM-Maharashtra/PUR/10002591</t>
  </si>
  <si>
    <t>AI2025-0075987</t>
  </si>
  <si>
    <t>BAL LDS NLD/PUR/2055877</t>
  </si>
  <si>
    <t>AI2025-0075989</t>
  </si>
  <si>
    <t>AI2025-0075988</t>
  </si>
  <si>
    <t>7069172
7069171</t>
  </si>
  <si>
    <t>18-Dec-2025
18-Dec-2025</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</si>
  <si>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</si>
  <si>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BAL MO Gujarat/PUR/51890
BAL MO Gujarat/PUR/51890</t>
  </si>
  <si>
    <t>8XP5846</t>
  </si>
  <si>
    <t>7069169
7069170</t>
  </si>
  <si>
    <t>8XP5847</t>
  </si>
  <si>
    <t xml:space="preserve">BAL MO Gujarat/PUR/51630
</t>
  </si>
  <si>
    <t>8XP5850</t>
  </si>
  <si>
    <t>7067087
7067088</t>
  </si>
  <si>
    <t>16-Dec-2025
16-Dec-2025</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</si>
  <si>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</si>
  <si>
    <t>BAL MO Madhya Pradesh/PUR/52416
BAL MO Madhya Pradesh/PUR/52416</t>
  </si>
  <si>
    <t>8XP5854</t>
  </si>
  <si>
    <t>7067092
7067093</t>
  </si>
  <si>
    <t>17-Dec-2025
17-Dec-2025</t>
  </si>
  <si>
    <t>51925.00
60233</t>
  </si>
  <si>
    <t>25
25
29
29</t>
  </si>
  <si>
    <t>BAL MO Madhya Pradesh/PUR/52422
BAL MO Madhya Pradesh/PUR/52422</t>
  </si>
  <si>
    <t>8XP5853</t>
  </si>
  <si>
    <t>AI2025-0077326</t>
  </si>
  <si>
    <t>AI2025-0077157</t>
  </si>
  <si>
    <t>AI2025-0077158</t>
  </si>
  <si>
    <t>AI2025-0077156</t>
  </si>
  <si>
    <t>8XP5838</t>
  </si>
  <si>
    <t xml:space="preserve">Custom duty requested dtd.16-12-2025&amp; paid dtd. 17-12-2025//OOC done dtd. 23-12-2025//Shipment dispatched dtd. 24-12-2025 vehicle no.MH43BX2919 mob.8454062401. </t>
  </si>
  <si>
    <t>MH43BX2919</t>
  </si>
  <si>
    <t xml:space="preserve">BOE under assessment //custom duty requested dtd. 22-12-2025&amp;duty paid dtd.22-12-2025    //OOC under queue //Shipment dispatched dtd. 24-12-2025 vehicle no.MH02ER9085  mob.7208686029. </t>
  </si>
  <si>
    <t>MH02ER9085</t>
  </si>
  <si>
    <t xml:space="preserve">BAL MO Gujarat/PUR/51465
</t>
  </si>
  <si>
    <t>8XP5851</t>
  </si>
  <si>
    <t>CGHODUPX1 BR-0318-0 MW RADIO:IP-50CX-E-15-420-01W08-H,FREQUENCY BAND:15 GHZ (1W8),TX
CGHODUPV2 BR-0319-0 MW RADIO:IP-50CX-E-15-420-01W08-L,FREQUENCY BAND:15 GHZ (1W8),TX</t>
  </si>
  <si>
    <t xml:space="preserve">BAL MO Madhya Pradesh/PUR/54216
</t>
  </si>
  <si>
    <t>8XP5849</t>
  </si>
  <si>
    <t>B0HSTHXP2 - NPT-1100H DC SHELF ASSEMBLED OR FIBER OPTIC PRODUCT ITEM CODE - X44994H</t>
  </si>
  <si>
    <t>AI2025-0077162</t>
  </si>
  <si>
    <t>SBKK00474947</t>
  </si>
  <si>
    <t>AI2025-0077161</t>
  </si>
  <si>
    <t>SBKK00474918</t>
  </si>
  <si>
    <t>AI2025-0077321</t>
  </si>
  <si>
    <t>SBKK00476267</t>
  </si>
  <si>
    <t>AI2025-0077164</t>
  </si>
  <si>
    <t>SBKK00474990</t>
  </si>
  <si>
    <t>H620975</t>
  </si>
  <si>
    <t>AI2025-0077163</t>
  </si>
  <si>
    <t>SBKK00474984</t>
  </si>
  <si>
    <t>BAL LDS NLD/PUR/2056023</t>
  </si>
  <si>
    <t>BAL LDS NLD/PUR/2056016</t>
  </si>
  <si>
    <t>SBKK00478614</t>
  </si>
  <si>
    <t>H618556</t>
  </si>
  <si>
    <t>SBKK00478761</t>
  </si>
  <si>
    <t>SBKK00478760</t>
  </si>
  <si>
    <t>H670726</t>
  </si>
  <si>
    <t>X57804</t>
  </si>
  <si>
    <t>B0HTDRLN1 - OTDR1625M_8S TRANSCEIVER MODULE ITEM CODE - X57804</t>
  </si>
  <si>
    <t>BAL LDS NLD/PUR/2055795</t>
  </si>
  <si>
    <t>SBKK00477652</t>
  </si>
  <si>
    <t>BAL LDS NLD/PUR/2055910</t>
  </si>
  <si>
    <t>SBKK00478762</t>
  </si>
  <si>
    <t>BAL LDS NLD/PUR/2056135</t>
  </si>
  <si>
    <t>SBKK00478611</t>
  </si>
  <si>
    <t>SBKK00476269</t>
  </si>
  <si>
    <t>H873516</t>
  </si>
  <si>
    <t>ELE001201 - OTP10T_ALLM(XCVR FOPTUNABLE DWDM 10GBS SFP+ 80KM LIMITING TRANSCEIVER ITEM CODE ON322783</t>
  </si>
  <si>
    <t>BAL/AES INTERNET/PUR/339385</t>
  </si>
  <si>
    <t>H935396</t>
  </si>
  <si>
    <t>AI2025-0077317</t>
  </si>
  <si>
    <t>SBKK00476268</t>
  </si>
  <si>
    <t>ANIL MANTRA</t>
  </si>
  <si>
    <t>BAL LDS NLD/PUR/2055979</t>
  </si>
  <si>
    <t>AI2025-0077324</t>
  </si>
  <si>
    <t>SBKK00476323</t>
  </si>
  <si>
    <t xml:space="preserve">BAL MO Madhya Pradesh/PUR/54393
</t>
  </si>
  <si>
    <t>SIN76031239</t>
  </si>
  <si>
    <t>28
28</t>
  </si>
  <si>
    <t>7071170
7071171</t>
  </si>
  <si>
    <t>19-Dec-2025
19-Dec-2025</t>
  </si>
  <si>
    <t>53521.00
44213.00</t>
  </si>
  <si>
    <t>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</si>
  <si>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</si>
  <si>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23
23
19
19</t>
  </si>
  <si>
    <t xml:space="preserve">
Hexacom MO Rajasthan/PUR/68924</t>
  </si>
  <si>
    <t>SIN76031238</t>
  </si>
  <si>
    <t>SIN76031240</t>
  </si>
  <si>
    <t>AI2025-0077320</t>
  </si>
  <si>
    <t>SBKK00476273</t>
  </si>
  <si>
    <t xml:space="preserve">SBKK00476259 </t>
  </si>
  <si>
    <t>AI2025-0077319</t>
  </si>
  <si>
    <t>AI2025-0077910</t>
  </si>
  <si>
    <t>AI2025-0077908</t>
  </si>
  <si>
    <t>AI2025-0077906</t>
  </si>
  <si>
    <t>AI2025-0077903</t>
  </si>
  <si>
    <t>AI2025-0077904</t>
  </si>
  <si>
    <t>AI2025-0077902</t>
  </si>
  <si>
    <t>AI2025-0077909</t>
  </si>
  <si>
    <t>AI2025-0077907</t>
  </si>
  <si>
    <t>AI2025-0077905</t>
  </si>
  <si>
    <t>AI2025-0078137</t>
  </si>
  <si>
    <t>AI2025-0078136</t>
  </si>
  <si>
    <t>BAL-EGB-ISP-Tamil Nadu/PUR/10002596</t>
  </si>
  <si>
    <t xml:space="preserve">TAMIL NADU </t>
  </si>
  <si>
    <t>BAL-EGB-ISP-Maharashtra/PUR/10005399</t>
  </si>
  <si>
    <t>C Sathishkumar</t>
  </si>
  <si>
    <t>SBKK00476263</t>
  </si>
  <si>
    <t>SBKK00476256</t>
  </si>
  <si>
    <t>BAL AES Internet/PUR/339428</t>
  </si>
  <si>
    <t>AI2025-0077328</t>
  </si>
  <si>
    <t>SBKK00476275</t>
  </si>
  <si>
    <t>AI2025-0077318</t>
  </si>
  <si>
    <t>SBKK00476274</t>
  </si>
  <si>
    <t>AI2025-0077323</t>
  </si>
  <si>
    <t>SBKK00476265</t>
  </si>
  <si>
    <t>AI2025-0077322</t>
  </si>
  <si>
    <t>AI2025-0077160</t>
  </si>
  <si>
    <t>SBKK00468406</t>
  </si>
  <si>
    <t>WPC Licence not applicable //Final awb received dtd.25-12-2025 /soft copy  FTA received  dtd.26-12-2025//IB BOE OOC done dtd.29-12-2025//</t>
  </si>
  <si>
    <t>WPC Licence not applicable //Final awb received dtd.25-12-2025 /soft copy  FTA received  dtd.26-12-2025////IB BOE OOC done dtd.29-12-2025//</t>
  </si>
  <si>
    <t>WPC Licence not applicable //Final awb received dtd.25-12-2025 /soft copy  FTA received  dtd.26-12-2025///IB BOE OOC done dtd.29-12-2025//</t>
  </si>
  <si>
    <t>IB BOE assessed  ,moved to AMEYA CFS  under TP process/IB OOC done dtd.31-12-2025//OB confirmation mail send dtd. 01-01-2026</t>
  </si>
  <si>
    <t>7065129
7065130</t>
  </si>
  <si>
    <t>11-Dec-2025
11-Dec-2025</t>
  </si>
  <si>
    <t>162890.00
162890.00</t>
  </si>
  <si>
    <t>70
70
70
70</t>
  </si>
  <si>
    <t>BAL MO Bihar/PUR/51302
BAL MO Bihar/PUR/51302</t>
  </si>
  <si>
    <t>SINCB25038293</t>
  </si>
  <si>
    <t>SINC39666</t>
  </si>
  <si>
    <t>162890.00
46540.00</t>
  </si>
  <si>
    <t>70
70
20
20</t>
  </si>
  <si>
    <t>SINC39664</t>
  </si>
  <si>
    <t>7060248
7064091</t>
  </si>
  <si>
    <t>09-Dec-2025
09-Dec-2025</t>
  </si>
  <si>
    <t>46540.00
33232.00</t>
  </si>
  <si>
    <t xml:space="preserve">CGHODUPX1
CGHODUPV2
CGHODUPX4
CGHODUPX2
</t>
  </si>
  <si>
    <t>20
20
16
16</t>
  </si>
  <si>
    <t>BAL MO WEST BENGAL/PUR/80809
BAL MO WEST BENGAL/PUR/80915</t>
  </si>
  <si>
    <t>SINC39638</t>
  </si>
  <si>
    <t>1024040
1024046</t>
  </si>
  <si>
    <t>15-12-2025
15-Dec-2025</t>
  </si>
  <si>
    <t>58000.88
82858.40</t>
  </si>
  <si>
    <t>B0HSTHXP2 - NPT-1100H DC SHELF ASSEMBLED OR FIBER OPTIC PRODUCT ITEM CODE - X44994H
B0HSTHXP2 - NPT-1100H DC SHELF ASSEMBLED OR FIBER OPTIC PRODUCT ITEM CODE - X44994H</t>
  </si>
  <si>
    <t>28
40</t>
  </si>
  <si>
    <t>BAL LDS NLD/PUR/2056238
BAL LDS NLD/PUR/2055958</t>
  </si>
  <si>
    <t>IB BOE OOC  done dtd.08-10-2025  ///WPC licence valid upto dtd. 11.03.2026//OB confirmation mailed send dtd.09-10-2025 //pendng FORM I&amp; confirmation//// revised FTA  soft copy received dtd. 29-12-2025//</t>
  </si>
  <si>
    <t>WPC Licence not applicable // IB BOE    OOC done dtd. 26-12-2025//</t>
  </si>
  <si>
    <t>GHODUPX1 BR-0318-0 MW RADIO:IP-50CX-E-15-420-01W08-H,FREQUENCY BAND:15 GHZ (1W8),TX POWER
CGHODUPV2 BR-0319-0 MW RADIO:IP-50CX-E-15-420-01W08-L,FREQUENCY BAND:15 GHZ (1W8),TX POWER</t>
  </si>
  <si>
    <t xml:space="preserve">BAL MO WEST BENGAL/PUR/80931
</t>
  </si>
  <si>
    <t>8XP5843</t>
  </si>
  <si>
    <t>2
2</t>
  </si>
  <si>
    <t xml:space="preserve">BAL-MO-HARYANA-HARYANA/PUR/10010250
</t>
  </si>
  <si>
    <t>I064093</t>
  </si>
  <si>
    <t>MH04LQ3671</t>
  </si>
  <si>
    <t>Custom duty requested dtd.31-12-2025//OB OOC done 01-01-2026//Shipment dispatched dtd. 02-01-2026  vehicle no.MH04LQ3671 MOB.9120152578</t>
  </si>
  <si>
    <t>GJ31T9064</t>
  </si>
  <si>
    <t>IB BOE  OOC done dtd. 18-12-2025 /// WPC Licence not applicable//OB BOE will be filed on Monday dtd.22-12-2025//Custom duty requested dtd. 22-12-2025 &amp; padi dtd. 23-12-2025 //OOC done dtd.24-12-2025//Shipmnet dispatched dtd.02-01-2026 vehicle no. GJ31T9064 mob.7490074382</t>
  </si>
  <si>
    <t>Custom duty requested dtd.31-12-2025/// OB OOC done 01-01-2026//Shipmnet dispatched dtd.02-01-2026 vehicle no. GJ31T9064 mob.7490074382</t>
  </si>
  <si>
    <t>03-012026</t>
  </si>
  <si>
    <t>IB BOE OOC done dtd.31-12-2025  // // revised FTA   soft copy received dtd.02-01-2026 // WPC licence valid upto dtd.04-06-2026/</t>
  </si>
  <si>
    <t>IB BOE OOC done dtd.31-12-2025// revised FTA  SOFT copy received dtd .02-01-2026 //WPC licence valid upto dtd. 04-06-2026</t>
  </si>
  <si>
    <t>revised PRE ALERT document received dtd.31-12-2025///IB BOE  OOC done dtd. 03-01-2026</t>
  </si>
  <si>
    <t>7065131
7065132</t>
  </si>
  <si>
    <t xml:space="preserve"> 24-Dec-2025</t>
  </si>
  <si>
    <t xml:space="preserve">Hexacom MO Rajasthan/PUR/68924
</t>
  </si>
  <si>
    <t xml:space="preserve">I051163 </t>
  </si>
  <si>
    <t>HR61F1668</t>
  </si>
  <si>
    <t>Custom duty  requested dtd. 01-01-2026 &amp; paid dtd.02-01-2026/OOC  done dtd.03-01-2026//Shipment dispatched dtd.05-01-2026 vehicle no. HR61F1668 mob. 93504 67263</t>
  </si>
  <si>
    <t>Custom duty  requested dtd. 01-01-2026 &amp; paid dtd.02-01-2026//OOC  done dtd.03-01-2026//Shipment dispatched dtd.05-01-2026 vehicle no. MH04KU7501  mob. 08930407536</t>
  </si>
  <si>
    <t>ECD-26 010016</t>
  </si>
  <si>
    <t>ECD-26 010018</t>
  </si>
  <si>
    <t>ECD-26 010014</t>
  </si>
  <si>
    <t>ECD-26 010019</t>
  </si>
  <si>
    <t>ECD-26 010017</t>
  </si>
  <si>
    <t>ECD-26 010020</t>
  </si>
  <si>
    <t>ECD-26 010015</t>
  </si>
  <si>
    <t>3417929TSTH1034
3418008TSTH1035
3418063TSTH1036</t>
  </si>
  <si>
    <t>05-Jan-2026
05-Jan-2026
05-Jan-2026</t>
  </si>
  <si>
    <t>93478.00
16996.00
24280.00</t>
  </si>
  <si>
    <t>Bangkok(THBKK)</t>
  </si>
  <si>
    <t xml:space="preserve">217-0732 4774 </t>
  </si>
  <si>
    <t>02-01-226</t>
  </si>
  <si>
    <t>I051180</t>
  </si>
  <si>
    <t>CGHODUPX4 BR-0327-0 MW RADIO IP-50CX-E-15-420-01W08-H,FB 15 GHZ 1W8 TXP:25 DBM HIGH 1+0 UPGRD
CGHODUPX2 BR-0326-0 MW RADIOIP-50CX-E-15-420-01W08-L,FB 15 GHZ 1W8 TXP 25 DBM LOW 1+0 UPGRD T</t>
  </si>
  <si>
    <t xml:space="preserve">BAL MO WEST BENGAL/PUR/80915
</t>
  </si>
  <si>
    <t>I064043</t>
  </si>
  <si>
    <t>7070168
7070169</t>
  </si>
  <si>
    <t>58175.00
1163.50</t>
  </si>
  <si>
    <t>CGHODUPV3
CGHODUPX3
CGHODUPV3</t>
  </si>
  <si>
    <t>CGHODUPV3 BR-0320-0 MW RADIO:IP-50CX-E-15-420-08W15-H,FREQUENCY BAND:15 GHZ (8W15),TX POWER
CGHODUPX3 BR-0325-0 MW RADIO:IP-50CX-E-15-420-08W15-L,FREQUENCY BAND:15 GHZ (8W15),TX POWER
CGHODUPV3 BR-0320-0 MW RADIO:IP-50CX-E-15-420-08W15-H,FREQUENCY BAND:15 GHZ (8W15),TX POWER</t>
  </si>
  <si>
    <t>25
25
1</t>
  </si>
  <si>
    <t xml:space="preserve">BAL-MO-HARYANA-HARYANA/PUR/10010205
BAL-MO-HARYANA-HARYANA/PUR/10010205
</t>
  </si>
  <si>
    <t>I064095</t>
  </si>
  <si>
    <t>AMIT KUMAR</t>
  </si>
  <si>
    <t>AES Internet</t>
  </si>
  <si>
    <t xml:space="preserve">B0HODUNF3
B0HODUNJ6  </t>
  </si>
  <si>
    <t>B0HODUNF3 BR-0336-0 MICROWAVE RADIO,MODEL:IP-50EXA-100-H,FREQUENCY BAND:80 GHZ,TX POWER
B0HODUNJ6 BR-0337-0 MICROWAVE RADIO,MODEL:IP-50EXA-100-L,FREQUENCY BAND:80 GHZ,TX POWER</t>
  </si>
  <si>
    <t xml:space="preserve">BAL-MO-HARYANA-HARYANA/PUR/10010071
</t>
  </si>
  <si>
    <t>ECD-26 010012</t>
  </si>
  <si>
    <t>7069174
7069175
7069176</t>
  </si>
  <si>
    <t>19-Dec-2025
18-Dec-2025
18-Dec-2025</t>
  </si>
  <si>
    <t>58175.00
58175.00
46540.00</t>
  </si>
  <si>
    <t>25
25
25
25
20
20</t>
  </si>
  <si>
    <t>BAL MO Bihar/PUR/51302
BAL MO Bihar/PUR/51302
BAL MO Bihar/PUR/51302</t>
  </si>
  <si>
    <t>I064092</t>
  </si>
  <si>
    <t>AAI0035576 </t>
  </si>
  <si>
    <t>17615752914 </t>
  </si>
  <si>
    <t>IB BOE OOC done dtd. 12-12-2025 //WPC licence valid upto dtd.01-05-2026//OB confirmation  mail send dtd. 13-12-2025// revised FTA soft copy dtd.06-01-2026//</t>
  </si>
  <si>
    <t>IB BOE OOC done dtd. 12-12-2025  //WPC licence valid upto dtd.05-06-2026/OB confirmation  mail send dtd. 13-12-2025// revised FTA soft copy dtd.06-01-2026/</t>
  </si>
  <si>
    <t>IB BOE assessed  ,moved to AMEYA CFS  under TP process//IB BOE  OOC  done dtd.01-01-2026///OB confirmation mailed send dtd. 06-01-2025//</t>
  </si>
  <si>
    <t>IB BOE assessed  ,moved to AMEYA CFS  under TP process//IB BOE  OOC  done dtd.01-01-2026//OB confirmation mailed send dtd. 06-01-2025//</t>
  </si>
  <si>
    <t>IB BOE assessed  ,moved to AMEYA CFS  under TP process//IB BOE  OOC  done dtd.01-01-2026//OB confirmation mailed send dtd. 06-01-2025//O</t>
  </si>
  <si>
    <t>IB BOE  OOC done dtd.19- 11-2025////WPC licence valid upto dtd. 11.03.2026 //OB confirmation mail send dtd. 21-11-2025 &amp; confirmation confirm dtd. 08-12-2025 // revised FTA soft copy received 02-01-2026</t>
  </si>
  <si>
    <t>IB BOE  OOC done dtd.19- 11-2025////WPC licence valid upto dtd. 11.03.2026// OB confirmation mail send dtd. 21-11-2025// confirmation confirm dtd. 15-12-2025// revised FTA  soft copy  received dtd.02-01-2026</t>
  </si>
  <si>
    <t>/IB BOE  OOC done dtd. 30-12-2025//OB confirmation mailed send dtd.02-01-2026 &amp; CONFRIM DTD. 03-01-2026//WPC licence valid upto dtd.13-05-2026//</t>
  </si>
  <si>
    <t>/IB BOE OOC done dtd.30-12-2025//OB confirmation  mailed  dtd.03-01-2026 &amp; CONFIRM DTD. 03-01-2026</t>
  </si>
  <si>
    <t>/IB BOE OOC done dtd.30-12-2025//OB confirmation mail send dtd. 03-02-2025 &amp; CONFIRM DTD. 03-01-2026</t>
  </si>
  <si>
    <t>IB BOE OOC done dtd.30-12-2025//OB confirmation mailed dtd. 03-01-2026////</t>
  </si>
  <si>
    <t>IB BOE  OOC  done dtd.01-01-2026//OB confirmation mailed send dtd. 06-01-2025//</t>
  </si>
  <si>
    <t>IB OOC done dtd.31-12-2025//</t>
  </si>
  <si>
    <t>revised PRE ALERT document received dtd.31-12-2025//IB OOC done dtd.02-01-2026//</t>
  </si>
  <si>
    <t>IB OOC done dtd.02-01-2026//</t>
  </si>
  <si>
    <t>MH46BM9821</t>
  </si>
  <si>
    <t>OB confirmation mail send dtd. 08-12-2025///pending FORM I &amp; confirmation // revised FTA received dtd.01-01-2026 //custom duty requested dtd .05-01-2026///OOC done dtd. 07-01-2026//Shipment dispatched dtd.07-01-26 vehicle no.MH46BM9821 mob.90509 44482</t>
  </si>
  <si>
    <t>IB BOE assessed  ,moved to AMEYA CFS  under TP process//WPC Licence  valid upto dtd.14-06-26//// IB OOC done dtd.31-12-2025//OB confirmation mail send dtd. 01-01-2026//Custom duty requested dtd.05-01-2026///OOC done dtd. 07-01-2026//Shipment dispatched dtd.07-01-26 vehicle no.MH46BM9821 mob.90509 44482</t>
  </si>
  <si>
    <t>IB BOE  OOC  done dtd.01-01-2026//</t>
  </si>
  <si>
    <t>/IB BOE OOC done dtd.30-12-2025//OB confirmation mailed dtd. 02-01-2026  &amp; confirm received dtd. 02-01-2026//WPC licence valid upto dtd. 12-06-2026//</t>
  </si>
  <si>
    <t>IB BOE OOC done dtd.31-12-2025/// revised FTA  soft copy received dtd. 02-01-2026  // WPC licence valid upto dtd. 27-05-2026//c</t>
  </si>
  <si>
    <t>IB BOE OOC done dtd.31-12-2025s/ // revised FTA soft copy received dtd. 02-01-2026// WPC licence valid upto dtd. 05-06-2026//</t>
  </si>
  <si>
    <t>IB BOE OOC done dtd.31-12-2025/ / revised FTA SOFT copy received dtd.02-01-2026 // WPC licence  valid upto dtd. 13-04-2026//</t>
  </si>
  <si>
    <t>IB BOE OOC done dtd.31-12-2025s/// revised FTA soft copy received dtd. 02-01-2026 //WPC licence valid upto dtd.28-02-2026/</t>
  </si>
  <si>
    <t>OB confirmation mail send dtd.23-09-2025//pendng FORM I &amp; confirmation //// revised FTA soft received dtd. 02-01-2026//OB boe custom duty requested dtd. 06-01-2026// OB OOC done dtd. 07-01-2026//shipment dispatched dtd. 08-01-2026 vehicle no. MP09GH7223  mob.8720096336</t>
  </si>
  <si>
    <t>OB confirmation mail send dtd. .28-11-2025///pending FORM I &amp; confirmation // revised FTA received dtd. 01-01-2026//Custom duty requested dtd. 05-01-2026//OOC done dtd. 06-01-2026/shipment dispatched dtd. 08-01-2026 vehicle no. MP09GH7223  mob.8720096336</t>
  </si>
  <si>
    <t>inward dtd. Pending &amp; also console not update ///IB BOE  OOC  done dtd.01-01-2026/</t>
  </si>
  <si>
    <t>IB BOE  OOC  done dtd.01-01-2026/</t>
  </si>
  <si>
    <t>IB OOC done dtd.02-01-2026/</t>
  </si>
  <si>
    <t>final AWB received dtd. 07-01-2026//custom duty requested dtd, 07-01-2026 &amp;  paid dtd. 08-01-26 //OOC done dtd.08-01-2026 //Shipment dispatched dtd. 09-01-2026 vehicle no. AP39WH6160  mob.9885649939</t>
  </si>
  <si>
    <t xml:space="preserve">AP39WH6160 </t>
  </si>
  <si>
    <t xml:space="preserve">CGHODUPX1
CGHODUPV2
</t>
  </si>
  <si>
    <t>BAL MO Madhya Pradesh/PUR/54455</t>
  </si>
  <si>
    <t>8YM8323</t>
  </si>
  <si>
    <t>BAL LDS NLD/PUR/2056385</t>
  </si>
  <si>
    <t>I050737</t>
  </si>
  <si>
    <t>I050732</t>
  </si>
  <si>
    <t>BAL LDS NLD/PUR/2056301</t>
  </si>
  <si>
    <t>I050733</t>
  </si>
  <si>
    <t>I050736</t>
  </si>
  <si>
    <t>I050731</t>
  </si>
  <si>
    <t>BAL LDS NLD/PUR/20566016</t>
  </si>
  <si>
    <t>I050734</t>
  </si>
  <si>
    <t>I050735</t>
  </si>
  <si>
    <t>I046347</t>
  </si>
  <si>
    <t>I046344</t>
  </si>
  <si>
    <t>I046345</t>
  </si>
  <si>
    <t>BAL LDS NLD/PUR/2056379</t>
  </si>
  <si>
    <t>I064332</t>
  </si>
  <si>
    <t>1031139
1031142</t>
  </si>
  <si>
    <t>25-12-2025
25-12-2025</t>
  </si>
  <si>
    <t>103573
103573.00</t>
  </si>
  <si>
    <t>BAL LDS NLD/PUR/2056023
BAL LDS NLD/PUR/2056016</t>
  </si>
  <si>
    <t>I050803</t>
  </si>
  <si>
    <t>B0HTPDLO6 - TM800 , FIBER OPTIC PRODUCT ITEM CODE - X17669</t>
  </si>
  <si>
    <t>I046348</t>
  </si>
  <si>
    <t>BAL MOPunjab/PUR/63697</t>
  </si>
  <si>
    <t>SIN76031354</t>
  </si>
  <si>
    <t>MH04MR1367</t>
  </si>
  <si>
    <t>OB confirmation mail send dtd. 21-11-2025/ // revised FTA soft copy dtd.02-01-2026////custom duty requested dtd.07-01-2026////OB OOC done  dtd. 08-01-2026//Shipment dispatched dtd. 09-01-2026 vehicle no.MH04MR1367 mob. 9813217686</t>
  </si>
  <si>
    <t>OB confirmation mail send dtd. 21-11-2025////revised FTA  soft copy received dtd. 02-01-2026//custom duty requested dtd.07-01-2026//////OB OOC done  dtd. 08-01-2026//Shipment dispatched dtd. 09-01-2026 vehicle no.MH04MR1367 mob. 9813217686</t>
  </si>
  <si>
    <t xml:space="preserve">MH04LE8346 </t>
  </si>
  <si>
    <t>IB BOE  OOC  done dtd.01-01-2026//Custom duty requested dtd.07-01-2026//////OB OOC done  dtd. 08-01-2026//Shipment dispatched dtd.  Vehicle no.MH04LE8346  mob  919983159256</t>
  </si>
  <si>
    <t>IB BOE  OOC  done dtd.01-01-2026//custom duty requested dtd.07-01-2026//OB OOC done  dtd. 08-01-2026 //Shipment dispatched dtd.  Vehicle no.MH04LE8346  mob  919983159256</t>
  </si>
  <si>
    <t>IB BOE  OOC done dtd.03-01-2025//custom duty requested dtd. 07-01-2026/////OB OOC done  dtd. 08-01-2026//Shipment dispatched dtd.  Vehicle no.MH04LE8346  mob  919983159256</t>
  </si>
  <si>
    <t>IB BOE  OOC  done dtd.01-01-2026//Custom duty requested dtd.07-01-2026// OB OOC done  dtd. 08-01-2026  //Shipment dispatched dtd.  Vehicle no.MH04LE8346  mob  919983159256</t>
  </si>
  <si>
    <t>IB BOE  OOC  done dtd.01-01-2026// custom duty requested dtd.07-01-2026//////OB OOC done  dtd. 08-01-2026//Shipment dispatched dtd.  Vehicle no.MH04LE8346  mob  919983159256</t>
  </si>
  <si>
    <t xml:space="preserve">/IB BOE OOC done dtd.30-12-2025//OB custom duty requested dtd. 06-01-2026// OB OOC done dtd. 07-01-2026// //Shipment dispatched dtd.  Vehicle no.MH04LE8346  mob  919983159256 </t>
  </si>
  <si>
    <t>/IB BOE OOC done dtd.30-12-2025//OB custom  duty requested dtd.06-01-2026//OOC  done dtd.08-01-2026//Shipment dispatched dtd.  Vehicle no.MH04LE8346  mob  919983159256</t>
  </si>
  <si>
    <t>/IB BOE OOC done dtd.30-12-2025//OB custom duty requested dtd. 06-01-2026// OB OOC done dtd. 07-01-2026  //Shipment dispatched dtd.  Vehicle no.MH04LE8346  mob  919983159256</t>
  </si>
  <si>
    <t>/IB BOE OOC done dtd.30-12-2025 //WPC licence not applicalble //OB custom duty requested dtd.06-01-2026// OB OOC done dtd. 07-01-2026  //Shipment dispatched dtd.  Vehicle no.MH04LE8346  mob  919983159256</t>
  </si>
  <si>
    <t>MH04MR1304</t>
  </si>
  <si>
    <t>IB BOE  OOC  done dtd.01-01-2026///custom duty requested dtd.07-01-2026/////OB OOC done  dtd. 08-01-2026 ////Shipment dispatched dtd.  Vehicle no. MH04MR1304mob  918779720142</t>
  </si>
  <si>
    <t>IB BOE  OOC  done dtd.01-01-2026//custom duty requested dtd.07-01-2026//////OB OOC done  dtd. 08-01-2026 ////Shipment dispatched dtd.  Vehicle no. MH04MR1304mob  918779720142</t>
  </si>
  <si>
    <t>IB BOE  OOC  done dtd.01-01-2026//Custom duty requested dtd.07-01-2026///OB OOC done dtd.08-01-2026////Shipment dispatched dtd.  Vehicle no. MH04MR1304mob  918779720142</t>
  </si>
  <si>
    <t>MH04MR1304
MH04KF7352</t>
  </si>
  <si>
    <t>MH04KF7352</t>
  </si>
  <si>
    <t>IB OOC done dtd.31-12-2025//WPC licence not applicable //OB boe custom duty requested dtd. 06-01-26// OB OOC done dtd. 07-01-2026//Shipment dispatched dtd.  09-01-2026  Vehicle no. MH04KF7352  mob  919783615486</t>
  </si>
  <si>
    <t>IB OOC done dtd.02-01-2026///custom duty requested dtd.07-01-2026//////OB OOC done  dtd. 08-01-2026 //Shipment dispatched dtd. 09-01-2026  Vehicle no. MH04MR1304mob  918779720142  &amp;  Vehicle no. MH04KF7352  mob  919783615486</t>
  </si>
  <si>
    <t>IB OOC done dtd.02-01-2026///custom duty requested dtd.07-01-2026//////OB OOC done  dtd. 08-01-2026 //Shipment dispatched dtd. 09-01-2026   Vehicle no. MH04KF7352  mob  919783615486</t>
  </si>
  <si>
    <t>IB OOC done dtd.31-12-2025///custom duty requested dtd.07-01-2026//////OB OOC done  dtd. 08-01-2026 //Shipment dispatched dtd. 09-01-2026   Vehicle no. MH04KF7352  mob  919783615486</t>
  </si>
  <si>
    <t>MH14JL1175</t>
  </si>
  <si>
    <t>/IB BOE OOC done dtd.30-12-2025//OB BOE custom duty requested dtd. 06-01-2026// OB OOC done dtd. 07-01-2026////Shipment dispatched dtd. 09-01-2026 Vehicle no. MH14JL1175   mob  9226117812</t>
  </si>
  <si>
    <t>custom duty requested dtd.08-01-2026//OOC done dtd.09-01-2026// shipment dispatched dtd. 10-01-2026 vehicle no.MH04GF7593 MOB.7276446039</t>
  </si>
  <si>
    <t>MH04GF7593</t>
  </si>
  <si>
    <t>MH43CE2434</t>
  </si>
  <si>
    <t>custom duty requested dtd.08-01-2026//OOC done dtd.09-01-2026//Shipment dispatched dtd.10-01-2026 vehicle no.MH43CE2434  mob,.9984640228</t>
  </si>
  <si>
    <t>custom duty requested dtd.08-01-2026//OOC done dtd.09-01-2026//Shipment dispatched dtd.10-01-2026 vehicle no.MH04GF7593 mob,.7276446039</t>
  </si>
  <si>
    <t xml:space="preserve">custom duty requested dtd.07-01-2026 &amp; paid dtd. 08-01-2026  /OOC done dtd.09-01-2026  //Shipment dispatched dtd.10-01-2026 vehicle no.MH43CE2434  mob,.9984640228 </t>
  </si>
  <si>
    <t xml:space="preserve"> OB confirmation mail send dtd. 08-12-2025///pending FORM I &amp; confirmation // revised FTA  received dtd.01-01-2026//OB boe  custom duty requested dtd. 06-01-2026//OOC done dtd.08-01-2026//Shipment dispatched dtd.10-01-2026 vehicle no.MH43CE2434  mob,.9984640228</t>
  </si>
  <si>
    <t>DL01MB0391</t>
  </si>
  <si>
    <t>custom duty requested dtd.08-01-2026//OOC done dtd.09-01-2026//Shipment dispatched dtd.10-01-2026 vehicle no.DL01MB0391  mob,.8828427157</t>
  </si>
  <si>
    <t>MH04JK1638</t>
  </si>
  <si>
    <t>IB OOC done dtd.02-01-2026//custom duty requested dtd.07-01-2026 &amp; paid dtd.08-01-2026 /////OB OOC done  dtd. 08-01-2026//Shipment dispatched dtd.10-01-2026 vehicle no.MH04JK1638  mob,.919354151224</t>
  </si>
  <si>
    <t>MH 43CE 3081</t>
  </si>
  <si>
    <t>custom duty requested dtd.08-01-2026//OOC done dtd.09-01-2026//Shipment dispatched dtd.10-01-2026 vehicle no.MH 43CE 3081  mob,.9996671587</t>
  </si>
  <si>
    <t>custom duty requested dtd.07-01-2026 &amp; paid dtd. 08-01-2026  //OOC done dtd.09-01-2026//Shipment dispatched dtd.10-01-2026 vehicle no.MH 43CE 3081  mob,.9996671587</t>
  </si>
  <si>
    <t>custom duty requested dtd.08-01-2026//OOC done dtd.09-01-2026///Shipment dispatched dtd.10-01-2026 vehicle no.DL01MB0391   mob,.8828427157</t>
  </si>
  <si>
    <t>custom duty requested  dtd.07-01-2026 &amp; paid dtd. 08-01-2026//OOC done dtd.09-01-2026///Shipment dispatched dtd.10-01-2026 vehicle no.DL01MB0391   mob,.8828427157</t>
  </si>
  <si>
    <t>custom duty requested dtd.08-01-2026//OOC done dtd.09-01-2026///Shipment dispatched dtd.10-01-2026 vehicle no.MH 43CE 3081  mob,.9996671587</t>
  </si>
  <si>
    <t>custom duty requested dtd.08-01-2026//OOC done dtd.09-01-2026 //Shipment dispatched dtd.10-01-2026 vehicle no.MH 43CE 3081  mob,.9996671587</t>
  </si>
  <si>
    <t>MH04JU 8202</t>
  </si>
  <si>
    <t>IB BOE OOC done dtd.31-12-2025//WPC licence valid upto dtd.01-07-2026//custom duty requested dtd.06-01-2026 &amp; paid dtd. 08-01-2026//OOC done dtd.09-01-2026//Shipment dispatched dtd.10-01-2026 vehicle no.MH04JU 8202   mob,.9169175905</t>
  </si>
  <si>
    <t xml:space="preserve">Custom duty requested dtd.06-01-2026 &amp; paid dtd. 08-01-2026 //OOC done dtd.09-01-2026/////Shipment dispatched dtd.10-01-2026 vehicle no.MH04JU 8202   mob,.9169175905 </t>
  </si>
  <si>
    <t>custom duty requested dtd.08-01-2026//OOC done dtd.09-01-2026///Shipment dispatched dtd.10-01-2026 vehicle no. MH04JU 8202 mob,.9169175905</t>
  </si>
  <si>
    <t>custom duty requested dtd.08-01-2026//OOC done dtd.09-01-2026 //Shipment dispatched dtd.10-01-2026 vehicle no. MH04JU 8202 mob,.9169175905</t>
  </si>
  <si>
    <t>custom duty requested dtd.08-01-2026//OOC done dtd.09-01-2026 ///Shipment dispatched dtd.10-01-2026 vehicle no. MH04GF7593  mob,.7276446039</t>
  </si>
  <si>
    <t>AI2026-0002004</t>
  </si>
  <si>
    <t>AI2026-0002005</t>
  </si>
  <si>
    <t>AI2026-0002008</t>
  </si>
  <si>
    <t>AI2026-0002011</t>
  </si>
  <si>
    <t>AI2026-000206</t>
  </si>
  <si>
    <t>AI2026-000207</t>
  </si>
  <si>
    <t>AI2026-0002003</t>
  </si>
  <si>
    <t>AI2026-002097</t>
  </si>
  <si>
    <t>AI2026-0002095</t>
  </si>
  <si>
    <t>AI2026-0002096</t>
  </si>
  <si>
    <t>AI2026-002506</t>
  </si>
  <si>
    <t>AI2026-0002507</t>
  </si>
  <si>
    <t>AI2026-0002508</t>
  </si>
  <si>
    <t>MH04LH0199</t>
  </si>
  <si>
    <t>IB BOE OOC done dtd. 18-12-2025 //WPC Licence not applicable//Soft copy of FTA received dtd. 22-12-2025(WRONG FTA)//Custom  duty requested dtd.13-01-2026//OOC done dtd. 13-01-2026 //Shipment dispatched td. 14-1-2026  vehicle no.MH04LH0199 mob no.8976765127</t>
  </si>
  <si>
    <t>OB confirmation mail send dtd. 21-11-2025//pending FORM I &amp; confirmation // revised FTA soft copy dtd.02-01-2026//custom duty  requsted dtd.13-01-2026///OOC done dtd. 14-01-2026</t>
  </si>
  <si>
    <t>MH04KU7505</t>
  </si>
  <si>
    <t>custom duty requested dtd.12-01-2026///OOC  done dtd.13-01-2026//Shipment dispatched dtd.14-01-2026 vehicle no.MH04KU7505 MOB. 919785445022</t>
  </si>
  <si>
    <t>custom duty requested dtd. 12-01-2026///OOC  done dtd.13-01-2026//Shipment dispatched dtd.14-01-2026 vehicle no.MH04KU7505 MOB. 919785445022</t>
  </si>
  <si>
    <t>custom duty requested dtd.12.01.2026///OOC  done dtd.13-01-2026//Shipment dispatched dtd.14-01-2026 vehicle no.MH04KU7505 MOB. 919785445022</t>
  </si>
  <si>
    <t>IB BOE OOC done dtd. 05-01-2025//custom duty requested dtd.12-01-2026///OOC  done dtd.13-01-2026//Shipment dispatched dtd.14-01-2026 vehicle no. MH04KU7503 mob.919785945852</t>
  </si>
  <si>
    <t>custom duty requested dtd.12-01-2026///OOC  done dtd.13-01-2026//Shipment dispatched dtd.14-01-2026 vehicle no. MH04KU7503 mob.919785945852</t>
  </si>
  <si>
    <t>//IB BOE OOC done dtd.03-01-2026////custom  duty requested dtd. 12-01-2026///OOC  done dtd.13-01-2026 //Shipment dispatched dtd.14-01-2026 vehicle no. MH04KU7503 mob.919785945852</t>
  </si>
  <si>
    <t>SIN76031433</t>
  </si>
  <si>
    <t xml:space="preserve">CGHODUPV3
CGHODUPX3
</t>
  </si>
  <si>
    <t xml:space="preserve">BAL MO Bihar/PUR/51443
</t>
  </si>
  <si>
    <t>SIN76031434</t>
  </si>
  <si>
    <t>BAL MO Mumbai/PUR/96073</t>
  </si>
  <si>
    <t>SIN76031432</t>
  </si>
  <si>
    <t>I057376</t>
  </si>
  <si>
    <t>I057383</t>
  </si>
  <si>
    <t>I057381</t>
  </si>
  <si>
    <t>I057380</t>
  </si>
  <si>
    <t>I057382</t>
  </si>
  <si>
    <t>I057379</t>
  </si>
  <si>
    <t>I057378</t>
  </si>
  <si>
    <t>I057377</t>
  </si>
  <si>
    <t>UP80KT2846</t>
  </si>
  <si>
    <t>IB BOE  OOC  done dtd.01-01-2026//OB confirmation mailed dtd.05-01-2026&amp;  confirm dtd.06-01-2026//wpc licence valid upto dtd. 11.03.26 // custom duty requsted dtd. 13-01-2026///OOC done dtd. 14-01-2026//Shipment dispatched dtd.16-01-2026 vehicle no. UP80KT2846 mob.9149103509</t>
  </si>
  <si>
    <t>MH04CU1349</t>
  </si>
  <si>
    <t>OB BOE custom duty requested  dtd 12.01.2026///OOC  done dtd.13-01-2026/Shipment dispatched dtd.16-01-2026 vehicle no. MH04CU1349 mob.8960142673</t>
  </si>
  <si>
    <t>OB BOE custom duty requested  dtd 12.01.2026///OOC  done dtd.13-01-2026/Shipment dispatched dtd.16-01-2026 vehicle no. MH04CU1349  mob.8960142673</t>
  </si>
  <si>
    <t>MH46BM4121</t>
  </si>
  <si>
    <t>IB BOE OOC done dtd.03-01-2026//OB confirmation mailed dtd. 06-01-2026//wpc licence  valid  upto  dtd.14-06-2026 //custom duty requested dtd. 12-01-2026  &amp; paid dtd.13-01-2026 ////OOC done dtd. 14-01-2026//Shipment dispatched dtd.16-01-2026 vehicle no. MH46BM4121 mob. +91 74250 29338</t>
  </si>
  <si>
    <t>IB BOE  OOC  done dtd.01-01-2026//OB confirmation mailed dtd. 03-01-2026 //wpc licence  valid  upto  dtd.14-06-2026 //custom duty requested dtd.12-01-2026 &amp; paid dtd.13-01-2026 ////OOC done dtd. 14-01-2026//Shipment dispatched dtd.16-01-2026 vehicle no. MH46BM4121 mob. +91 74250 29338</t>
  </si>
  <si>
    <t>MH46BM4121 &amp; MH46BM4221</t>
  </si>
  <si>
    <t>IB BOE OOC done dtd.31-12-2025/ // revised FTA pending //WPC licence valid upto dtd.14-06-2026//custom duty requested dtd. 12-01-2026 &amp; paid dtd.13-01-2026 ////OOC done dtd. 14-01-2026 //Shipment dispatched dtd.16-01-2026 vehicle no. MH46BM4121 mob. +91 74250 29338 , vehicle no. MH46BM4221  mob. +91 88498 37526</t>
  </si>
  <si>
    <t xml:space="preserve">BAL MO Mumbai/PUR/96073 </t>
  </si>
  <si>
    <t>098-30008101</t>
  </si>
  <si>
    <t>SIN76031490</t>
  </si>
  <si>
    <t>45694
 16616</t>
  </si>
  <si>
    <t>7060221
 7067091</t>
  </si>
  <si>
    <t>22
22
8
8</t>
  </si>
  <si>
    <t>CGHODUPI4 BR-0311-0 IP-50CX-F-23-L-H,23 GHZ (SUB 01),TYPE:HIGH,(1+0 UPGRADABLE TO XPIC WITH OMT)
CGHODUPY3 BR-0310-0 IP-50CX-F-23-L-L,23 GHZ (SUB 01),TYPE:LOW, (1+0 UPGRADABLE TO XPIC WITH OMT)
CGHODUPI4 BR-0311-0 IP-50CX-F-23-L-H,23 GHZ (SUB 01),TYPE:HIGH,(1+0 UPGRADABLE TO XPIC WITH OMT)
CGHODUPY3 BR-0310-0 IP-50CX-F-23-L-L,23 GHZ (SUB 01),TYPE:LOW, (1+0 UPGRADABLE TO XPIC WITH OMT)</t>
  </si>
  <si>
    <t>CGHODUPI4
CGHODUPY3
CGHODUPI4
CGHODUPY3</t>
  </si>
  <si>
    <t>BAL-MO-UPW-UP/PUR/10016687</t>
  </si>
  <si>
    <t>ECD-26 010090</t>
  </si>
  <si>
    <t>AAI0035641</t>
  </si>
  <si>
    <t>ECD-26 010089</t>
  </si>
  <si>
    <t>AAI0035640</t>
  </si>
  <si>
    <t>AAI0035642</t>
  </si>
  <si>
    <t>ECD-26 010091</t>
  </si>
  <si>
    <t>BAL MO Madhya Pradesh/PUR/54152</t>
  </si>
  <si>
    <t>ECD-26 010088</t>
  </si>
  <si>
    <t>AAI0035643</t>
  </si>
  <si>
    <t>AI2026-0003286</t>
  </si>
  <si>
    <t>AI2026-0003287</t>
  </si>
  <si>
    <t>AI2026-0003283</t>
  </si>
  <si>
    <t>AI2026-0003285</t>
  </si>
  <si>
    <t>AI2026-0003288</t>
  </si>
  <si>
    <t>AI2026-0003284</t>
  </si>
  <si>
    <t>AI2026-0003290</t>
  </si>
  <si>
    <t>AI2026-0003289</t>
  </si>
  <si>
    <t>I161805</t>
  </si>
  <si>
    <t>7055281
7060224
7074287
7074288</t>
  </si>
  <si>
    <t>10-Dec-2025
08-Dec-2025
24-Dec-2025
24-Dec-2025</t>
  </si>
  <si>
    <t>20770.00
20770.00
10385.00
18693.00</t>
  </si>
  <si>
    <t>CGHODUQY4
CGHODUQI4
CGHODUQY4
CGHODUQI4
CGHODUPZ9
CGHODUPX6
CGHODUPZ9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</si>
  <si>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
CGHODUPZ9 BR-0321-0 MW RADIO:IP-50CX-E-18-L-H,FREQ BAND:18 GHZ,TX POWER OUTPUT:24</t>
  </si>
  <si>
    <t>10
10
10
10
5
5
18</t>
  </si>
  <si>
    <t>BAL MOPunjab/PUR/63478
BAL MOPunjab/PUR/63478
BAL MOPunjab/PUR/63478
BAL MOPunjab/PUR/63478</t>
  </si>
  <si>
    <t>I161749</t>
  </si>
  <si>
    <t>BAL-MO-HARYANA-HARYANA/PUR/10010250</t>
  </si>
  <si>
    <t>SINC40881</t>
  </si>
  <si>
    <t>7049085
7049086
7055280</t>
  </si>
  <si>
    <t>19-Dec-2025
19-Dec-2025
19-Dec-2025</t>
  </si>
  <si>
    <t>31155.00
31155.00
41540.00</t>
  </si>
  <si>
    <t>CGHODUPX4
CGHODUPX2
CGHODUQY4
CGHODUQI4
CGHODUPZ9
CGHODUPX6</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</si>
  <si>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</si>
  <si>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15
15
15
15
20
20</t>
  </si>
  <si>
    <t>BAL-MO-HARYANA-HARYANA/PUR/10010101
BAL-MO-HARYANA-HARYANA/PUR/10010101
BAL-MO-HARYANA-HARYANA/PUR/10010101</t>
  </si>
  <si>
    <t>SINC40857</t>
  </si>
  <si>
    <t>SINC40889</t>
  </si>
  <si>
    <t>SINC40888</t>
  </si>
  <si>
    <t xml:space="preserve">BAL MO WEST BENGAL/PUR/80809
</t>
  </si>
  <si>
    <t>SINC40880</t>
  </si>
  <si>
    <t>SINC40884</t>
  </si>
  <si>
    <t>SINC40883</t>
  </si>
  <si>
    <t>SINC40887</t>
  </si>
  <si>
    <t>SINC40877</t>
  </si>
  <si>
    <t>SINC40886</t>
  </si>
  <si>
    <t>7049083
7072131</t>
  </si>
  <si>
    <t>01-Dec-2025
24-Dec-2025</t>
  </si>
  <si>
    <t>65156
39559.00</t>
  </si>
  <si>
    <t>28
28
17
17</t>
  </si>
  <si>
    <t>BAL MO U.P.East/PUR/72984
BAL MO U.P.East/PUR/72984</t>
  </si>
  <si>
    <t>SINC40875</t>
  </si>
  <si>
    <t>AI2026-0003691</t>
  </si>
  <si>
    <t>BAL-ANG-UASL-NCR- HARYANA/PUR/10006719</t>
  </si>
  <si>
    <t>AI2026-0003692</t>
  </si>
  <si>
    <t>MTT-162860</t>
  </si>
  <si>
    <t>BAL-ANG-UASL-Mumbai-Maharashtra/PUR/10005526</t>
  </si>
  <si>
    <t>MTT-162861</t>
  </si>
  <si>
    <t>BAL-ANG-UASL-Mumbai-Maharashtra/PUR/10005527</t>
  </si>
  <si>
    <t>MTT-162862</t>
  </si>
  <si>
    <t>BAL-ANG-UASL-NCR- HARYANA/PUR/10006970</t>
  </si>
  <si>
    <t>MTT-162863</t>
  </si>
  <si>
    <t>BAL AES Internet/PUR/339379</t>
  </si>
  <si>
    <t>MTT-162858</t>
  </si>
  <si>
    <t>BAL LDS NLD/PUR/2056405</t>
  </si>
  <si>
    <t>MTT-162859</t>
  </si>
  <si>
    <t>BAL LDS NLD/PUR/2056369</t>
  </si>
  <si>
    <t>I161755</t>
  </si>
  <si>
    <t>7065117
7070184
7070188</t>
  </si>
  <si>
    <t>12-Dec-2025
19-Dec-2025
19-Dec-2025</t>
  </si>
  <si>
    <t>116350.00
4154.00
20770.00</t>
  </si>
  <si>
    <t>CGHODUPV3
CGHODUPX3
CGHODUQY4
CGHODUQI4
CGHODUQY4
CGHODUQI4</t>
  </si>
  <si>
    <t>CGHODUPV3 BR-0320-0 MW RADIO:IP-50CX-E-15-420-08W15-H,FREQUENCY BAND:15 GHZ (8W15),TX POWER
CGHODUPX3 BR-0325-0 MW RADIO:IP-50CX-E-15-420-08W15-L,FREQUENCY BAND:15 GHZ (8W15),TX POWER
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t>
  </si>
  <si>
    <t>50
50
2
2
10
10</t>
  </si>
  <si>
    <t>I161717</t>
  </si>
  <si>
    <t>Guadalajara(MXGDL)</t>
  </si>
  <si>
    <t>BAL-ANG-UASL-MUMBAI MAHARASHTRA/
PUR/10005522</t>
  </si>
  <si>
    <t>42J0360738</t>
  </si>
  <si>
    <t>020-41708833</t>
  </si>
  <si>
    <t>42J0360742</t>
  </si>
  <si>
    <t>BAL-ANG-UASL-MUMBAI MAHARASHTRA/
PUR/10005525</t>
  </si>
  <si>
    <t>42J0360743</t>
  </si>
  <si>
    <t>BAL-ANG-UASL-MUMBAI MAHARASHTRA/
PUR/10005521</t>
  </si>
  <si>
    <t>42J0360741</t>
  </si>
  <si>
    <t>BAL-ANG-UASL-MUMBAI MAHARASHTRA/
PUR/10005524</t>
  </si>
  <si>
    <t>42J0360740</t>
  </si>
  <si>
    <t xml:space="preserve">BAL MO Orissa/PUR/38511
BAL MO Orissa/PUR/38420
BAL MO Orissa/PUR/38501
</t>
  </si>
  <si>
    <t>I161719</t>
  </si>
  <si>
    <t>22-01-226</t>
  </si>
  <si>
    <t xml:space="preserve">42J0360739 </t>
  </si>
  <si>
    <t>MH43CE7485</t>
  </si>
  <si>
    <t>OB confirmation mail send dtd. 30-10-2025//pendng  confirmation // revised FTA soft copy dtd.06-01-2026//custom duty  requested dtd.13-01-2026///OOC done dtd. 14-01-2026/Shipment dispatched dtd.22-01-2026  vehicle no.MH43CE7485 mob.6268761639</t>
  </si>
  <si>
    <t>MH43BX1316
MH43BX5808</t>
  </si>
  <si>
    <t>OB confirmation mail send dtd. 14-10-2025//pendng confirmation // revised FTA soft copy received  dtd.02-01-2026//custom duty requested dtd.13-01-2026//OOC done dtd. 14-01-2026//Shipment dispatched dtd.22-01-2026  vehicle no.MH43BX1316  mob.84880 03519. &amp;  vehicle no.MH43BX5808   mob.77382 75289</t>
  </si>
  <si>
    <t>MH04KF0737</t>
  </si>
  <si>
    <t>OB confirmation mail send dtd. 21-11-2025//pending  confirmation // revised FTA  soft  received  dtd.02-01-2026//custom duty reuqested dtd.13-01-2026///OOC done dtd. 14-01-2026///Shipment dispatched dtd.22-01-2026  vehicle no.MH04KF0737 mob.8734997348</t>
  </si>
  <si>
    <t xml:space="preserve">151700    151700 </t>
  </si>
  <si>
    <t>BAL MO Bihar/PUR/48576</t>
  </si>
  <si>
    <t>AAI0035688</t>
  </si>
  <si>
    <t>B0HODUNF3   B0HODUNJ6
B0HODUNF3   B0HODUNJ6</t>
  </si>
  <si>
    <t>50
50
50
50</t>
  </si>
  <si>
    <t>Microwave Radio,Model:IP-50EXA-100-H,Frequency band:80 GHz,Tx Power output:18 dBm,Type:High  Microwave Radio,Model:IP-50EXA-100-L,Frequency band:80 GHz,Tx Power output:18 dBm,Type:Low
Microwave Radio,Model:IP-50EXA-100-H,Frequency band:80 GHz,Tx Power output:18 dBm,Type:High  Microwave Radio,Model:IP-50EXA-100-L,Frequency band:80 GHz,Tx Power output:18 dBm,Type:Low</t>
  </si>
  <si>
    <t>AI2026-0003673</t>
  </si>
  <si>
    <t>AI2026-0003672</t>
  </si>
  <si>
    <t>MH04MR2067</t>
  </si>
  <si>
    <t>custom duty requested dtd.08-01-2026//OOC done dtd.09-01-2026//as per cicle instruction shipment  dispatch with club //Shipment dispatched dtd. 23-01-2026 vehicle no. MH04MR2067 mob,88501 90173</t>
  </si>
  <si>
    <t>IB Boe OOC done dtd.13-01-2026//wpc licence valid upto dtd. 13-05-2026//Duty requested dtd. 19-01-2026//OOC done dtd. 20-01-2026/Shipment dispatched dtd. 23-01-2026 vehicle no. MH04MR2067 mob,88501 90173</t>
  </si>
  <si>
    <t>IB BOE OOC done dtd.07-01-2026 //OB confirmation mail sent dtd. 08-01-2026//wpc lic. Valid upto dtd. 31-05-26 // custom duty requested dtd. 13-01-2026/OOC done dtd. 14-01-2026/Shipment dispatched dtd. 23-01-2026 vehicle no. MH04MR2067 mob,88501 90173</t>
  </si>
  <si>
    <t>IB BOE OOC done dtd.12-01-2026//OB  confirmation mailed send dtd.13-01-2026//Custom duty requested dtd.20-01-2026//OOC done dtd.22-01-2026//ORG . FTA received dtd. 22-01-2026/Shipment dispatched dtd. 23-01-2026 vehicle no. MH04MR2067 mob,88501 90173</t>
  </si>
  <si>
    <t>IB BOE assessed  ,moved to AMEYA CFS  under TP process/IB OOC done dtd.31-12-2025//OB confirmation mail send dtd. 01-01-2026//WPC Licence vaild upto dtd.13-05-2026//Duty requested dtd. 19-01-2026//OOC done dtd. 20-01-2026/Shipment dispatched dtd. 23-01-2026 vehicle no. MH04MR0328  mob,8789771984</t>
  </si>
  <si>
    <t>IB Boe OOC done dtd.13-01-2026//OB confirmation mail sent dtd. 14-01-2026//wpc licence vaild upto dtd. 13-05-2026//Duty requested dtd. 19-01-2026 &amp; paid dtd.20-01-2026//OOC done dtd.21-01-2026/Shipment dispatched dtd. 23-01-2026 vehicle no. MH04MR0328  mob,8789771984</t>
  </si>
  <si>
    <t>IB BOE assessed copy not recceived by icegate .//IB BOE OOC done dtd.13-01-2026///WPC licence valid upto dtd. 13-05-2026/Duty requested dtd. 19-01-2026//OOC done dtd. 20-01-2026/Shipment dispatched dtd. 23-01-2026 vehicle no. MH04MR0328  mob,8789771984</t>
  </si>
  <si>
    <t>IB BOE OOC done dtd.13-01-2026//WPC licence valid upto dtd. 13-05-2026// Duty requested dtd. 19-01-2026  &amp; paid dtd.20-01-2026//OOC done dtd.21-01-2026/Shipment dispatched dtd. 23-01-2026 vehicle no. MH04MR0328  mob,8789771984</t>
  </si>
  <si>
    <t>MH04MR0328</t>
  </si>
  <si>
    <t>BAL-ANG-UASL-Mumbai-Maharashtra/PUR/95454</t>
  </si>
  <si>
    <t>8YY2303</t>
  </si>
  <si>
    <t>CGHODUQY4 BR-0328-0 MW RADIOIP-50CX-E-15-420-08W15-H FB 15 GHZ (8W15)TXP 25 DBM HIGH1+0 UPGRD
CGHODUQI4 BR-0329-0 MW RADIO:IP-50CX-E-15-420-08W15-L,FB15 GHZ (8W15)TXP:25 DBM LOW 1+0 UPGRD</t>
  </si>
  <si>
    <t>BAL MOBihar/PUR/51306</t>
  </si>
  <si>
    <t>7070185
7070186</t>
  </si>
  <si>
    <t>19-12-2025
19-12-2025</t>
  </si>
  <si>
    <t>66,464.00
1038.50</t>
  </si>
  <si>
    <t>CGHODUQY4
CGHODUQI4
CGHODUQY4</t>
  </si>
  <si>
    <t>CGHODUQY4 BR-0328-0 MW RADIOIP-50CX-E-15-420-08W15-H FB 15 GHZ (8W15)TXP 25 DBM HIGH1+0 UPGRD
CGHODUQI4 BR-0329-0 MW RADIO:IP-50CX-E-15-420-08W15-L,FB15 GHZ (8W15)TXP:25 DBM LOW 1+0 UPGRD
CGHODUQY4 BR-0328-0 MW RADIOIP-50CX-E-15-420-08W15-H FB 15 GHZ (8W15)TXP 25 DBM HIGH1+0 UPGRD</t>
  </si>
  <si>
    <t>32
32
1</t>
  </si>
  <si>
    <t>BAL MOBihar/PUR/51391
BAL MOBihar/PUR/51391</t>
  </si>
  <si>
    <t>ECD-26 010129</t>
  </si>
  <si>
    <t>8YY2300</t>
  </si>
  <si>
    <t>8YY2301</t>
  </si>
  <si>
    <t>CGHODUQY4  CGHODUQI4</t>
  </si>
  <si>
    <t>MW RadioIP-50CX-E-15-420-08W15-H FB 15 GHz (8W15)TxP 25 dBm High1+0 Upgrd to XPIC With OMT                      MW Radio:IP-50CX-E-15-420-08W15-L,FB15 GHz (8W15)TxP:25 dBm Low 1+0 Upgrd to XPIC with OMT</t>
  </si>
  <si>
    <t>BAL MO Punjab/PUR/62688</t>
  </si>
  <si>
    <t>SIN76031549</t>
  </si>
  <si>
    <t>BR-0328-0 MW RADIOIP-50CX-E-15-420-08W15-H FB 15 GHZ (8W15)TXP 25 DBM HIGH1+0 UPGRD                 BR-0329-0 MW RADIO:IP-50CX-E-15-420-08W15-L,FB15 GHZ (8W15)TXP:25 DBM LOW 1+0 UPGRD</t>
  </si>
  <si>
    <t xml:space="preserve">SIN76031548 </t>
  </si>
  <si>
    <t xml:space="preserve"> 27-Dec-2025</t>
  </si>
  <si>
    <t xml:space="preserve">CGHODUPX6 </t>
  </si>
  <si>
    <t>BR-0322-0 MW RADIO:IP-50CX-E-18-L-L,FREQ BAND:18 GHZ,TX POWER OUTPUT:24</t>
  </si>
  <si>
    <t xml:space="preserve">SIN76031550 </t>
  </si>
  <si>
    <t xml:space="preserve"> 29-Dec-2025</t>
  </si>
  <si>
    <t xml:space="preserve">CGHODUPI4  CGHODUPY3 </t>
  </si>
  <si>
    <t>IP-50CX-F-23-L-H,23 GHZ (SUB 01),TYPE:HIGH,(1+0 UPGRADABLE TO XPIC WITH OMT)             BR-0310-0 IP-50CX-F-23-L-L,23 GHZ (SUB 01),TYPE:LOW, (1+0 UPGRADABLE TO XPIC WITH OMT)</t>
  </si>
  <si>
    <t>BAL MO Mumbai/PUR/95068</t>
  </si>
  <si>
    <t xml:space="preserve">SIN76031551 </t>
  </si>
  <si>
    <t xml:space="preserve">CGHODUPZ9 </t>
  </si>
  <si>
    <t xml:space="preserve">CGHODUPZ9            CGHODUPX6  </t>
  </si>
  <si>
    <t>BAL MO West Bengal/PUR/78063</t>
  </si>
  <si>
    <t xml:space="preserve">SIN76031541 </t>
  </si>
  <si>
    <t xml:space="preserve">7074342   7074343 </t>
  </si>
  <si>
    <t>58156           12462</t>
  </si>
  <si>
    <t>BR-0321-0 MW RADIO:IP-50CX-E-18-L-H,FREQ BAND:18 GHZ,TX POWER OUTPUT:24                BR-0322-0 MW RADIO:IP-50CX-E-18-L-L,FREQ BAND:18 GHZ,TX POWER OUTPUT:24               R-0322-0 MW RADIO:IP-50CX-E-18-L-L,FREQ BAND:18 GHZ,TX POWER OUTPUT:24</t>
  </si>
  <si>
    <t xml:space="preserve">BR-0321-0 MW RADIO:IP-50CX-E-18-L-H,FREQ BAND:18 GHZ,TX POWER OUTPUT:24                                     BR-0322-0 MW RADIO:IP-50CX-E-18-L-L,FREQ BAND:18 GHZ,TX POWER OUTPUT:24                                 R-0322-0 MW RADIO:IP-50CX-E-18-L-L,FREQ BAND:18 GHZ,TX POWER OUTPUT:24 </t>
  </si>
  <si>
    <t>BAL MO Orissa/PUR/36296</t>
  </si>
  <si>
    <t xml:space="preserve">SIN76031546 </t>
  </si>
  <si>
    <t xml:space="preserve"> 26-Dec-2025</t>
  </si>
  <si>
    <t xml:space="preserve">CGHODUPX4 </t>
  </si>
  <si>
    <t>BR-0327-0 MW RADIO IP-50CX-E-15-420-01W08-H,FB 15 GHZ 1W8 TXP:25 DBM HIGH 1+0 UPGRD</t>
  </si>
  <si>
    <t xml:space="preserve">SIN76031547 </t>
  </si>
  <si>
    <t xml:space="preserve">SIN76031545 </t>
  </si>
  <si>
    <t xml:space="preserve"> 23-Dec-2025</t>
  </si>
  <si>
    <t>BR-0336-0 MICROWAVE RADIO,MODEL:IP-50EXA-100-H,FREQUENCY BAND:80 GHZ,TX POWER                           MICROWAVE RADIO,MODEL:IP-50EXA-100-L,FREQUENCY BAND:80 GHZ,TX POWER</t>
  </si>
  <si>
    <t xml:space="preserve">AAI0035712 </t>
  </si>
  <si>
    <t>MTT-163037</t>
  </si>
  <si>
    <t xml:space="preserve">CFTAQSP28 </t>
  </si>
  <si>
    <t>BAL-TNG-NLD--Delhi/PUR/10003982</t>
  </si>
  <si>
    <t xml:space="preserve">MTT-163039 </t>
  </si>
  <si>
    <t>SFP+10GBASE-LR1</t>
  </si>
  <si>
    <t>SFP+10GBASE-LR10-EXT-TEMP AO-0264-0 XCVR,SFP+,1310NM,SM,10 GBIT/S,10KM,INDUSTRIAL</t>
  </si>
  <si>
    <t>BAL-MO-ROM-MAHARASHTRA/PUR/10020175</t>
  </si>
  <si>
    <t xml:space="preserve">8YY2302 </t>
  </si>
  <si>
    <t>MTT-163038</t>
  </si>
  <si>
    <t xml:space="preserve">B0HODUNF3    B0HODUNJ6 </t>
  </si>
  <si>
    <t>BAL MO Gujarat/PUR/51842</t>
  </si>
  <si>
    <t xml:space="preserve">AAI0035709 </t>
  </si>
  <si>
    <t>R-0321-0 MW RADIO:IP-50CX-E-18-L-H,FREQ BAND:18 GHZ,TX POWER OUTPUT:24         BR-0322-0 MW RADIO:IP-50CX-E-18-L-L,FREQ BAND:18 GHZ,TX POWER OUTPUT:24</t>
  </si>
  <si>
    <t xml:space="preserve">I161456 </t>
  </si>
  <si>
    <t xml:space="preserve">AAI0035708 </t>
  </si>
  <si>
    <t xml:space="preserve">AAI0035707 </t>
  </si>
  <si>
    <t xml:space="preserve"> 24-Sep-2025</t>
  </si>
  <si>
    <t xml:space="preserve">CGHODUPA5     CGHODUPC3 </t>
  </si>
  <si>
    <t>R-0304-0 MW RADIO:IP-50CX-E-18-L-H,FREQUENCY BAND:18 GHZ,TX POWER OUTPUT:24                 R-0305-0 MW RADIO:IP-50CX-E-18-L-L,FREQUENCY BAND:18 GHZ,TX POWER OUTPUT:24</t>
  </si>
  <si>
    <t>BAL MO Haryana-Haryana/PUR/10009815</t>
  </si>
  <si>
    <t xml:space="preserve">8YY2314 </t>
  </si>
  <si>
    <t>BR-0321-0 MW RADIO:IP-50CX-E-18-L-H,FREQ BAND:18 GHZ,TX POWER OUTPUT:24       MW RADIO:IP-50CX-E-18-L-L,FREQ BAND:18 GHZ,TX POWER OUTPUT:24</t>
  </si>
  <si>
    <t>BAL MO Mumbai/PUR/95454</t>
  </si>
  <si>
    <t>8YY2304</t>
  </si>
  <si>
    <t>WL5E MOTRCARD 4X100G CAPACITY LICENSE 2000KM REACH LICENSE (C BAND) NTK540BD-F</t>
  </si>
  <si>
    <t>WAVESERVER WL5E 2X800G C-BAND PREMIUM 16XQSFP28/QSFP-DD MODULE (186-3101-901)</t>
  </si>
  <si>
    <t>2077  4154           10385</t>
  </si>
  <si>
    <t xml:space="preserve">CGHODUPZ9            CGHODUPX6    CGHODUQY4   CGHODUQI4            CGHODUPX4            CGHODUPX2 </t>
  </si>
  <si>
    <t>R-0321-0 MW RADIO:IP-50CX-E-18-L-H,FREQ BAND:18 GHZ,TX POWER OUTPUT:24         BR-0322-0 MW RADIO:IP-50CX-E-18-L-L,FREQ BAND:18 GHZ,TX POWER OUTPUT:24             R-0328-0 MW RADIOIP-50CX-E-15-420-08W15-H FB 15 GHZ (8W15)TXP 25 DBM HIGH1+0 UPGRD                  BR-0329-0 MW RADIO:IP-50CX-E-15-420-08W15-L,FB15 GHZ (8W15)TXP:25 DBM LOW 1+0 UPGRD               BR-0327-0 MW RADIO IP-50CX-E-15-420-01W08-H,FB 15 GHZ 1W8 TXP:25 DBM HIGH 1+0 UPGRD                R-0326-0 MW RADIOIP-50CX-E-15-420-01W08-L,FB 15 GHZ 1W8 TXP 25 DBM LOW 1+0 UPGRD TO</t>
  </si>
  <si>
    <t>BAL MO Haryana-Haryana/PUR/10010212</t>
  </si>
  <si>
    <t xml:space="preserve">8YY2316 </t>
  </si>
  <si>
    <t xml:space="preserve">P-50CX-F-23-L-H,23 GHZ (SUB 01),TYPE:HIGH,(1+0 UPGRADABLE TO XPIC WITH OMT    R-0310-0 IP-50CX-F-23-L-L,23 GHZ (SUB 01),TYPE:LOW, (1+0 UPGRADABLE TO XPIC WITH OMT) </t>
  </si>
  <si>
    <t xml:space="preserve">8YY2305 </t>
  </si>
  <si>
    <t xml:space="preserve">CGHODUPZ9   CGHODUPX6      </t>
  </si>
  <si>
    <t>R-0321-0 MW RADIO:IP-50CX-E-18-L-H,FREQ BAND:18 GHZ,TX POWER OUTPUT:24      BR-0322-0 MW RADIO:IP-50CX-E-18-L-L,FREQ BAND:18 GHZ,TX POWER OUTPUT:24</t>
  </si>
  <si>
    <t>BAL MO Mumbai/PUR/96256</t>
  </si>
  <si>
    <t>8YY2306</t>
  </si>
  <si>
    <t xml:space="preserve">CGHODUPZ9    </t>
  </si>
  <si>
    <t>BAL MO Orissa/PUR/38557</t>
  </si>
  <si>
    <t xml:space="preserve">8YY2309 </t>
  </si>
  <si>
    <t xml:space="preserve">BR-0321-0 MW RADIO:IP-50CX-E-18-L-H,FREQ BAND:18 GHZ,TX POWER OUTPUT:24       </t>
  </si>
  <si>
    <t>BAL MO Orissa/PUR/38512</t>
  </si>
  <si>
    <t>8YY2308</t>
  </si>
  <si>
    <t xml:space="preserve"> 18-Dec-2025</t>
  </si>
  <si>
    <t>BAL MO West Bengal/PUR/80817</t>
  </si>
  <si>
    <t>8YY2307</t>
  </si>
  <si>
    <t xml:space="preserve">CGHODUPX1     CGHODUPV2  </t>
  </si>
  <si>
    <t>BR-0318-0 MW RADIO:IP-50CX-E-15-420-01W08-H,FREQUENCY BAND:15 GHZ (1W8),TX POWER</t>
  </si>
  <si>
    <t>BAL-MO-HARYANA-HARYANA/PUR/10009614</t>
  </si>
  <si>
    <t xml:space="preserve">8YY2315 </t>
  </si>
  <si>
    <t xml:space="preserve">CGHODUPZ9        CGHODUPX6 </t>
  </si>
  <si>
    <t>BAL-MO-HARYANA-HARYANA/PUR/10010284</t>
  </si>
  <si>
    <t>8YY2317</t>
  </si>
  <si>
    <t xml:space="preserve">CGHODUPZ9    CGHODUPX6 </t>
  </si>
  <si>
    <t>BR-0321-0 MW RADIO:IP-50CX-E-18-L-H,FREQ BAND:18 GHZ,TX POWER OUTPUT:2</t>
  </si>
  <si>
    <t>BAL MO Orissa/PUR/38420</t>
  </si>
  <si>
    <t>SIN76031554</t>
  </si>
  <si>
    <t xml:space="preserve">CGHODUPX6  </t>
  </si>
  <si>
    <t>BAL-MO-HARYANA-HARYANA/PUR/10010295</t>
  </si>
  <si>
    <t xml:space="preserve">8YY2318 </t>
  </si>
  <si>
    <t xml:space="preserve">B0HODUNF3  
 B0HODUNJ6
</t>
  </si>
  <si>
    <t xml:space="preserve">CGHODUPX4
  CGHODUPX2 </t>
  </si>
  <si>
    <t xml:space="preserve">BR-0327-0 MW RADIO IP-50CX-E-15-420-01W08-H,FB 15 GHZ 1W8 TXP:25 DBM HIGH 1+0 UPGRD       
       R-0326-0 MW RADIOIP-50CX-E-15-420-01W08-L,FB 15 GHZ 1W8 TXP 25 DBM LOW 1+0 UPGRD TO </t>
  </si>
  <si>
    <t>ECD-26 010143</t>
  </si>
  <si>
    <t>ECD-26 010146</t>
  </si>
  <si>
    <t>ECD-26 010145</t>
  </si>
  <si>
    <t>ECD-26 010144</t>
  </si>
  <si>
    <t>AI2026-0004916</t>
  </si>
  <si>
    <t>AI2026-0004915</t>
  </si>
  <si>
    <t>CFTAHWS03 WAVESERVER WL5E 2X800G C-BAND PREMIUM 16XQSFP28/QSFP-DD MODULE (186-3101-901)</t>
  </si>
  <si>
    <t>BAL-TNG-NLD--Delhi/PUR/2055955</t>
  </si>
  <si>
    <t>AI2026-0005768</t>
  </si>
  <si>
    <t>GJ 02 XX 9735</t>
  </si>
  <si>
    <t>IB BOE assessed  copy received dtd.08-01-2026 &amp; under TP process //IB BOE OOC done dtd. 09-01-2026 //OB confirmation mail sent dtd. 10-01-2026///Custom duty  paid and OOC dtd..23-01-2026//Shipment dispatched dtd.24-01-2026 vehicle no.GJ 02 XX 9735 mob no.91 9998791404</t>
  </si>
  <si>
    <t>IB BOE OOC done dtd.12-01-2026//OB  confirmation mailed send dtd.13-01-2026//Custom duty  paid and OOC dtd..23-01-2026 /Shipment dispatched dtd.24-01-2026 vehicle no.GJ 02 XX 9735 mob no.91 9998791404</t>
  </si>
  <si>
    <t>MH04KU7502</t>
  </si>
  <si>
    <t>IB BOE  OOC done dtd.20-01-2026//Custom duty  paid and OOC dtd..23-01-2026//Shipment dispatched ddd.24-01-2026 vehilce no. MH04KU7502 mob. No.7357128606</t>
  </si>
  <si>
    <t>MH04LE3595</t>
  </si>
  <si>
    <t>//IB BOE OOC done dtd.03-01-2026//Duty requested dtd. 19-01-2026//OOC done dtd. 20-01-2026///Shipment dispatched dtd.29-01-2026 vehilce no.  MH04LE3595 mob.918791453012</t>
  </si>
  <si>
    <t>IB BOE OOC done dtd.19-01-2026//Custom duty  paid and OOC dtd..23-01-2026//Shipment dispatched dtd.29-01-2026 vehilce no.  MH04LE3595 mob.918791453012</t>
  </si>
  <si>
    <t>IB BOE  OOC done dtd.16-01-2026//Custom duty  paid and OOC dtd..23-01-2026//Shipment dispatched dtd.29-01-2026 vehilce no.  MH04LE3595 mob.918791453012</t>
  </si>
  <si>
    <t>IB BOE  OOC done dtd.20-01-2026////Custom duty  paid and OOC dtd..23-01-2026//Shipment dispatched dtd.29-01-2026 vehilce no.  MH04LE3595 mob.918791453012</t>
  </si>
  <si>
    <t>IB BOE  OOC done dtd.14-01-2026//Duty requested dtd. 19-01-2026 &amp; paid dtd.20-01-2026//OOC done dtd.21-01-2026//Shipment dispatched dtd. 24-01-2026 vehicle no.MH04KF7352  m.919783615486</t>
  </si>
  <si>
    <t>IB BOE  OOC done dtd.16-01-2026//Custom duty  paid and OOC dtd..23-01-2026//Shipment dispatched dtd. 24-01-2026 vehicle no.MH04KF7352  m.919783615486</t>
  </si>
  <si>
    <t>IB BOE  OOC done dtd.16-01-2026//Custom duty  paid and OOC dtd..23-01-2026///Shipment dispatched dtd. 24-01-2026 vehicle no.MH04KF7352  m.919783615486</t>
  </si>
  <si>
    <t>MH04LE8345</t>
  </si>
  <si>
    <t>IB BOE  OOC done dtd.16-01-2026//Custom duty  paid and OOC dtd..23-01-2026//Shipment dispatched vehicle no.MH04LE8345 mob.919671794878</t>
  </si>
  <si>
    <t>IB BOE  OOC done dtd.19-01-2026//Custom duty  paid and OOC dtd..23-01-2026//Shipment dispatched vehicle no.MH04LE8345 mob.919671794878</t>
  </si>
  <si>
    <t>IB BOE OOC done dtd.31-12-2025 //WPC licence valid upto dtd.07.05.2026//  revised FTA soft copy received dtd.02-01-2026//Custom duty requested dtd. 13-01-2026///OOC done dtd. 14-01-2026/Shipment dispatched dtd.22-01-2026  vehicle no.MH43CE7485   mob.6268761639</t>
  </si>
  <si>
    <t>NL01AH2436</t>
  </si>
  <si>
    <t>7049119
7049120
7049121</t>
  </si>
  <si>
    <t xml:space="preserve"> 27-Nov-2025
 01-Dec-2025
 02-Dec-2025</t>
  </si>
  <si>
    <t>16616.00
4154.00
2077.00</t>
  </si>
  <si>
    <t>CGHODUPX2
CGHODUPX4
CGHODUQY4
CGHODUQI4
CGHODUPX6
CGHODUPZ9</t>
  </si>
  <si>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</si>
  <si>
    <t>8
8
2
2
1
1</t>
  </si>
  <si>
    <t>8YY2323</t>
  </si>
  <si>
    <t xml:space="preserve"> CGHODUPV3  BR-0320-0 MW RADIO:IP-50CX-E-15-420-08W15-H,FREQUENCY BAND:15 GHZ (8W15),TX POWER
CGHODUPX3  BR-0325-0  MW RADIO:IP-50CX-E-15-420-08W15-L,FREQUENCY BAND:15 GHZ (8W15),TX POWER</t>
  </si>
  <si>
    <t>BAL MO Punjab/PUR/63012</t>
  </si>
  <si>
    <t>8YY2324</t>
  </si>
  <si>
    <t>CGHODUPX1 BR-0318-0 MW RADIO:IP-50CX-E-15-420-01W08-H,FREQUENCY BAND:15 GHZ (1W8),TX POWER
 CGHODUPV2 BR-0319-0 MW RADIO:IP-50CX-E-15-420-01W08-L,FREQUENCY BAND:15 GHZ (1W8),TX POWER</t>
  </si>
  <si>
    <t>8YY2325</t>
  </si>
  <si>
    <t xml:space="preserve"> CGHODUPZ9  BR-0321-0  MW RADIO:IP-50CX-E-18-L-H,FREQ BAND:18 GHZ,TX POWER OUTPUT:24
 CGHODUPX6 BR-0322-0 MW RADIO:IP-50CX-E-18-L-L,FREQ BAND:18 GHZ,TX POWER OUTPUT:24</t>
  </si>
  <si>
    <t>618-49698600</t>
  </si>
  <si>
    <t>8YY2337</t>
  </si>
  <si>
    <t>BAL MO  Punjab/PUR/63633
BAL MO  Punjab/PUR/63633
BAL MO  Punjab/PUR/63633</t>
  </si>
  <si>
    <t>OB confirmation mail send dtd. 21-11-2025 &amp;confirmation confirm dtd. 15-12-2025//pending FORM I // revised FTA  soft copy received dtd.02-01-2026//custom duty requested dtd.12-01-2026 &amp; paid 13-01-2026////OOC done dtd. 14-01-2026//shpment dispatched dtd.24-01-2026 vehicle no. NL01AH-2436  mob. 9610329215,</t>
  </si>
  <si>
    <t>OB confirmation mail send dtd. 21-11-2025  &amp; confirmation confirm dtd. 15-12-2025//pending FORM I // revised FTA soft copy  received dtd.02-01-2026//custom duty requested  dtd. 12-01-2026//OOC  done dtd.13-01-2026/shpment dispatched dtd.24-01-2026 vehicle no. NL01AH-2436  mob. 9610329215,</t>
  </si>
  <si>
    <t>OB confirmation mail send dtd. 21-11-2025  &amp; confirmation confirm dtd. 15-12-2025 // revised FTA  soft copy  received dtd.02-01-2026//custom duty requested dtd. 13-01-2026/OOC done dtd. 14-01-2026/shpment dispatched dtd.24-01-2026 vehicle no. NL01AH-2436  mob. 9610329215,</t>
  </si>
  <si>
    <t>OB confirmation mail send dtd. 21-11-2025//confirmation confirm dtd. 15-12-2025// revised FTA  soft copy received dtd.02-01-2026 //custom duty requested dtd.13-01-2026//OOC done dtd. 14-01-2026 /shpment dispatched dtd.24-01-2026 vehicle no. NL01AH-2436  mob. 9610329215,</t>
  </si>
  <si>
    <t>OB confirmation mail send dtd. 21-11-2025 &amp;confirmation confirm dtd. 15-12-2025//pending FORM I// revised FTA soft copy received dtd.02-01-2026//custom duy requested dtd. 12-01-2026/OOC dtd.14-01-2026/shpment dispatched dtd.24-01-2026 vehicle no. NL01AH-2436  mob. 9610329215,</t>
  </si>
  <si>
    <t>IB BOE OOC done dtd.31-12-2025s/ // revised FTA SOFT copy received dtd. 02-01-2026//WPC licence valid upto dtd.11-03-2026//custom duty requested dtd.12-01-2026///OOC  done dtd.13-01-2026///shpment dispatched dtd.24-01-2026 vehicle no. NL01AH-2436  mob. 9610329215,</t>
  </si>
  <si>
    <t>MH14MY2437</t>
  </si>
  <si>
    <t>OB confirmation mail send dtd. 30-10-2025 //pending FORM I &amp; confirmation // revised FTA soft copy received dtd.06-01-2026/Custom duty requested dtd.14-01-2026 &amp; paid 16-01-2026 //OOC done dtd. 17-01-2026//Shipment dispatched dtd.27-01-2026  vehicle no.MH14MY2437 mob.7066762100</t>
  </si>
  <si>
    <t>ob confirmation mail send dtd. 31-10-2025//pending FORM I&amp; confirmation // revised FTA SOFT COPY DTD.06-01-26//custom duty requested dtd.14-01-2026&amp; paid 16-01-2026 //OOC done dtd. 17-01-2026/Shipment dispatched dtd.27-01-2026  vehicle no.MH14MY2437 mob.7066762100</t>
  </si>
  <si>
    <t>ob confirmation mail send dtd. 31-10-2025//pending FORM I &amp; confirmation // revised FTA sot copy dtd.06-01-2026//custom duty requested dtd.14-01-2026&amp; paid 16-01-2026 //OOC done dtd. 17-01-2026/Shipment dispatched dtd.27-01-2026  vehicle no.MH14MY2437 mob.7066762100</t>
  </si>
  <si>
    <t>ob confirmation mail send dtd. 31-10-2025//pending FORM I &amp; confirmation // revised FTA soft copy dtd.06-01-2026//custom duty requested dtd.14-01-2026&amp; paid 16-01-2026 //OOC done dtd. 17-01-2026/Shipment dispatched dtd.27-01-2026  vehicle no.MH14MY2437 mob.7066762100</t>
  </si>
  <si>
    <t>21-01-206</t>
  </si>
  <si>
    <t>IB BOE OOC done dtd.19-01-2026//Custom duty requested dtd.27-01-2026//OOC done dtd. 28-01-2026//shipment dispatched dtd. 29-01-2026 vehicle no. MH46BU9801  mob.+91 70067 71524</t>
  </si>
  <si>
    <t>JB-2026-AI-21-000265</t>
  </si>
  <si>
    <t>custom duty requested dtd. 22-01-2026 &amp;paid 23-01-2026//OOC done dtd.29-01-2026//Shipment dispatched dtd. 30-01-2026 vehicle no. MH03CP8728  mob no.7021883595</t>
  </si>
  <si>
    <t>/custom duty requested dtd. 22-01-2026 &amp;paid 23-01-2026//OOC done dtd.29-01-2026//Shipment dispatched dtd. 30-01-2026 vehicle no. MH03CP8728  mob no.7021883595</t>
  </si>
  <si>
    <t>JB-2026-AI-21-000276</t>
  </si>
  <si>
    <t>JB-2026-AI-21-000256</t>
  </si>
  <si>
    <t>JB-2026-AI-21-000251</t>
  </si>
  <si>
    <t>JB-2026-AI-21-000264</t>
  </si>
  <si>
    <t>JB-2026-AI-21-000263</t>
  </si>
  <si>
    <t>JB-2026-AI-21-000252</t>
  </si>
  <si>
    <t>JB-2026-AI-21-000315</t>
  </si>
  <si>
    <t>JB-2026-AI-21-000259</t>
  </si>
  <si>
    <t>176-21173563</t>
  </si>
  <si>
    <t>8YY2349</t>
  </si>
  <si>
    <t>IB BOE assessed  ,moved to AMEYA CFS  under TP process//IB OOC done dtd. 06-01-2026//Custom duty requested dtd .27-01-2026//OOC done  dtd.29-01-2026//Shipment dispatched dtd. 02-02-2026  vehicle no. MH04KU7503 mob.919785945852</t>
  </si>
  <si>
    <t>IB BOE  OOC done dtd.13-01-2026/Custom duty requested dtd .27-01-2026///OOC done  dtd.29-01-2026//Shipment dispatched dtd. 02-02-2026  vehicle no. MH04JK1638  mob.919354151224</t>
  </si>
  <si>
    <t>IB BOE OOC done dtd.12-01-2026//OB  confirmation mailed send dtd.13-01-2026//ORG . FTA  received dtd.22-01-2026/Custom duty requested dtd .27-01-2026//OOC done dtd. 29-01-2026//Shipment dispatched dtd. 02-02-2026  vehicle no. MH04JK1638  mob.919354151224</t>
  </si>
  <si>
    <t>IB BOE OOC done dtd.12-01-2026//OB  confirmation mailed send dtd.13-01-2026/Custom duty requested dtd .27-01-2026//OOC done  dtd.29-01-2026//Shipment dispatched dtd. 02-02-2026  vehicle no. MH04JK1638  mob.919354151224</t>
  </si>
  <si>
    <t xml:space="preserve">7049136  
7049134       
7049133 </t>
  </si>
  <si>
    <t xml:space="preserve">7069173    
7071332 </t>
  </si>
  <si>
    <t xml:space="preserve">7091377        
 7091378   </t>
  </si>
  <si>
    <t>22-01-2026
22-01-2026</t>
  </si>
  <si>
    <t>145390
24924</t>
  </si>
  <si>
    <t>CGHODUQY4            CGHODUQI4
CGHODUQY4            CGHODUQI4</t>
  </si>
  <si>
    <t>CGHODUQY4 BR-0328-0 MW RADIOIP-50CX-E-15-420-08W15-H FB 15 GHZ (8W15)TXP 25 DBM HIGH1+0 
CGHODUQI4 BR-0329-0 MW RADIO:IP-50CX-E-15-420-08W15-L,FB15 GHZ (8W15)TXP:25 DBM LOW 1+0 UPGRD</t>
  </si>
  <si>
    <t>70
70
12
12</t>
  </si>
  <si>
    <t>3418365MHTH1126
3418139MHTH1127</t>
  </si>
  <si>
    <t xml:space="preserve"> 30-Jan-2026
 30-Jan-2026</t>
  </si>
  <si>
    <t>101369.00
55237.00</t>
  </si>
  <si>
    <t>BAL-MO-ROM-Maharashtra/PUR/10026815
BAL-MO-ROM-Maharashtra/PUR/10026508</t>
  </si>
  <si>
    <t>Shipment already landed //invoice and awb amendmend //revised PRE ALERT document received dtd.31-12-2025//IB OOC done dtd.02-01-2026///AIFTA  CONSINGEE ADDRESS WRONG //Org  FTA received dtd.24-01-2026</t>
  </si>
  <si>
    <t>7074491  
7074492</t>
  </si>
  <si>
    <t>7086446
7086447</t>
  </si>
  <si>
    <t>27-Jan-2026
27-Jan-2026</t>
  </si>
  <si>
    <t>145390.00
31155.00</t>
  </si>
  <si>
    <t xml:space="preserve">CGHODUPX4
CGHODUPX2
CGHODUPX4
CGHODUPX2
</t>
  </si>
  <si>
    <t>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t>
  </si>
  <si>
    <t>BAL MO Gujarat/PUR/52498
BAL MO Gujarat/PUR/52498</t>
  </si>
  <si>
    <t>8YY2364</t>
  </si>
  <si>
    <t>7086442
7086443</t>
  </si>
  <si>
    <t>62310.00
20770.00</t>
  </si>
  <si>
    <t>CGHODUPX4 BR-0327-0 MW RADIO IP-50CX-E-15-420-01W08-H,FB 15 GHZ 1W8 TXP:25 DBM HIGH 1+0 UPGRD
CGHODUPX2 BR-0326-0 MW RADIOIP-50CX-E-15-420-01W08-L,FB 15 GHZ 1W8 TXP 25 DBM LOW 1+0 UPGRD
CGHODUQY4 BR-0328-0 MW RADIOIP-50CX-E-15-420-08W15-H FB 15 GHZ (8W15)TXP 25 DBM HIGH1+0
CGHODUQI4 BR-0329-0 MW RADIO:IP-50CX-E-15-420-08W15-L,FB15 GHZ (8W15)TXP:25 DBM LOW 1+0</t>
  </si>
  <si>
    <t>30
30
10
10</t>
  </si>
  <si>
    <t>BAL-MO-HARYANA-HARYANA/PUR/10010401
BAL-MO-HARYANA-HARYANA/PUR/10010401</t>
  </si>
  <si>
    <t>8YY2363</t>
  </si>
  <si>
    <t>IB BOE  OOC done dtd.16-01-2026//Custom duty requested dtd. 27-01-2026 //OOC done dtd. 28-01-2026 //shipment dispatched dtd. 04-02-2026 vehicle no. MH04LE8349 mob.918168871518</t>
  </si>
  <si>
    <t>IB BOE OOC done dtd.19-01-2026/Custom duty requested dtd. 27-01-2026 //OOC done dtd. 28-01-2026 //shipment dispatched dtd. 04-02-2026 vehicle no. MH04LE8349 mob.918168871518</t>
  </si>
  <si>
    <t>IB BOE OOC done dtd. 22-01-2026//custom duty requested dtd. 02-02-2026/OOC done dtd. 03-02-2026//shipment dispatched dtd. 04-02-2026 vehicle no. MH04LE8349 mob.918168871518</t>
  </si>
  <si>
    <t>MH04LE0833</t>
  </si>
  <si>
    <t>IB BOE   OOC done dtd.21-01-2026 /OB BOE filed and Custom duty requested dtd .30-01-2026///OOC done dtd.31-01-2026 //Shipment dispatched dtd. 04-02-2026 vehicle no.MH04LE0833 mob.919813811363</t>
  </si>
  <si>
    <t>IB BOE   OOC done dtd.21-01-2026 /OB BOE filed and Custom duty requested dtd .30-01-2026//OOC OOC done dtd.31-01-2026 //Shipment dispatched dtd. 04-02-2026 vehicle no.MH04LE0833 mob.919813811363</t>
  </si>
  <si>
    <t>MH04MR3649</t>
  </si>
  <si>
    <t>IB BOE OOC done dtd.30-01-2026//custom duty requested dtd. 03-02-2026//OOC done dtd.04-02-2026//shipment dispatched dtd. 04-02-2026 vehicle no.MH04MR3649 mob..  063603 20496</t>
  </si>
  <si>
    <t>IB BOE OOC done dtd.30-01-2026 // Custom duty requested dtd.03-02-2026//OOC done dtd.04-02-2026//shipment dispatched dtd. 04-02-2026 vehicle no.MH04MR3649 mob..  063603 20496</t>
  </si>
  <si>
    <t>IB BOE OOC done dtd.30-01-2026  //custom duty requested dtd. 03-02-2026//OOC done dtd.04-02-2026//shipment dispatched dtd. 04-02-2026 vehicle no.MH04MR3649 mob..  063603 20496</t>
  </si>
  <si>
    <t>IB BOE OOC done dtd.31-01-2026 //custom duty requested dtd. 03-02-2026///OOC done dtd.04-02-2026//shipment dispatched dtd. 04-02-2026 vehicle no.MH04MR3649 mob..  063603 20496</t>
  </si>
  <si>
    <t>MH04MR1995</t>
  </si>
  <si>
    <t>IB BOE OOC done dtd.30-01-2026 // Custom duty requested dtd.03-02-2026//OOC done dtd.04-02-2026//Shipment dispatched dtd.04-02-2026 vehicle no. MH04MR1995 mob.096936 05760</t>
  </si>
  <si>
    <t>IB BOE OOC done dtd.31-01-2026 //custom duty requested dtd. 03-02-2026//OOC done dtd.04-02-2026//Shipment dispatched dtd.04-02-2026 vehicle no. MH04MR1995 mob.096936 05760</t>
  </si>
  <si>
    <t>IB BOE OOC done dtd.31-01-2026 //Custom duty requested dtd. 03-02-2026////OOC done dtd.04-02-2026//Shipment dispatched dtd.04-02-2026 vehicle no. MH04MR1995 mob.096936 05760</t>
  </si>
  <si>
    <t>revised PRE ALERT document received dtd.31-12-2025/AIFTA  CONSINGEE ADDRESS WRONG //IB OOC done dtd.02-01-2026//ORG. FTA received dtd.24-01-2026</t>
  </si>
  <si>
    <t>CGHODUPX4 BR-0327-0 MW RADIO IP-50CX-E-15-420-01W08-H,FB 15 GHZ 1W8 TXP:25 DBM HIGH 1+0 UPGRD
CGHODUPX2 BR-0326-0 MW RADIOIP-50CX-E-15-420-01W08-L,FB 15 GHZ 1W8 TXP 25 DBM LOW 1+0 UPGRD</t>
  </si>
  <si>
    <t>CGHODUQY4            CGHODUQI4</t>
  </si>
  <si>
    <t xml:space="preserve">Hexacom MO Rajasthan/PUR/69408
</t>
  </si>
  <si>
    <t xml:space="preserve">SIN76031715 </t>
  </si>
  <si>
    <t>IB BOE OOC done dtd.30-01-2026 //custom duty requested dtd. 03-02-2026 &amp; paid dtd. 04-02-2026 //OOC  done dtd. 04-02-2026//Shipment dispatched dtd. 06-02-2026 vehicle no.MH04MR0328 m.8789771984</t>
  </si>
  <si>
    <t>IB BOE OOC done dtd.30-01-2026 //custom duty requested dtd. 04-02-2026/OOC done dtd. 05-02-2026/Shipment dispatched dtd. 06-02-2026 vehicle no.MH04MR0328 m.8789771984</t>
  </si>
  <si>
    <t>176-22274092</t>
  </si>
  <si>
    <t>8YY2374</t>
  </si>
  <si>
    <t>Final awb  received dtd. 04-02-2026 ///Custom duty requested dtd.04-02-2026//OOC done dtd. 05-02-2026//Shipment dispatched dtd. 06-02-2026 vehicle no. MH12SF6505  mob.9623453834</t>
  </si>
  <si>
    <t xml:space="preserve">MH12SF6505 </t>
  </si>
  <si>
    <t>IB BOE OOC done dtd.31-01-2026 //custom duty requested dtd. 04-02-2026 &amp; paid dtd. 05-02-2026 //OOC done dtd. 06-02-2026////Shipment dispatched by air lift dtd. 06-02-2026</t>
  </si>
  <si>
    <t>IB BOE OOC done dtd.31-01-2026 //custom duty requested dtd. 04-02-2026//OOC done dtd. 05-02-2026//Shipment dispatched by air lift dtd. 06-02-2026</t>
  </si>
  <si>
    <t>IB BOE OOC done dtd.31-01-2026  //custom duty requested dtd. 04-02-2026/OOC done dtd. 05-02-2026//Shipment dispatched by air lift dtd. 06-02-2026</t>
  </si>
  <si>
    <t>IB BOE OOC done dtd.31-01-2026//custom duty requested dtd.04-02-2026/OOC done dtd. 05-02-2026//Shipment dispatched by air lift dtd. 06-02-2026</t>
  </si>
  <si>
    <t>/IB BOE OOC done dtd.30-12-2025//OB confirmation mail send dtd. 03-02-2025 // wpc licence valid upto dtd.07-05-2026</t>
  </si>
  <si>
    <t>Guadalajara(MXGDL</t>
  </si>
  <si>
    <t>BAL-ANG-UASL-MUMBAI MAHARASHTRA/
PUR/10005102</t>
  </si>
  <si>
    <t>020-41697401</t>
  </si>
  <si>
    <t>42J0367840</t>
  </si>
  <si>
    <t>BAL-ANG-UASL-MUMBAI  MAHARASHTRA/
PUR/10005586</t>
  </si>
  <si>
    <t>42J0367844</t>
  </si>
  <si>
    <t>3418385TSTH1135
3418140TSTH1136</t>
  </si>
  <si>
    <t>06-02-2026
06-02-2026</t>
  </si>
  <si>
    <t>37634.00
4856.00</t>
  </si>
  <si>
    <t>BAL-MO-AP-Telangana/PUR/10020681
BAL-MO-AP-Telangana/PUR/10020278</t>
  </si>
  <si>
    <t xml:space="preserve">217-08128805 </t>
  </si>
  <si>
    <t>OB BOE custom duty requested  dtd 12.01.2026 // duty paid  dtd.05-02-2026//OOC  done dtd.07-02-2026//Shipment dispatched dtd.09-02-2026 vehicle no. MH14HU3795 mob.9559141479</t>
  </si>
  <si>
    <t>IB BOE OOC done dtd.19-01-2026//custom duty requested dtd. 02-02-2026 &amp; paid dtd. 03-02-2026//OOC done dtd.04-02-2026//Shipment dispatched dtd.09-02-2026 vehicle no. MH14HU3795 mob.9559141479</t>
  </si>
  <si>
    <t>IB BOE OOC done dtd. 22-01-2026//custom duty requested dtd. 02-02-2026 &amp; paid dtd. 03-02-2026//OOC done dtd.04-02-2026//Shipment dispatched dtd.09-02-2026 vehicle no. MH14HU3795 mob.9559141479</t>
  </si>
  <si>
    <t xml:space="preserve">IB BOE OOC done dtd.24-01-2026//soft copy of FTA received dtd. 26-01-2026//wpc licence not applicalbe //custom duty requested dtd.05-02-2026//OOC done dtd. 06-2-2026//Shipment dispatched dtd. 09-02-2026 by AIR </t>
  </si>
  <si>
    <t>IB BOE assessed  ,moved to AMEYA CFS  under TP process/IB OOC done dtd.31-12-2025//OB confirmation mail send dtd. 01-01-2026//FORM I received dtd. 09-02-2026//wpc licence valid upto dtd.07-05-2026//</t>
  </si>
  <si>
    <t>1037352
1037353
1037354</t>
  </si>
  <si>
    <t>01-Feb-2026
01-Feb-2026
01-Feb-2026</t>
  </si>
  <si>
    <t>42560.00
27968.00
1216.00</t>
  </si>
  <si>
    <t>ON322783
ON322783 
ON322783</t>
  </si>
  <si>
    <t xml:space="preserve">ELE001201 - OTP10T_ALLM(XCVR FOPTUNABLE DWDM 10GBS SFP+ 80KM LIMITING TRANSCEIVER ITEM CODE
ELE001201 - OTP10T_ALLM(XCVR FOPTUNABLE DWDM 10GBS SFP+ 80KM LIMITING TRANSCEIVER ITEM CODE
ELE001201 - OTP10T_ALLM(XCVR FOPTUNABLE DWDM 10GBS SFP+ 80KM LIMITING TRANSCEIVER ITEM CODE </t>
  </si>
  <si>
    <t>70
46
2</t>
  </si>
  <si>
    <t>BAL LDS NLD/PUR/2056555
BAL LDS NLD/PUR/2056555
BAL LDS NLD/PUR/2056565</t>
  </si>
  <si>
    <t>SBKK00489532</t>
  </si>
  <si>
    <t xml:space="preserve">ANIL MANTRA </t>
  </si>
  <si>
    <t>ELE001201 - OTP10T_ALLM(XCVR FOPTUNABLE DWDM 10GBS SFP+ 80KM LIMITING TRANSCEIVER ITEM CODE</t>
  </si>
  <si>
    <t>H873515</t>
  </si>
  <si>
    <t>HR61F9627</t>
  </si>
  <si>
    <t>IB BOE OOC done dtd.31-01-2026//wpc licence not applicalbe ///Custom duty requested dtd.05-02-2026 &amp; paid dtd. 06-02-2026//OOC done dtd.07-02-2026//Shipment dispatched dtd.10-02-2026 vehicle no. HR61F9627 mob.919205423792</t>
  </si>
  <si>
    <t>IB BOE OOC done dtd.31-01-2026//wpc licence not applicalbe /// Custom duty requested dtd. 05-02-2026//OOC done dtd. 06-02-2026//Shipment dispatched dtd.10-02-2026 vehicle no. HR61F9627 mob.919205423792</t>
  </si>
  <si>
    <t>WB11F 8610</t>
  </si>
  <si>
    <t>IB BOE OOC done dtd.30-01-2026//cusotm duty  requested dtd.04-02-2026/OOC done dtd. 05-02-2026//Shipment dispatched dtd.10-02-2026 vehicle no. WB11F 8610 mob.+919007907449</t>
  </si>
  <si>
    <t>IB BOE OOC done dtd.30-01-2026//custom duty requested dtd.04-02-2026/OOC done dtd. 05-02-2026//Shipment dispatched dtd.10-02-2026 vehicle no. WB11F 8610 mob.+919007907449</t>
  </si>
  <si>
    <t>IB BOE OOC done dtd.30-01-2026//custom duty requested dtd. 04-02-2026  &amp; paid dtd. 05-02-2026//OOC done dtd. 06-02-2026//Shipment dispatched dtd.10-02-2026 vehicle no. WB11F 8610 mob.+919007907449</t>
  </si>
  <si>
    <t>IB BOE OOC done dtd.30-01-2026//wpc licence valid upto dtd.31.05.2026 ///  custom duty requested dtd. 04-02-2026/OOC done dtd. 05-02-2026//Shipment dispatched dtd.10-02-2026 vehicle no. WB11F 8610 mob.+919007907449</t>
  </si>
  <si>
    <t>WB11F2719</t>
  </si>
  <si>
    <t>IB BOE OOC done dtd.30-01-2026 // Custom duty requested dtd.03-02-2026///OOC done dtd.04-02-2026//Shipment dispatched dtd.10-02-2026 vehicle no. WB11F2719  m.89103 74421</t>
  </si>
  <si>
    <t>IB BOE OOC done dtd.30-01-2026 //AWB PENDING /FTA WRONG INV. DT//custom duty requested dtd.04-02-2026/OOC done dtd. 05-02-2026//Shipment dispatched dtd.10-02-2026 vehicle no. WB11F2719  m.89103 74421</t>
  </si>
  <si>
    <t>IB OOC done dtd.31-12-2025//OB confirmation mail send dtd. 01-01-2026//wpc licence valid upo dtd.13-04-26/// custom duty requested dtd. 19-01-2026//</t>
  </si>
  <si>
    <t>IB BOE  OOC  done dtd.01-01-2026///OB confirmation mailed dtd. 06-01-2026//Custom duty requested dtd. 12-01-2026///</t>
  </si>
  <si>
    <t>IB OOC done dtd.31-12-2025//OB confirmation mail send dtd. 01-01-2026 ////WPC licence valid upto dtd. 07-05-2026</t>
  </si>
  <si>
    <t>IB OOC done dtd.31-12-2025//OB confirmation mail send dtd. 01-01-2026//</t>
  </si>
  <si>
    <t>IB BOE  assessed &amp; under TP process /one package of the subject shipment is not arrived physically. //// IB BOE OOC  done dtd. 09-01-2026  //OB confirmation mail sent dtd. 10-01-2026//</t>
  </si>
  <si>
    <t>IB BOE  OOC  done dtd.01-01-2026//OB confirmation mailed dtd. 03-01-2026 /</t>
  </si>
  <si>
    <t>AI2026-0008329</t>
  </si>
  <si>
    <t>25-01-2026  : Sunday // Final Pre alert document received  // Shipment landed
26-01-2026  : Republic Day // Holiday
27-01-2026  : Inbond BOE filed,  
28-01-2026  : BOE Assessment done late night. 
29-01-2026 : TP &amp; movement   From Sahar cargo to FTWZ Nhavasheva completed 
30-01-2026 :  Inbond cleared</t>
  </si>
  <si>
    <t>BAL-GB-ILD--MAHARASHTRA/PUR/10000443</t>
  </si>
  <si>
    <t xml:space="preserve">Amit Kumar Chauhan </t>
  </si>
  <si>
    <t>020-23570901</t>
  </si>
  <si>
    <t>42J0367867</t>
  </si>
  <si>
    <t>42J0367868</t>
  </si>
  <si>
    <t>IB BOE OOC done dtd.24-01-2026//custom duty requested dtd. 09-02-2026 &amp; paid dtd. 10-02-2026 ///OOC done dtd.10-02-2026 //Shipment dispatched dtd. 11-02-2026 vehicle no.MH46BB6951 m.9867584328</t>
  </si>
  <si>
    <t>IB BOE OOC done dtd.24-01-2026//custom duty requested dtd.09-02-2026  &amp; paid dtd. 10-02-2026///OOC done dtd.10-02-2026 //Shipment dispatched dtd. 11-02-2026 vehicle no.MH46BB6951 m.9867584328</t>
  </si>
  <si>
    <t>IB BOE OOC done dtd.30-01-2026//Custom duty requested dtd. 09-02-2026 &amp; paid dtd. 10-02-2026 //OOC done dtd.10-02-2026 //Shipment dispatched dtd. 11-02-2026 vehicle no.MH46BB6951 m.9867584328</t>
  </si>
  <si>
    <t>26-01-2026  : Final Pre alert document received //  Republic Day // Holiday // Shipment landed
27-01-2026 -  Inbond BOE filed,  
28-01-2026  : Assessment done late night. 
29-01-2026 : TP &amp; movement   From Sahar cargo to FTWZ Nhavasheva completed 
30-01-2026 :  Inbond cleared</t>
  </si>
  <si>
    <t>AI2026-0009406</t>
  </si>
  <si>
    <t xml:space="preserve">25-01-2026  : Sunday // Final Pre alert document received // shipment landed
26-01-2026  : Republic Day // Holiday 
27-01-2026  : Checklist sent for approval and BOE filed after approved
28-01-2026  : BOE assessment done late evening
30-01-2026 : TP &amp; movement   From Sahar cargo to FTWZ Nhavasheva completed </t>
  </si>
  <si>
    <t>24-01-2026  : Saturday // Final Pre alert document received 
25-01-2026 - Sunday
26-01-2026  : Republic Day // Holiday // Shipment landed
27-01-2026  : Inbond BOE filed,  
28-01-2026  : Assesment done late night. 
29-01-2026 : TP &amp; movement   From Sahar cargo to FTWZ Nhavasheva completed 
30-01-2026 :  Inbond cleared</t>
  </si>
  <si>
    <t>26-01-2026  : Final Pre alert document received //  Republic Day // Holiday // Shipment landed
27-01-2026 -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</si>
  <si>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</si>
  <si>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31-01-2026 :  Inbond cleared</t>
  </si>
  <si>
    <t>24-01-2026  : Saturday // Final Pre alert document received 
25-01-2026 - Sunday
26-01-2026  : Republic Day // Holiday // Shipment landed
27-01-2026  : cheklist sent for approval
28-01-2026  : checklist approved // Inbond BOE filed,  
29-01-2026  : Assesment done late night. 
30-01-2026 : TP &amp; movement   From Sahar cargo to FTWZ Nhavasheva completed 
31-01-2026 :  Inbond cleared</t>
  </si>
  <si>
    <t>24-01-2026  : Saturday // Final Pre alert document received 
25-01-2026 - Sunday // Shipment landed
26-01-2026  : Republic Day // Holiday 
27-01-2026  : cheklist sent for approval
28-01-2026  : checklist approved // Inbond BOE filed,  
29-01-2026  : Assesment done late night. 
30-01-2026 : TP &amp; movement   From Sahar cargo to FTWZ Nhavasheva completed 
31-01-2026 :  Inbond cleared</t>
  </si>
  <si>
    <t>IB BOE OOC done dtd. 22-01-2026//wpc licence valid upto dtd. 12-05-2026  //custom duty requested dtd.05-02-2026//OOC  done dtd. 06.02.2026//Shipment dispatched dtd. 12-02-2026 vehicle no. MH04MH7851  mob.+918447727220</t>
  </si>
  <si>
    <t>IB BOE OOC done dtd. 22-01-2026//custom duty requested dtd. 04-02-2026//OOC done dtd. 05-02-2026//Shipment dispatched dtd. 12-02-2026 vehicle no. MH04MH7851  mob.+918447727220</t>
  </si>
  <si>
    <t>IB BOE OOC done dtd. 22-01-2026////wpc licence valid upto dtd. 12-05-2026// custom duty requested dtd.05-02-2026//OOC done dtd.06-02-2026//Shipment dispatched dtd. 12-02-2026 vehicle no. MH04MH7851  mob.+918447727220</t>
  </si>
  <si>
    <t>MH48CB5611</t>
  </si>
  <si>
    <t>IB BOE OOC done dtd.30-01-2026 // Form I recd.dtd-05/02/2026//wpc lience valid upto dtd. 14-04-2026//custom duty requestd dtd.09-02-2026//// OOC done dtd.10-02-2026//Shipment dispatched dtd.12-02-2026 vehicle no.MH48CB5611 m.+918601010520</t>
  </si>
  <si>
    <t>IB BOE OOC done dtd.30-01-2026//wpc lience valid upto dtd. 14-04-2026//custom duty requested dtd. 09-02-2026//// OOC done dtd.10-02-2026//Shipment dispatched dtd.12-02-2026 vehicle no.MH48CB5611 m.+918601010520</t>
  </si>
  <si>
    <t>IB BOE OOC done dtd.30-01-2026//wpc licence valid upo dtd.14-04-2026//custom duty requested dtd.09-02-2026  &amp; paid dtd.10-02-2026//// OOC done dtd.11-02-2026//Shipment dispatched dtd.12-02-2026 vehicle no.MH48CB5611 m.+918601010520</t>
  </si>
  <si>
    <t>BR-0336-0 MICROWAVE RADIO,MODEL:IP-50EXA-100-H,FREQUENCY BAND:80 GHZ,TX POWER                         
  MICROWAVE RADIO,MODEL:IP-50EXA-100-L,FREQUENCY BAND:80 GHZ,TX POWER</t>
  </si>
  <si>
    <t xml:space="preserve"> MICROWAVE RADIO,MODEL:IP-50EXA-100-H,FREQUENCY BAND:80 GHZ,TX POWER                      
    BR-0337-0 MICROWAVE RADIO,MODEL:IP-50EXA-100-L,FREQUENCY BAND:80 GHZ,TX POWER      </t>
  </si>
  <si>
    <t>BR-0336-0 MICROWAVE RADIO,MODEL:IP-50EXA-100-H,FREQUENCY BAND:80 GHZ,TX POWER                          
 MICROWAVE RADIO,MODEL:IP-50EXA-100-L,FREQUENCY BAND:80 GHZ,TX POWER</t>
  </si>
  <si>
    <t>MH04MH3294</t>
  </si>
  <si>
    <t>IB BOE OOC done dtd.24-01-2026//custom duty requested dtd. 04-02-2026 &amp; paid dtd.10-02-2026/// OOC done dtd.11-02-2026//Shipment dispatched dtd. 12-02-2026 vehicle no.MH04MH3294 m.8080828789</t>
  </si>
  <si>
    <t>IB BOE OOC done dtd.30-01-2026//cusotm duty  requested dtd.09-02-2026// OOC done dtd.10-02-2026//Shipment dispatched dtd. 12-02-2026 vehicle no.MH04MH3294 m.8080828789</t>
  </si>
  <si>
    <t xml:space="preserve"> //Final awb received dtd. 10-02-2026//Custom duty reqested dtd.10-02-2026 &amp; Paid dtd.11.02.2026 //OOC done dtd. 11-02-2026//Shipment dispatched dtd.12-02-2026 vehicle no.MH25AJ6993   m.7875000877</t>
  </si>
  <si>
    <t xml:space="preserve">MH25AJ6993  </t>
  </si>
  <si>
    <t>3418139MHTH1138</t>
  </si>
  <si>
    <t>BAL-MO-ROM-Maharashtra/PUR/10026508</t>
  </si>
  <si>
    <t>217-08128 8820</t>
  </si>
  <si>
    <t>1
1
2
2
5
5</t>
  </si>
  <si>
    <t>MH 43 BG 4137</t>
  </si>
  <si>
    <t>Custom duty requeted dtd. 04-02-2026 &amp; paid dtd.10-02-2026/// OOC done dtd.11-02-2026//Shipment dispatched dtd. 13-02-2026 vehicle no. MH 43 BG 4137 mob.8652440316</t>
  </si>
  <si>
    <t>IB BOE OOC done dtd.31-01-2026//wpc licence valid upto dtd.19-05-2026//Custom duty requested dtd. 09-02-2026 &amp; paid dtd.10-02-2026//// OOC done dtd.11-02-2026//Shipment dispatched dtd. 13-02-2026 vehicle no. MH 43 BG 4137 mob.8652440316</t>
  </si>
  <si>
    <t>IB BOE OOC done dtd.02-02-2026// wpc licence valid upto dtd.28-02-2026//Custom duty requested dtd. 09-02-2026  &amp; paid dtd.10-02-2026/// OOC done dtd.12-02-2026//Shipment dispatched dtd. 13-02-2026 vehicle no. MH 43 BG 4137 mob.8652440316</t>
  </si>
  <si>
    <t>MH04KF0975</t>
  </si>
  <si>
    <t>IB BOE OOC done dtd.30-01-2026//wpc licence valid upto dtd.13-05-2026//custom duty requested dtd. 09-02-2026/////OOC done dtd.10-02-2026//shipment dispatched dtd.13-02-2026 vehicle no. MH04KF0975 mob.9699842786</t>
  </si>
  <si>
    <t>IB BOE OOC done dtd.30-01-2026//custom duty requested dtd.10-02-2026 &amp; paid dtd. 11-02-2026//WPC Lic valid upto 25-05-2026//OOC done dtd. 12-02-2026 //shipment dispatched dtd.13-02-2026 vehicle no. MH04KF0975 mob.9699842786</t>
  </si>
  <si>
    <t>Flight yet to arrive //Custom duty requested dtd. 09-02-2026//OOC  done  dtd.12-02-2026//shipment dispatched dtd. 13-02-2026  vehicle no.MH03CP8728 m.7021883595</t>
  </si>
  <si>
    <t xml:space="preserve">MH03CP8728  </t>
  </si>
  <si>
    <t>7095278
7095279</t>
  </si>
  <si>
    <t>02-Feb-2026
02-Feb-2026</t>
  </si>
  <si>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</si>
  <si>
    <t>BAL MO Madhya Pradesh/PUR/54725
BAL MO Madhya Pradesh/PUR/54725</t>
  </si>
  <si>
    <t>7092201
7092202</t>
  </si>
  <si>
    <t>29-Jan-2026
29-Jan-2026</t>
  </si>
  <si>
    <t>155775.00
72695.00</t>
  </si>
  <si>
    <t>CGHODUQY4  CGHODUQI4
CGHODUQY4  CGHODUQI4</t>
  </si>
  <si>
    <t>CGHODUQY4 BR-0328-0 MW RADIOIP-50CX-E-15-420-08W15-H FB 15 GHZ (8W15)TXP 25 DBM HIGH1+0 
CGHODUQI4 BR-0329-0 MW RADIO:IP-50CX-E-15-420-08W15-L,FB15 GHZ (8W15)TXP:25 DBM LOW 1+0
CGHODUQI4 BR-0329-0 MW RADIO:IP-50CX-E-15-420-08W15-L,FB15 GHZ (8W15)TXP:25 DBM LOW 1+0 UPGRD</t>
  </si>
  <si>
    <t>75
75
35
35</t>
  </si>
  <si>
    <t>BAL MO Orissa/PUR/38766
BAL MO Orissa/PUR/38766</t>
  </si>
  <si>
    <t>GHODUQY4 BR-0328-0 MW RADIOIP-50CX-E-15-420-08W15-H FB 15 GHZ (8W15)TXP 25 DBM HIGH1+0 
CGHODUQI4 BR-0329-0 MW RADIO:IP-50CX-E-15-420-08W15-L,FB15 GHZ (8W15)TXP:25 DBM LOW 1+0</t>
  </si>
  <si>
    <t>BAL MO Orissa/PUR/38770</t>
  </si>
  <si>
    <t>7095280
7095281</t>
  </si>
  <si>
    <t>BAL MO Madhya Pradesh/PUR/54725</t>
  </si>
  <si>
    <t>BAL-MO-UPW-UP/PUR/10017146</t>
  </si>
  <si>
    <t>7092357
7092358</t>
  </si>
  <si>
    <t>03-Feb-2026
03-Feb-2026</t>
  </si>
  <si>
    <t>155775.00
118389.00</t>
  </si>
  <si>
    <t>75
75
57
57</t>
  </si>
  <si>
    <t>BAL-MO-UPW-UP/PUR/10017146
BAL-MO-UPW-UP/PUR/10017146</t>
  </si>
  <si>
    <t>7095290
7095295</t>
  </si>
  <si>
    <t>8308.00
4154.00</t>
  </si>
  <si>
    <t>CGHODUQY4
CGHODUQI4
CGHODUPA3
CGHODUPI7</t>
  </si>
  <si>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</si>
  <si>
    <t>4
4
2
2</t>
  </si>
  <si>
    <t>BAL MO U.P.East/PUR/73592
BAL MO U.P.East/PUR/73592</t>
  </si>
  <si>
    <t>7095283
7095284
7095285</t>
  </si>
  <si>
    <t>02-Feb-2026
02-Feb-2026
02-Feb-2026</t>
  </si>
  <si>
    <t>155775.00
155775.00
97619.00</t>
  </si>
  <si>
    <t>CGHODUQY4
CGHODUQI4
CGHODUQY4
CGHODUQI4
CGHODUQY4
CGHODUQI4</t>
  </si>
  <si>
    <t xml:space="preserve">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t>
  </si>
  <si>
    <t>75
75
75
75
47
47</t>
  </si>
  <si>
    <t>BAL MO U.P.East/PUR/73558
BAL MO U.P.East/PUR/73558
BAL MO U.P.East/PUR/73558</t>
  </si>
  <si>
    <t>7092217
7092219
7092220</t>
  </si>
  <si>
    <t>29-Jan-2026
29-Jan-2026
29-Jan-2026</t>
  </si>
  <si>
    <t>103850
103850.00
143313.00</t>
  </si>
  <si>
    <t>50
50
50
50
69
69</t>
  </si>
  <si>
    <t xml:space="preserve">BAL MO Bihar/PUR/51689
BAL MO Bihar/PUR/51689
BAL MO Bihar/PUR/51689
</t>
  </si>
  <si>
    <t>SIJ0562505 </t>
  </si>
  <si>
    <t>IGM already  filed //revised AWB  received dtd.15-01-2026//IB BOE OOC done dtd.19-01-2026///wpc licence valid upto dtd. 02-06-2026//custom duty requested dtd. 09-02-2026///OOC done dtd.10-02-2026//Shipment dispatched dtd. 14-02-2026 vehicle no. HR 61 E 7146 mob.91 83978 89995</t>
  </si>
  <si>
    <t>IB BOE OOC done dtd.30-01-2026//wpc licence valid upto dtd. 02-06-2026 /// custom duty requested dtd.05-02-2026//OOC done dtd. 06-02-2026//Shipment dispatched dtd. 14-02-2026 vehicle no. HR 61 E 7146 mob.91 83978 89995</t>
  </si>
  <si>
    <t>MH04MR1306</t>
  </si>
  <si>
    <t>IB BOE OOC done dtd.30-01-2026//wpc licence valid upto dtd.16.04.2026//Custom duty requested dtd. 09-02-2026///OOC done dtd.10-02-2026//Shipment dispatched dtd. 14-02-2026 vehicle no. MH04MR1306 mob.919557564790</t>
  </si>
  <si>
    <t>3418458MHTH1157</t>
  </si>
  <si>
    <t>217-08129063</t>
  </si>
  <si>
    <t>Form I req date</t>
  </si>
  <si>
    <t>Form I recd dt</t>
  </si>
  <si>
    <t>IB BOE assessed  29-01-2026 &amp; under TP process//IB BOE OOC done dtd.02-02-2026/Material has been dispatched Dtd-17/02/2026.</t>
  </si>
  <si>
    <t>Material has been dispatched Dtd-17/02/2026.</t>
  </si>
  <si>
    <t>MH04MR6575</t>
  </si>
  <si>
    <t xml:space="preserve">HR61F9263 </t>
  </si>
  <si>
    <t xml:space="preserve">IB BOE OOC done dtd. 22-01-2026//WPC licence valid upto dtd. 01-05-2026/FORM I received dtd. 09-02-2026///custom duty requested dtd.10-02-2026/// </t>
  </si>
  <si>
    <t>IB BOE OOC done dtd.31-01-2026//wpc licence valid upto 27-05-2026 //</t>
  </si>
  <si>
    <t>IB BOE OOC done dtd.31-01-2026//OB Custom duty requested dtd. 06-02-2026//wpc licence valid upto dtd. 16-02-2026/</t>
  </si>
  <si>
    <t>IB BOE OOC done dtd.31-01-2026//OB Custom duty requested dtd. 06-02-2026//</t>
  </si>
  <si>
    <t>IB BOE OOC done dtd.02-02-2026//wpc licence valid upto dtd.16-02-2026//custom duty requested dtd. 09-02-2026//</t>
  </si>
  <si>
    <t xml:space="preserve">3418458MHTH1149 
3418365MHTH1150 </t>
  </si>
  <si>
    <t>12-Feb-2026
12-Feb-2026</t>
  </si>
  <si>
    <t>16996.00
109260.00</t>
  </si>
  <si>
    <t>BAL-MO-ROM-Maharashtra/PUR/10026846
BAL-MO-ROM-Maharashtra/PUR/10026815</t>
  </si>
  <si>
    <t xml:space="preserve">217-0812 9085 </t>
  </si>
  <si>
    <t>/wpc licence valid upto dtd. 25-05-2026//custom duty requested dtd.11-02-2026 &amp; paid dtd.13.02.2026///OOC done dtd. 16-02-2026 //Shipment dispatched Dtd-17/02/2026.vehicle no.MH04MR6575 mob.6204057538</t>
  </si>
  <si>
    <t>IB BOE OOC done dtd.30-01-2026//wpc licence valid upto dtd. 25-05-2026//custom duty requested dtd.11-02-2026//OOC done dtd. 12-02-2026////Shipment dispatched Dtd-17/02/2026.vehicle no.MH04MR6575 mob.6204057538</t>
  </si>
  <si>
    <t>IB BOE OOC done dtd.31-01-2026//wpc licence valid upto dtd.13-05-2026//custom duty requsted dtd.11-02-2026 &amp; paid dtd.13-02-2026// //OOC done dtd. 16-02-2026////Shipment dispatched Dtd-17/02/2026.vehicle no.MH04MR6575 mob.6204057538</t>
  </si>
  <si>
    <t>IB BOE OOC done dtd.30-01-2026//wpc licence valid upto dtd. 12-05-2026 //Custom duty requested dtd.10-02-2026 &amp; paid dtd.13-02-2026//Shpment  dispatched Dtd-17/02/2026. vehicle no. HR61F9263 mob.8700990776</t>
  </si>
  <si>
    <t>HR61F9467</t>
  </si>
  <si>
    <t>IB BOE OOC done dtd.24-01-2026//wpc licence not applicalbe //custom duty requested dtd. 05-02-2026 &amp; paid dtd.13-02-2026//OOC done dtd. 16-02-2026//Shipment dispatched dtd.18-02-26 vehicle no. HR61F9467 mob.8890413898</t>
  </si>
  <si>
    <t>IB BOE  OOC done dtd. 12-02-2026//Custom duty requested dtd.16-02-2026///OOC done dtd. 17-02-2026//Shipment dispatched dtd.18-02-26 vehicle no. HR61F9467 mob.8890413898</t>
  </si>
  <si>
    <t>IB BOE  OOC done dtd. 13-02-2026//custom duty requested dtd.16-02-2026///OOC done dtd. 17-02-2026//Shipment dispatched dtd.18-02-26 vehicle no. HR61F9467 mob.8890413898</t>
  </si>
  <si>
    <t>MH46 CU 0765</t>
  </si>
  <si>
    <t>NAGARKT</t>
  </si>
  <si>
    <t>IB BOE OOC done dtd.30-01-2026 /wpc licecne valid upto dtd. 11.05.2026//custom duty requested dtd.10-02-2026 &amp; paid dtd.16-02-2026//OOC done dtd. 17-02-2026//Shipment dispatched  dtd.18-02-2026 vehicle no.MH46 CU 0765 m.6399660063</t>
  </si>
  <si>
    <t xml:space="preserve">MH02CR6657 </t>
  </si>
  <si>
    <t>custom duty requested dtd.12-02-2026 &amp; paid dtd.17-02-2026/Out of Charge done Dtd-17/02/2026//Shipment dispatched dtd. 18-02-2026 vehicle no.MH02CR6657  mob.7738274825</t>
  </si>
  <si>
    <t>IB BOE OOC done dtd.30-01-2026//wpc licence valid upto dtd. 16-02-2026//custom duty reqested dtd. 10-02-2026 &amp; paid dtd.13-02-2026 //OOC done dtd. 16-02-2026//Shipment dispatched dtd. 19-02-2026 vehicle no.MH14HU3795 m.9559141479</t>
  </si>
  <si>
    <t>IB BOE OOC done dtd.30-01-2026//OB BOE under assessment//custom duty  requested dtd.11-02-2026  &amp; paid dtd..13-02-2026// OOC unde queue(custom examination )//OOC done dtd. 18-02-2026//Shipment dispatched dtd. 19-02-2026 vehicle no.MH14HU3795 m.9559141479</t>
  </si>
  <si>
    <t>IB BOE OOC done dtd.30-01-2026//wpc licenc valid upto dtd. 11-05-2026 ///custom duty requested dtd. 10-02-2026 &amp; paid dtd.13-02-2026 //OOC done dtd. 16-02-2026//Shipment dispatched dtd. 19-02-2026 vehicle no.MH14HU3795 m.9559141479</t>
  </si>
  <si>
    <t>IB BOE OOC done dtd.31-01-2026///wpc licence valid upto dtd.16-02-2026 //custom duty requested dtd.10-02-2026  &amp; paid dtd.13-02-2026////OOC done dtd. 16-02-2026//Shipment dispatched dtd. 19-02-2026 vehicle no.MH14HU3795 m.9559141479</t>
  </si>
  <si>
    <t>IB BOE OOC done dtd.31-01-2026//wpc licence valid upo dtd. 16-02-2026  //custom duty requested dtd.10-02-2026 &amp; paid dtd.13-02-2026//OOC done dtd. 16-02-2026//Shipment dispatched dtd. 19-02-2026 vehicle no.MH14HU3795 m.9559141479</t>
  </si>
  <si>
    <t>MH03DV6421</t>
  </si>
  <si>
    <t>NAGAROT</t>
  </si>
  <si>
    <t>Flight yet to arrive ///Final awb received dtd. 16-02-2026//custom duty requested dtd. 16-02-2026//Query raised by customs as CATALOGUE/TECHNICAL WRITE UP,we have query Reply done.  //OOC  under done dtd.18-2-2026//Shipment dispatched dtd.19.02.2026 vehicle no.MH03DV6421  mob.7021229043</t>
  </si>
  <si>
    <t>Checklist approved dtd.16.02.2026 Flight ETA-18-02-2026//Custom duty requested dtd.18-02-2026 &amp; paid dtd.19-02-2026 //OOC done dtd.19-02-2026/Shipment dispatched dtd.19.02.2026 vehicle no.MH03DV6421  mob.7021229043</t>
  </si>
  <si>
    <t>160-07570614</t>
  </si>
  <si>
    <t>42J0367985</t>
  </si>
  <si>
    <t>BAL-ANG-UASL-MUMBAI-MAHARASHTRA/
PUR/10005530</t>
  </si>
  <si>
    <t>BAL-ANG-UASL-MUMBAI-MAHARASHTRA/
PUR/10005587</t>
  </si>
  <si>
    <t>42J0367982</t>
  </si>
  <si>
    <t>BAL-ANG-UASL-MUMBAI-MAHARASHTRA/
PUR/10005606</t>
  </si>
  <si>
    <t>BAL-ANG-UASL-MUMBAI-MAHARASHTRA/
PUR/10005548</t>
  </si>
  <si>
    <t>42J0367986</t>
  </si>
  <si>
    <t>42J0367980</t>
  </si>
  <si>
    <t>42J0367981</t>
  </si>
  <si>
    <t>BAL-MO-ROM-Maharashtra/PUR/10002661</t>
  </si>
  <si>
    <t>42J0367983</t>
  </si>
  <si>
    <t>BAL-MO-ROM-Maharashtra/PUR/10002719</t>
  </si>
  <si>
    <t>42J0367984</t>
  </si>
  <si>
    <t>MH43BP.9023</t>
  </si>
  <si>
    <r>
      <t>OOC done dtd. 20-01-2026 // Comfirmation confrim dtd. 20-02-2026//shipment dispatched dtd. 21-02-2026 vehicle no. MH43BP.9023 mob.</t>
    </r>
    <r>
      <rPr>
        <b/>
        <sz val="11"/>
        <color theme="1"/>
        <rFont val="Calibri"/>
        <family val="2"/>
        <scheme val="minor"/>
      </rPr>
      <t>77700 87185</t>
    </r>
  </si>
  <si>
    <t>OOC  done dtd.13-01-2026 // Comfirmation confrim dtd. 20-02-2026//shipment dispatched dtd. 21-02-2026 vehicle no. MH43BP.9023 mob.77700 87185</t>
  </si>
  <si>
    <t>MH14HG1744</t>
  </si>
  <si>
    <t>IB BOE OOC done dtd.30-01-2026//custom duty requested dtd.11-02-2026 &amp; paid dtd. 17-02-2026 &amp; OOC done dtd.19-02-2026//Query raised " PLEASE PROVIDE CATALOGUE OF THE ITEM AND JUSTIFY NON APPLICABLITY OF BIS/DOT WPC. "//Shipment dispatched dtd. 21-02-2026 vehicle no.MH14HG1744 mob.no.09892789040</t>
  </si>
  <si>
    <t>MH14FG1744</t>
  </si>
  <si>
    <t>Final awb received dtd.19-02-2026//custom duty requested dtd. 19-02-2026 &amp; paid dtd. 20-02-2026///OOC  done dtd. 20-02-2026//Shipment dispatched dtd. 21-02-2026 vehicle no.MH14FG1744 m.9892789040</t>
  </si>
  <si>
    <t>custom duty requested dtd. 12-01-2026 &amp; paid dtd.13.01.2026////OOC done dtd. 14-01-2026 /// Comfirmation confrim dtd. 20-02-2026//shipment dispatched dtd. 21-02-2026 vehicle no. MH43BP.9023 mob.77700 87185 &amp;  MH48CQ6534 m.9209384870</t>
  </si>
  <si>
    <t>AI2026-0011724</t>
  </si>
  <si>
    <t>AI2026-0011723</t>
  </si>
  <si>
    <t>BAL LDS NLD/PUR/2056618</t>
  </si>
  <si>
    <t>AI2026-0011725</t>
  </si>
  <si>
    <t xml:space="preserve">3418139MHTH1173 
3418139MHTH1174 3418139MHTH1175 </t>
  </si>
  <si>
    <t>101369.00       7891.00  24280.00</t>
  </si>
  <si>
    <t>BAL-MO-ROM-Maharashtra/PUR/10026508                                           BAL-MO-ROM-Maharashtra/PUR/10026815                                          BAL-MO-ROM-Maharashtra/PUR/10026846</t>
  </si>
  <si>
    <t xml:space="preserve"> Pre-Alert document recd dtd-02/02/2026//IB BOE OOC done dtd. 06-02-2026//wpc licence valid upto dtd. 21-07-2026//custom duty requested dtd.23-02-2026//Out of Charge done dtt-24/02/2026.</t>
  </si>
  <si>
    <t>IB BOE  OOC done dtd.11-02-2026//wpc licence valid upto dtd.21-07-2026//custom duty requested dtd.23-02-2026//Out of Charge done dtt-24/02/2026.</t>
  </si>
  <si>
    <t>IB BOE  OOC done dtd. 12-02-2026 ////AWB received dtd.07-02-2026//wpc licence valid upto dtd.21-07-2026//custom duty requested dtd.23-02-2026//Out of Charge done dtt-24/02/2026.</t>
  </si>
  <si>
    <t>MH 04 MH 5219</t>
  </si>
  <si>
    <t>MH 04 KU 1549</t>
  </si>
  <si>
    <t>MTT-163438</t>
  </si>
  <si>
    <t>BAL-ANG-UASL-ROM-Maharashtra/PUR/10002661</t>
  </si>
  <si>
    <t>MTT-163439</t>
  </si>
  <si>
    <t>BAL-ANG-UASL-ROM-Maharashtra/PUR/10002719</t>
  </si>
  <si>
    <t>BAL-LDS-NLD-/PUR/2056618</t>
  </si>
  <si>
    <t>BAL-ANG-UASL-MUMBAI-MAHARASHTRA/
PUR/10005605</t>
  </si>
  <si>
    <t>160-07572025</t>
  </si>
  <si>
    <t>42J0368034</t>
  </si>
  <si>
    <t xml:space="preserve">wpc licence not applicalbe //Custom duty requeted dtd.05-02-2026 //Custom duty paid Dtd-25-02-2026//OOC done dtd.26-02-2026//pending EWAY BILL PART A </t>
  </si>
  <si>
    <t>MH16CD4460</t>
  </si>
  <si>
    <t>flight yet to arrive// Total 7 packages, only 2 packages have been received dtd. 25-02-2026 The remaining 5 packages to arrive tonight,  dtd.25-02-2026///Custom duty  requsted dtd. 24-02-2026   &amp; paid dtd. 26-02-2026//OOC done dtd.26-02-2026//Shipment dispatched vehicl no. MH16CD4460 mob.9130330317</t>
  </si>
  <si>
    <t>IB BOE OOC done dtd.31-01-2026//wpc licence valid upto dtd. 28-02-2026  //custom duty requested dtd.10-02-2026 &amp; paid dtd. 26-02-2026//OOC done dtd.26-02-2026//Shipment dispatched dtd. 27-0-2026 vehicle no. MH46BB6951 mob.9867584328</t>
  </si>
  <si>
    <t>BR-0321-0 MW RADIO:IP-50CX-E-18-L-H,FREQ BAND:18 GHZ,TX POWER OUTPUT:24                    
                  BR-0322-0 MW RADIO:IP-50CX-E-18-L-L,FREQ BAND:18 GHZ,TX POWER OUTPUT:24</t>
  </si>
  <si>
    <t>MTT-163637</t>
  </si>
  <si>
    <t>JB-2026-AI-21-000700</t>
  </si>
  <si>
    <t>JB-2026-AI-21-000698</t>
  </si>
  <si>
    <t>JB-226-AI-21-000696</t>
  </si>
  <si>
    <t>CGHODUPX4 BR-0327-0 MW RADIO IP-50CX-E-15-420-01W08-H,FB 15  GHZ 1W8 TXP:25 DBM HIGH 1+0 UPGRD
CGHODUPX2 BR-0326-0 MW RADIOIP-50CX-E-15-420-01W08-L,FB 15 GHZ 1W8 TXP 25 DBM LOW 1+0 UPGRD</t>
  </si>
  <si>
    <t>AI2026-0013699</t>
  </si>
  <si>
    <t>SBKK00493070</t>
  </si>
  <si>
    <t>3418007MHTH1188</t>
  </si>
  <si>
    <t>BAL-MO-ROM-Maharashtra/PUR/10026305</t>
  </si>
  <si>
    <t>217-08129380</t>
  </si>
  <si>
    <t>BAL-ANG-UASL-MUMBAI-Maharashtra/PUR/10005548</t>
  </si>
  <si>
    <t>AI2026-0013126</t>
  </si>
  <si>
    <t>BAL LDS NLD/PUR/2055955</t>
  </si>
  <si>
    <t>BAL LDS NLD/PUR/2056401</t>
  </si>
  <si>
    <t>BAL LDS NLD/PUR/2056491</t>
  </si>
  <si>
    <t>RJ 37 GB 4301</t>
  </si>
  <si>
    <t>IB BOE OOC done dtd.30-01-2026//WPC licence valid upto dtd.16-02-2026  // custom duty requested dtd.05-02-2026//OOC done dtd. 06-02-2026// shipment dipatch hold by circle //Shipment dispatched dtd. 02-03-2026 vehicle no.RJ 37 GB 4301 mob.8875327077</t>
  </si>
  <si>
    <t>custom duty requested dtd.05-02-2026//OOC done dtd. 06-02-2026/// shipment dipatch hold by circle /Shipment dispatched dtd. 02-03-2026 vehicle no.RJ 37 GB 4301 mob.8875327077</t>
  </si>
  <si>
    <t>///OOC done dtd.07-02-2026/// shipment dipatch hold by circle /Shipment dispatched dtd. 02-03-2026 vehicle no.RJ 37 GB 4301 mob.8875327077</t>
  </si>
  <si>
    <t>OOC done dtd.07-02-2026//wpc licence valid upto dtd. 03-06-2026/// shipment dipatch hold by circle /Shipment dispatched dtd. 02-03-2026 vehicle no.RJ 37 GB 4301 mob.8875327077</t>
  </si>
  <si>
    <t>IB BOE OOC done dtd.31-01-2026//wpc licence valid upto dtd.03-06-2026//custom duty requested dtd. 10-02-2026/// OOC done dtd.11-02-2026/// shipment dipatch hold by circle /Shipment dispatched dtd. 02-03-2026 vehicle no.RJ 37 GB 4301 mob.8875327077</t>
  </si>
  <si>
    <t xml:space="preserve"> IB BOE assessed //IGM manifested   on POD INNSA1 -IGM amendment under process/wpc licence valid upto dtd. 25-08-2026//INBOND Out of Charge Dtd.04-03-2026 </t>
  </si>
  <si>
    <t xml:space="preserve"> IB BOE assessed //IGM manifested   on POD INNSA1 -IGM amendment under process//wpc licence valid upto dtd. 25-08-2026//INBOND Out of Charge Dtd.04-03-2026 </t>
  </si>
  <si>
    <t>3418385TSTH1182 3418385TSTH1183</t>
  </si>
  <si>
    <t>180886  37634</t>
  </si>
  <si>
    <t>BAL-MO-AP-Telangana/PUR/10018824</t>
  </si>
  <si>
    <t>217-08129413</t>
  </si>
  <si>
    <t xml:space="preserve"> 02-03-2026 </t>
  </si>
  <si>
    <t>09843837172</t>
  </si>
  <si>
    <t>custom duty paid dtd.23-02-2026.//OOC under queue //1. PLEASE SUBMIT THE PROPER DESCRIPTION/CATALOGUE OF THE GOODS ALONG WITH END USE DECLARATION. 2. PLEASE UPLOAD MTCTE CERT OR JUSTIFY IF NOT APPLICABLE. 3. PLEASE UPLOAD E WASTE CERT UNDER EPRA AS THE GOODS ARE FALLING UNDER THE CATEGORY OF ELECTRICAL/ELECTRONIC GOODS OR ITS COMPONENTS/PARTS/CONSUMABLES.///Shipment dispatched dtd. 04-03-2026 vehicle no.MH03CP8728 mob.7021883595</t>
  </si>
  <si>
    <t>cusotm duty  requested dtd.28-02-2026//OOC done dtd. Mon 02-03-2026 //////Shipment dispatched dtd. 04-03-2026 vehicle no.MH03CP8728 mob.7021883595</t>
  </si>
  <si>
    <t>custom duty paid dtd.23-02-2026.//OOC done dtd. 28-02-2026//DISPATCHED Mon 02-03-2026 ////Shipment dispatched dtd. 04-03-2026 vehicle no.MH12RN6427  mob.9604455449</t>
  </si>
  <si>
    <t>MH12RN6427</t>
  </si>
  <si>
    <t>custom duty paid dtd.23-02-2026.//OOC done dtd. 28-02-2026////Shipment dispatched dtd. 04-03-2026 vehicle no.MH12RN6427  mob.9604455449</t>
  </si>
  <si>
    <t xml:space="preserve">custom duty paid dtd.23-02-2026.//OOC done dtd. 28-02-2026/////Shipment dispatched dtd. 04-03-2026 vehicle no.MH12RN6427  mob.9604455449DISPATCHED Mon 02-03-2026 </t>
  </si>
  <si>
    <t>checklist appoved dtd.16.02.2026//custom duty requested dtd. 16-02-2026 &amp; paid dtd.17-02-2026 //Out of Charge done Dtd-17/02/2026//Shipment dispatched dtd. 18-02-2026 vehicle no.MH02CR6657  mob.7738274825</t>
  </si>
  <si>
    <t>flight yet to arrive//  Final awb pending ///Custom duty reuqsted DTD.02-03-2026//custom duty paid dtd. 02-03-026//OOC done dtd.04-03-2026 //shipment dispatched dtd. 05-03-2026 vehicle no.MH29be3248 mob.9021601687</t>
  </si>
  <si>
    <t>MH29be3248</t>
  </si>
  <si>
    <t xml:space="preserve">MH04CP8728 </t>
  </si>
  <si>
    <t>custom duty paid dtd.23-02-2026.//OOC done dtd. 28-02-2026//shipment dispatched dtd. 02-03-2026 vehicle no. MH04CP8728   mob.7021883595</t>
  </si>
  <si>
    <t>custom duty paid dtd.23-02-2026.//OOC done dtd. 28-02-2026//DISPATCHED Mon 02-03-2026 //shipment dispatched dtd. 02-03-2026 vehicle no. MH04CP8728   mob.7021883595</t>
  </si>
  <si>
    <t xml:space="preserve"> IB BOE assessed //IGM manifested   on POD INNSA1 -IGM amendment under process//wpc licence valid upto dtd.22-07-2026 ///INBOND Out of Charge Dtd.04-03-2026//</t>
  </si>
  <si>
    <t xml:space="preserve">PDS </t>
  </si>
  <si>
    <t>custom duty requeted dtd. 10-02-2026/// OOC done dtd.11-02-2026// shipment dipatch hold by circle //Shipment dispatched dtd. 05-03-2026 handover to PDS</t>
  </si>
  <si>
    <t>WPC licence valid upto dtd. 07-05-2026// Form I recived Dtd-25/02/2026.//Custom duty requested dtd.26-02-2026//OOC done dtd.27-02-2026//Shipment dispatched dtd. 05-03-2026 handover to PDS</t>
  </si>
  <si>
    <t xml:space="preserve">  WPC licence valid upto dtd. 07-05-2026//Form I recived Dtd-25/02/2026.//Custom duty requested dtd. 26-02-2026 &amp; paid dtd. 02-03-2026//OUT-BOND Out of Charge Dtd.04-03-2026//Shipment dispatched dtd. 05-03-2026 handover to PDS</t>
  </si>
  <si>
    <t>OOC done dtd.13-02-2026 / shipment dipatch hold by circle //Shipment dispatched dtd. 05-03-2026 handover to PDS</t>
  </si>
  <si>
    <t>AI2026-0014612</t>
  </si>
  <si>
    <t>AI2026-0014615</t>
  </si>
  <si>
    <t>AI2026-0014613</t>
  </si>
  <si>
    <t>AI2026-0014614</t>
  </si>
  <si>
    <t xml:space="preserve">BAL MO U.P.East/PUR/73558
</t>
  </si>
  <si>
    <t>618-51663511</t>
  </si>
  <si>
    <t>I507885</t>
  </si>
  <si>
    <t>I507856</t>
  </si>
  <si>
    <t>MH46CL 3991</t>
  </si>
  <si>
    <t>IGM filed console error ///IB BOE OOC done dtd. 07-02-2026 /AIFTA certificate DTD-06/02/2026 //WPC  licence valid upto dtd.20-07-2026//custom duty requested dtd. 18-02-2026//OOC done dtd. 19-02-2026//Shipment dispatched dtd. 07-03-2026 vehicle no.MH46CL 3991 mob.+918605541609</t>
  </si>
  <si>
    <t>WB11G0466
WB11F9025</t>
  </si>
  <si>
    <t>custom duty requested dtd. 05-03-2026//OOC done dtd. 06-03-2026//Shipment dispatched dtd. 07-03-2026 vehicle no.WB11G0466 mob.8797105371 &amp; 8603561087 vehilce no.WB11F9025 mob.8617297886</t>
  </si>
  <si>
    <t>BAL-LDS-NLD/PUR/2056652</t>
  </si>
  <si>
    <t>SBKK00490816</t>
  </si>
  <si>
    <t>SBKK00490810</t>
  </si>
  <si>
    <t>SBKK00494843</t>
  </si>
  <si>
    <t xml:space="preserve">TG12U3222 </t>
  </si>
  <si>
    <t>Final awb received dtd.05-03-2026//custom duty requested dtd.05-03-2026 &amp; paid dtd.06-03-2026 //OOC done dtd. 06-03-2026//Shipment dispatched dtd. 07-03-2026 vehicle no.TG12U3222  mob.7671086650</t>
  </si>
  <si>
    <t>7095958
7095959</t>
  </si>
  <si>
    <t>155775.00
114235.00</t>
  </si>
  <si>
    <t>75
75
55
55</t>
  </si>
  <si>
    <t>BAL MO U.P.East/PUR/73558
BAL MO U.P.East/PUR/73558</t>
  </si>
  <si>
    <t>SINCB26004434</t>
  </si>
  <si>
    <t>SINC44355</t>
  </si>
  <si>
    <t>3418455TSTH1199</t>
  </si>
  <si>
    <t>BAL-MO-AP-Telangana/PUR/10020719</t>
  </si>
  <si>
    <t>AI2026-0015467</t>
  </si>
  <si>
    <t>SBKK00492759</t>
  </si>
  <si>
    <t>AI2026-0015469</t>
  </si>
  <si>
    <t>SBKK00494844</t>
  </si>
  <si>
    <t>AI2026-0015645</t>
  </si>
  <si>
    <t>SBKK00490092</t>
  </si>
  <si>
    <t>AI2026-0015466</t>
  </si>
  <si>
    <t>AI2026-0015464</t>
  </si>
  <si>
    <t>AI2026-0015468</t>
  </si>
  <si>
    <t>AI2026-0015465</t>
  </si>
  <si>
    <t>MH04MH2482</t>
  </si>
  <si>
    <t xml:space="preserve"> 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</si>
  <si>
    <t xml:space="preserve"> IB BOE assessed //IGM manifested   on POD INNSA1 -IGM amendment under process//wpc licence valid upto dtd. 19-08-2026//INBOND Out of Charge Dtd.04-03-2026  &amp; paid dtd. 06-03-2026//OOC done dtd.07-03-2026//Shipment dispatched dtd.09-03-2024 vehicle no.MH04MH2482 mob.91232 99704</t>
  </si>
  <si>
    <t>AI2026-0015646</t>
  </si>
  <si>
    <t>SBKK00490093</t>
  </si>
  <si>
    <t>AI2026-0015644</t>
  </si>
  <si>
    <t>SBKK00490091</t>
  </si>
  <si>
    <t xml:space="preserve">IB BOE done dtd.11-03-2026   //Pre -alert document received Saturday dtd. 07-03-2026 night </t>
  </si>
  <si>
    <t>Pre -alert document received Saturday dtd. 07-03-2026 night  //IB BOE done dtd.11-03-2026//</t>
  </si>
  <si>
    <t>Final AWB received dtd. 10-03-2026//custom duty requested dtd.10-03-2026//OOC done dtd. 11-03-2026//shipment dispatched  dtd.11-03-2026 vehicle no.TS07UL4660 mob.9390446064</t>
  </si>
  <si>
    <t>TS07UL4660</t>
  </si>
  <si>
    <t xml:space="preserve">FORM I received dtd. 05-03-2026//OB BOE  under assessment //custom duty requested  dtd. 09-03-2026////OOC done dtd.10-03-2026//Shipment dispatche dtd.11-03-2026 handover to PDS </t>
  </si>
  <si>
    <t xml:space="preserve">FORM I received dtd. 05-03-2026//OB BOE  custom duty requested dtd. 09-03-2026///OOC done dtd.10-03-2026 //Shipment dispatche dtd.11-03-2026 handover to PDS </t>
  </si>
  <si>
    <t xml:space="preserve"> Form I received dtd. 07-03-2026//OB BOE custom duty requested dtd.09-03-2026//OOC done dtd.10-03-2026//Shipment dispatched dtd.11.03.2026 handover to PDS</t>
  </si>
  <si>
    <t>//IGM manifested   on POD INNSA1 -IGM amendment under process //WPC licence vaid dtd.25-08-2026//INBOND Out of Charge Dtd.04-03-2026 //OB BOE custom duty requested dtd. 09-03-2026///OOC done dtd.10-03-2026//Shipment dispatched dtd.11.03.2026 handover to PDS</t>
  </si>
  <si>
    <t>AI2026-0015647</t>
  </si>
  <si>
    <t>SBKK00490095</t>
  </si>
  <si>
    <t>MH19CY1834</t>
  </si>
  <si>
    <t>wpc licence not applicalble  //IB BOE OOC done dtd. 28-02-2026///FORM I. received dt.05-03-26 //</t>
  </si>
  <si>
    <t>wpc licence not applicalble  //IB BOE OOC done dtd. 28-02-2026//F/FORM I. received dt.05-03-26 //</t>
  </si>
  <si>
    <t>OB BOE custom duty requested dtd.09-03-2026/OOC  done dtd.11-03-2026//PLEASE SUBMIT Z TYPE OF BILL OF ENTRY, DOT REGISTRATION/ETA CERTIFICATE, BIS AND PROVIDE IRN NOS. OF THE SUBMITTED DOCUMENTS.//Shipment dispatched dtd. 12-03-2024 vehicle no. MH19CY1834 mob.9923629288</t>
  </si>
  <si>
    <t>OB BOE custom duty requested dtd. 09-03-2026///OOC  done dtd.11-03-2026//PLEASE SUBMIT Z TYPE OF BILL OF ENTRY, DOT REGISTRATION/ETA CERTIFICATE, BIS AND PROVIDE IRN NOS. OF THE SUBMITTED DOCUMENTS/Shipment dispatched dtd. 12-03-2024 vehicle no. MH19CY1834 mob.9923629288</t>
  </si>
  <si>
    <t>IB BOE OOC done dtd. 09-03-2026//custom duty requested dtd.11-03-2026/////OOC  done dtd.12-03-2026//Shipment dispatched dtd.13-03-2026 vehicle no. MH46BB6951 mob.9867584328</t>
  </si>
  <si>
    <t>BAL MO U.P.East/PUR/73715</t>
  </si>
  <si>
    <t>SINC45004</t>
  </si>
  <si>
    <t>BAL MO Punjab/PUR/63980</t>
  </si>
  <si>
    <t>SINC45003</t>
  </si>
  <si>
    <t>BAL MO Gujarat/PUR/52594</t>
  </si>
  <si>
    <t>SINC45002</t>
  </si>
  <si>
    <t>SINC45005</t>
  </si>
  <si>
    <t>Hexacom MO Rajasthan/PUR/69543</t>
  </si>
  <si>
    <t>SINC44898</t>
  </si>
  <si>
    <t>7100578
7103230</t>
  </si>
  <si>
    <t>26-Feb-2026
26-Feb-2026</t>
  </si>
  <si>
    <t>139620.00
76849.00</t>
  </si>
  <si>
    <t>CGHODUPV3
CGHODUPX3
CGHODUPZ9
CGHODUPX6</t>
  </si>
  <si>
    <t>CGHODUPV3 BR-0320-0 MW RADIO:IP-50CX-E-15-420-08W15-H,FREQUENCY BAND:15 GHZ (8W15),TX POWER
CGHODUPX3 BR-0325-0 MW RADIO:IP-50CX-E-15-420-08W15-L,FREQUENCY BAND:15 GHZ (8W15),TX POWER
CGHODUPZ9 BR-0321-0 MW RADIO:IP-50CX-E-18-L-H,FREQ BAND:18 GHZ,TX POWER OUTPUT:24
CGHODUPX6 BR-0322-0 MW RADIO:IP-50CX-E-18-L-L,FREQ BAND:18 GHZ,TX POWER OUTPUT:24</t>
  </si>
  <si>
    <t>60
60
37
37</t>
  </si>
  <si>
    <t>Hexacom MO Rajasthan/PUR/69543
Hexacom MO Rajasthan/PUR/69409</t>
  </si>
  <si>
    <t>SINC44896</t>
  </si>
  <si>
    <t>7100567
7103229</t>
  </si>
  <si>
    <t>47771.00
20770.00</t>
  </si>
  <si>
    <t>CGHODUQY4
CGHODUQI4
CGHODUPZ9
CGHODUPX6</t>
  </si>
  <si>
    <t>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</si>
  <si>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23
23
10
10</t>
  </si>
  <si>
    <t>SINC44899</t>
  </si>
  <si>
    <t>7103250
7103251</t>
  </si>
  <si>
    <t>8308.00
6231.00</t>
  </si>
  <si>
    <t>CGHODUPZ9
CGHODUPX6
CGHODUPZ9</t>
  </si>
  <si>
    <t>CGHODUPZ9 BR-0321-0 MW RADIO:IP-50CX-E-18-L-H,FREQ BAND:18 GHZ,TX POWER OUTPUT:24
CGHODUPX6 BR-0322-0 MW RADIO:IP-50CX-E-18-L-L,FREQ BAND:18 GHZ,TX POWER OUTPUT:24
CGHODUPZ9 BR-0321-0 MW RADIO:IP-50CX-E-18-L-H,FREQ BAND:18 GHZ,TX POWER OUTPUT:24</t>
  </si>
  <si>
    <t>4
4
6</t>
  </si>
  <si>
    <t>SINC44900</t>
  </si>
  <si>
    <t>SINC44895</t>
  </si>
  <si>
    <t>3418063TSTH1196
3418140TSTH1197
3418385TSTH1198</t>
  </si>
  <si>
    <t>06-Mar-2026
06-Mar-2026
06-Mar-2026</t>
  </si>
  <si>
    <t>33992.00
18210.00
97120.00</t>
  </si>
  <si>
    <t>BAL-MO-AP-Telangana/PUR/10020183
BAL-MO-AP-Telangana/PUR/10020278
BAL-MO-AP-Telangana/PUR/10020681</t>
  </si>
  <si>
    <t>Ethiopian</t>
  </si>
  <si>
    <t>3418007MHTH1228
3418457MHTH1229</t>
  </si>
  <si>
    <t>11-Mar-2026
11-Mar-2026</t>
  </si>
  <si>
    <t>24887
7284.00</t>
  </si>
  <si>
    <t>BAL-MO-ROM-Maharashtra/PUR/10026305
BAL-MO-ROM-Maharashtra/PUR/10026830</t>
  </si>
  <si>
    <t>07160176152</t>
  </si>
  <si>
    <t>07160176163</t>
  </si>
  <si>
    <t>3418651MHTH1195</t>
  </si>
  <si>
    <t>BAL-MO-ROM-Maharashtra/PUR/10027105</t>
  </si>
  <si>
    <t>07160176141</t>
  </si>
  <si>
    <t>42J0368141</t>
  </si>
  <si>
    <t>160-07574081</t>
  </si>
  <si>
    <t>42J0368140</t>
  </si>
  <si>
    <t>BAL-ANG-UASL-MUMBAI-MAHARASHTRA/
PUR/10005689</t>
  </si>
  <si>
    <t>42J0368139</t>
  </si>
  <si>
    <t>BAL-MO-UPW-UP/PUR/10017235</t>
  </si>
  <si>
    <t xml:space="preserve">SINC45006 </t>
  </si>
  <si>
    <t xml:space="preserve">11-Feb-2026
11-Feb-2026 </t>
  </si>
  <si>
    <t xml:space="preserve"> IB BOE assessed //IGM manifested   on POD INNSA1 -IGM amendment under process//wpc licence valid upto dtd. 25-08-2026//INBOND Out of Charge Dtd.04-03-2026 //custom duty requested dtd.05-03-2026 &amp; paid dtd.09-03-2026////OOC done dtd.10-03-2026//Shipment dispatched through PDS DTD. 13-03-2026</t>
  </si>
  <si>
    <t xml:space="preserve"> IB BOE assessed //IGM manifested   on POD INNSA1 -IGM amendment under process//wpc licence valid upto dtd. 25-08-2026//INBOND Out of Charge Dtd.04-03-2026 //custom duty requested dtd.05-03-2026 &amp; paid dtd.11-03-2026////OOC  done dtd.12-03-2026//Shipment dispatched through PDS DTD. 13-03-2026</t>
  </si>
  <si>
    <t>MH04MR1356</t>
  </si>
  <si>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</si>
  <si>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</si>
  <si>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</si>
  <si>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</si>
  <si>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</si>
  <si>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13-03-226</t>
  </si>
  <si>
    <t>B0HTPDLO6</t>
  </si>
  <si>
    <t>BAL-LDS-NLD/PUR/2056587</t>
  </si>
  <si>
    <t>AI2026-0017046</t>
  </si>
  <si>
    <t>AWAITING</t>
  </si>
  <si>
    <t>SBKK00496291</t>
  </si>
  <si>
    <t>AI2026-0017040</t>
  </si>
  <si>
    <t>SBKK00496285</t>
  </si>
  <si>
    <t>AI2026-0017041</t>
  </si>
  <si>
    <t>SBKK00496286</t>
  </si>
  <si>
    <t>AI2026-0017042</t>
  </si>
  <si>
    <t>SBKK00496287</t>
  </si>
  <si>
    <t>AI2026-0017039</t>
  </si>
  <si>
    <t>SBKK00488732</t>
  </si>
  <si>
    <t>AI2026-0017045</t>
  </si>
  <si>
    <t>SBKK00496288</t>
  </si>
  <si>
    <t>AI2026-0017043</t>
  </si>
  <si>
    <t>SBKK00496289</t>
  </si>
  <si>
    <t>AI2026-0017044</t>
  </si>
  <si>
    <t>SBKK00496290</t>
  </si>
  <si>
    <t>SBKK00497825</t>
  </si>
  <si>
    <t>AI2026-0017047</t>
  </si>
  <si>
    <t>SBKK00497827</t>
  </si>
  <si>
    <t>AI2026-0017048</t>
  </si>
  <si>
    <t>SBKK00497828</t>
  </si>
  <si>
    <t>AI2026-0017049</t>
  </si>
  <si>
    <t>SBKK00497829</t>
  </si>
  <si>
    <t>SBKK00497830</t>
  </si>
  <si>
    <t>IB BOE done dtd.11-03-2026//custom duty requested dtd. 12-03-2026//OOC done dtd. 13-03-2026//Shipment dispatched  through PDS dtd. 17-03-2026</t>
  </si>
  <si>
    <t>SINCB26004722</t>
  </si>
  <si>
    <t>3418491TSTH1225</t>
  </si>
  <si>
    <t>BAL-MO-AP-Telangana/PUR/10020877</t>
  </si>
  <si>
    <t xml:space="preserve">BAL-MO-HARYANA-HARYANA/PUR/10010408
</t>
  </si>
  <si>
    <t>I527432</t>
  </si>
  <si>
    <t>BAL MO Orissa/PUR/38848</t>
  </si>
  <si>
    <t>SINCB26005994</t>
  </si>
  <si>
    <t>SINC45643</t>
  </si>
  <si>
    <t xml:space="preserve">BAL-MO-HARYANA-HARYANA/PUR/10010459
</t>
  </si>
  <si>
    <t>SINC45439</t>
  </si>
  <si>
    <t>SINC45815</t>
  </si>
  <si>
    <t>MH04LQ4962</t>
  </si>
  <si>
    <t>IB BOE done dtd.11-03-2026//custom duty requested dtd. 12-03-2026//OOC done dtd. 13-03-2026/ASN not updated //Shipment dispatched dtd. 18-03-2026 vehicle no. MH04LQ4962 m.+917988124300</t>
  </si>
  <si>
    <t>IB BOE OOC done dtd. 12-03-2026//custom duty requested dtd.16-03-2026//OOC done dtd. 17-03-2026//Shipment dispatched dtd. 18-03-2026 vehicle no. MH04LQ4962 m.+917988124300</t>
  </si>
  <si>
    <t>IB BOE OOC done dtd.13-03-2026//custom duty requested 16-03-2026//OOC done dtd. 17-03-2026//Shipment dispatched dtd. 18-03-2026 vehicle no. MH04LQ4962 m.+917988124300</t>
  </si>
  <si>
    <t>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</si>
  <si>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</si>
  <si>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</si>
  <si>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</si>
  <si>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</si>
  <si>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custom duty requested dtd. 12-03-2026//OOC done dtd. 13-03-2026/ASN not updated  //Shipment dispatched dtd. 18-03-2026 vehicle no.MH04LE8344</t>
  </si>
  <si>
    <t>IB BOE done dtd.11-03-2026//custom duty requested dtd. 12-03-2026//OOC done dtd. 13-03-2026/ASN not updated  //Shipment dispatched dtd. 18-03-2026 vehicle no.MH04LE8344</t>
  </si>
  <si>
    <t xml:space="preserve">BAL MO Bihar/PUR/51703
</t>
  </si>
  <si>
    <t>I527535</t>
  </si>
  <si>
    <t xml:space="preserve">TG12T9676 </t>
  </si>
  <si>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</si>
  <si>
    <t>custom duty requested dtd. 14-03-2026//OOC done dtd. 17-03-2026//PART A E WAY BILL received dtd.18-03-2026//Shipment dispatched dtd. 18-03-2026 vehicle no.MH03CP8728 mob.7021883595</t>
  </si>
  <si>
    <t>custom duty requested dtd. 14-03-2026//QUERY:WPC/ETA CERT AND EPRA CERT PLS    //OOC done dtd. 17-03-2026//PART A E WAY BILL received dtd.18-03-2026//Shipment dispatched dtd. 18-03-2026 vehicle no.MH03CP8728 mob.7021883595</t>
  </si>
  <si>
    <t>5366custom duty requested dtd. 14-03-2026 //OOC done dtd. 17-03-2026//PART A E WAY BILL received dtd.18-03-2026//Shipment dispatched dtd. 18-03-2026 vehicle no.MH03CP8728 mob.7021883595</t>
  </si>
  <si>
    <t>MH04KU9625 </t>
  </si>
  <si>
    <t>Final AWB received dtd. 16-03-2026//custom duty requested dtd. 16-03-2026//OOC done dtd.18-03-2026//shipment dispatched dtd. 18-03-2026 vehicle no. MH04KU9625  mob. 8108490291</t>
  </si>
  <si>
    <t>Final AWB received dtd. 16-03-2026// /custom duty requested dtd. 16-03-2026 &amp; paid dtd. 17-03-2026//OOC done dtd. 17-03-2026//shipment dispatched dtd. 18-03-2026 vehicle no. MH04KU9625  mob. 8108490291</t>
  </si>
  <si>
    <t>IB BOE OOC done dtd. 12-03-2026//custom duty requested dtd. 13-03-2026//OOC done dtd. 13-03-2026//Shipment dispatched through PDS dtd .18-03-2026</t>
  </si>
  <si>
    <t>12-Mar-2026</t>
  </si>
  <si>
    <t>207146</t>
  </si>
  <si>
    <t>B0HSTHXP2</t>
  </si>
  <si>
    <t>607-53184913</t>
  </si>
  <si>
    <t>SBKK00498395</t>
  </si>
  <si>
    <t>607-51384924</t>
  </si>
  <si>
    <t>SBKK00498396</t>
  </si>
  <si>
    <t>260216657</t>
  </si>
  <si>
    <t>17-Mar-2026</t>
  </si>
  <si>
    <t>61627</t>
  </si>
  <si>
    <t>Air</t>
  </si>
  <si>
    <t>BAL-ANG-UASL-ROM-MAHARASHTRA/PUR/10002718</t>
  </si>
  <si>
    <t>098-43837684</t>
  </si>
  <si>
    <t>4840763369</t>
  </si>
  <si>
    <t>BAL-ANG-UASL-MUMBAI MAHARASHTRA/
PUR/10005586</t>
  </si>
  <si>
    <t>7100568</t>
  </si>
  <si>
    <t>25-Feb-2026</t>
  </si>
  <si>
    <t>1038</t>
  </si>
  <si>
    <t>CGHODUQI4</t>
  </si>
  <si>
    <t>CGHODUQI4 BR-0329-0 MW RADIO:IP-50CX-E-15-420-08W15-L,FB15 GHZ (8W15)TXP:25 DBM LOW 1+0 UPGRD</t>
  </si>
  <si>
    <t xml:space="preserve">BAL MO Orissa/PUR/38766
</t>
  </si>
  <si>
    <t>618-50878461</t>
  </si>
  <si>
    <t>I527717</t>
  </si>
  <si>
    <t>13
13</t>
  </si>
  <si>
    <t>6-0356</t>
  </si>
  <si>
    <t>176-22924856</t>
  </si>
  <si>
    <t>AAI0035926</t>
  </si>
  <si>
    <t xml:space="preserve">BAL MO WEST BENGAL/PUR/81420
</t>
  </si>
  <si>
    <t>6-0357</t>
  </si>
  <si>
    <t>AAI0035927</t>
  </si>
  <si>
    <t>6-0360</t>
  </si>
  <si>
    <t>AAI0035928</t>
  </si>
  <si>
    <t>BAL MO Punjab/PUR/64105</t>
  </si>
  <si>
    <t>6-0359</t>
  </si>
  <si>
    <t>AAI0035929</t>
  </si>
  <si>
    <t xml:space="preserve">BAL-MO-HARYANA-HARYANA/PUR/10010562
</t>
  </si>
  <si>
    <t>6-0358</t>
  </si>
  <si>
    <t>AAI0035930</t>
  </si>
  <si>
    <t>7104070
7104071</t>
  </si>
  <si>
    <t>03-Mar-2026
03-Mar-2026</t>
  </si>
  <si>
    <t>182040
60680</t>
  </si>
  <si>
    <t>B0HODUNF3
B0HODUNJ6
B0HODUNF3
B0HODUNJ6</t>
  </si>
  <si>
    <t>B0HODUNF3 BR-0336-0 MICROWAVE RADIO,MODEL:IP-50EXA-100-H,FREQUENCY BAND:80 GHZ,TX POWER
B0HODUNJ6 BR-0337-0 MICROWAVE RADIO,MODEL:IP-50EXA-100-L,FREQUENCY BAND:80 GHZ,TX POWER
B0HODUNF3 BR-0336-0 MICROWAVE RADIO,MODEL:IP-50EXA-100-H,FREQUENCY BAND:80 GHZ,TX POWER
B0HODUNJ6 BR-0337-0 MICROWAVE RADIO,MODEL:IP-50EXA-100-L,FREQUENCY BAND:80 GHZ,TX POWER</t>
  </si>
  <si>
    <t>60
60
20
20</t>
  </si>
  <si>
    <t>BAL MO Bihar/PUR/51869
BAL MO Bihar/PUR/51869</t>
  </si>
  <si>
    <t>6-0355</t>
  </si>
  <si>
    <t>AAI0035931</t>
  </si>
  <si>
    <t>AI2026-0018468</t>
  </si>
  <si>
    <t>AI2026-0018467</t>
  </si>
  <si>
    <t>AI2026-0018466</t>
  </si>
  <si>
    <t>SBKK00498394</t>
  </si>
  <si>
    <t>SBKK00498952</t>
  </si>
  <si>
    <t>SBKK00498953</t>
  </si>
  <si>
    <t>//custom duty requested dtd.18-03-2026 &amp; paid dtd. 19-03-2026//OOC done dtd. 20-03-2026//Shipment dispatched dtd. 21.03.2026 vehicle no.MH43X8985  mob.7208712349</t>
  </si>
  <si>
    <t xml:space="preserve">MH43X8985 </t>
  </si>
  <si>
    <t>AI2026-0019096</t>
  </si>
  <si>
    <t>1040840</t>
  </si>
  <si>
    <t>16-Mar-2026</t>
  </si>
  <si>
    <t>100</t>
  </si>
  <si>
    <t>53804</t>
  </si>
  <si>
    <t>607-53185075</t>
  </si>
  <si>
    <t>SBKK00498959</t>
  </si>
  <si>
    <t>1040843</t>
  </si>
  <si>
    <t>15-Mar-2026</t>
  </si>
  <si>
    <t>53805</t>
  </si>
  <si>
    <t>607-53185064</t>
  </si>
  <si>
    <t>SBKK00498958</t>
  </si>
  <si>
    <t>1041069</t>
  </si>
  <si>
    <t>53806</t>
  </si>
  <si>
    <t>1041070</t>
  </si>
  <si>
    <t>53808</t>
  </si>
  <si>
    <t>607-53184950</t>
  </si>
  <si>
    <t>SBKK00499547</t>
  </si>
  <si>
    <t>607-53185112</t>
  </si>
  <si>
    <t>SBKK00499553</t>
  </si>
  <si>
    <t>MTT-164113</t>
  </si>
  <si>
    <t>24-Feb-2026</t>
  </si>
  <si>
    <t>31850</t>
  </si>
  <si>
    <t>70</t>
  </si>
  <si>
    <t>53817</t>
  </si>
  <si>
    <t>MTT-164114</t>
  </si>
  <si>
    <t>45500</t>
  </si>
  <si>
    <t>53819</t>
  </si>
  <si>
    <t>BAL-LDS-NLD/PUR/2056575</t>
  </si>
  <si>
    <t>BAL-LDS-NLD/PUR/2056690</t>
  </si>
  <si>
    <t>217-08842514</t>
  </si>
  <si>
    <t>412659410</t>
  </si>
  <si>
    <t>412659411</t>
  </si>
  <si>
    <t>AI2026-0019058</t>
  </si>
  <si>
    <t>AI2026-0019056</t>
  </si>
  <si>
    <t>AI2026-0019059</t>
  </si>
  <si>
    <t>AI2026-0019057</t>
  </si>
  <si>
    <t xml:space="preserve">IB BOE OOC done dtd.16-03-2026 //custom duty requested dtd.17-03-2026//OOC done dtd.18-03-2026//Shipment dispatched dtd.23-03-2026  handover to PDS </t>
  </si>
  <si>
    <t>MH04MR1358</t>
  </si>
  <si>
    <t>IB BOE OOC done dtd.16-03-2026 //custom duty requested dtd.17-03-2026//OOC done dtd.18-03-2026//shipment dispatched dtd. 23-03-2026 vehicle no. MH04MR1358 mob.083077 61595</t>
  </si>
  <si>
    <t>IB BOE OOC  done dtd. 16-03-2026//custom duty requested dtd. 17-03-2026//OOC done dtd.18-03-2026//shipment dispatched dtd. 23-03-2026 vehicle no. MH04MR1358 mob.083077 61595</t>
  </si>
  <si>
    <t>IB BOE OOC done dtd. 16-03-2026 //custom duty requested dtd. 17-03-2026//OOC done dtd.18-03-2026//shipment dispatched dtd. 23-03-2026 vehicle no. MH04MR1358 mob.083077 61595</t>
  </si>
  <si>
    <t>`</t>
  </si>
  <si>
    <t>IB BOE OOC done dtd. 17-03-2026//Custom duty requested dtd. 23-03-2026/OOC done dtd.24-03-2026</t>
  </si>
  <si>
    <t>pre-alert documents were received yesterday (19-03-2026), and the shipment also arrived on the same day. As it was a Customs holiday on account of Gudi Padwa, the BOE could only be filed  20-03-2026custom duty requested dtd . 20-03-2026 &amp; paid dtd. 24-03-2026 //OOC done dtd. 24-03-2026//Shipment dispatched dtd. 24-03-2026 vehicle no. MH03CP8728   mob.7021883535</t>
  </si>
  <si>
    <t xml:space="preserve">MH03CP8728  </t>
  </si>
  <si>
    <t>IB BOE  OOC done dtd.16-01-2026//FORM I pending for OB BOE filing //wpc licence valid  upto dtd.01-07-2026//custom duty requested dtd.23-03-2026 &amp; paid dtd.24-03-2026//OOC done dtd.24-03-2026</t>
  </si>
  <si>
    <t>PO NO.</t>
  </si>
  <si>
    <t>AI2026-0019560</t>
  </si>
  <si>
    <t>AI2026-0019561</t>
  </si>
  <si>
    <t>/WPC licence valid upto dtd.10-06-2026// ASN not updated //custom duty requsted dtd. 23-03-2026//OOC doen dtd. 25-03-2026</t>
  </si>
  <si>
    <t>3418650TSTH1384</t>
  </si>
  <si>
    <t>BAL-MO-AP-Telangana/PUR/10021111</t>
  </si>
  <si>
    <t>QATAR</t>
  </si>
  <si>
    <t>IB BOE done dtd. 20-03-2026//custom duty reuqested dtd. 23-03-2026&amp; paid dtd.24-03-2026//OOC done dtd.24-03-2026//Shipment dispatched dtd.26-03-2026 vehicle no.MH46BB6951 mob.9867584328</t>
  </si>
  <si>
    <t>IB BOE OOC done dtd.24-01-2026//wpc licence valid upto dtd.13-04-2026//custom duty requested dtd.09-02-2026///OOC done dtd.10-02-2026/ shipment dipatch hold by circle //Shipment dispatched dtd.26-03-2026 vehicle no.MH04MH4614 mob.919812089865</t>
  </si>
  <si>
    <t>// OOC done dtd.10-02-2026 / shipment dipatch hold by circle //Shipment dispatched dtd.26-03-2026 vehicle no.MH04MH4614 mob.919812089865</t>
  </si>
  <si>
    <t>IB BOE OOC done dtd.02-02-2026//wpc licence vaild upto dtd.16-02-2026 //OB Custom duty requested dtd. 06-02-2026//OOC done dtd.07-02-2026/ shipment dipatch hold by circle //Shipment dispatched dtd.26-03-2026 vehicle no.MH04MH4614 mob.919812089865</t>
  </si>
  <si>
    <t>20-02-2026  : Final Pre alert document received, Checklist sent for approval
21-02-2026 : Checklist Approved, Advance BOE filed for Home consumption, Duty requested
23-02-2026 : Custom duty Paid
27-02-2026  : shipment landed late night
28-02-2026  : OOC done late evening
01-03-2026 :  Sunday
02-03-2025 : Clearance done</t>
  </si>
  <si>
    <t>20-02-2026  : Final Pre alert document received, Checklist sent for approval
21-02-2026 : Checklist Approved, Advance BOE filed for Home consumption, Duty requested
23-02-2026 : Custom duty Paid
27-02-2026  : shipment landed late night
28-02-2026  : OOC done late evening01-03-2026 :  Sunday
02-03-2025 : Clearance done</t>
  </si>
  <si>
    <t>20-02-2026  : Final Pre alert document received 
21-02-2026  : checklist sent for approval and Advance BOE filed for Home consumption
23-02-2026  : Custom Duty paid
27-02-2026  : Shipment landed at Mumbai 
28-02-2026 :  Query raised for the requirement of MTCTE
01-03-2026 : Sunday
02-03-2026 : Query response submitted and OOC obtained</t>
  </si>
  <si>
    <t>20-02-2026  : Final Pre alert document received 
21-02-2026  : checklist sent for approval and Advance BOE filed for Home consumption
23-02-2026  : Custom Duty paid
27-02-2026  : Shipment landed at Mumbai 
28-02-2026 :  OOC obtained late evening
01-03-2026 : Sunday
02.-03-2026 : Clearance done</t>
  </si>
  <si>
    <t>11-02-2026  : Final Pre alert document received, Checklist sent for approval
15-02-2026  : shipment landed, Sunday
16-02-2026  : Checklist approved,  and BOE filed for Home consumption
16-02-2026 : Custom Duty Requested
17-02-2026  : Custom duty paid and OOC done</t>
  </si>
  <si>
    <t xml:space="preserve">11-02-2026  : Final Pre alert document received, Checklist sent for approval
12-02-2026 : Advance BOE filed for Home consumption, Duty requested
15-02-2026  : shipment landed, Sunday
16-02-2026  : Checklist approved,  and BOE filed for Home consumption
16-02-2026 : Custom Duty Requested
17-02-2026  : Custom duty paid and OOC done
</t>
  </si>
  <si>
    <t>/IB BOE  OOC done dtd.24-03-2026//WPC licence valid from dtd. 05-04-2026</t>
  </si>
  <si>
    <t xml:space="preserve">IB BOE  OOC done dtd. 24-03-2026 ///WPC licence valid from dtd.05-04-2026 </t>
  </si>
  <si>
    <t xml:space="preserve">/IB BOE OOC done dtd.24-03-2026//WPC licence valid from dtd.05-04-2026 </t>
  </si>
  <si>
    <t>10020877TSTH1386
10021111TSTH1387</t>
  </si>
  <si>
    <t>24-Mar-2026
24-Mar-2026</t>
  </si>
  <si>
    <t>25494.00
15782.00</t>
  </si>
  <si>
    <t>BAL-MO-AP-Telangana/PUR/10020877
BAL-MO-AP-Telangana/PUR/10021111</t>
  </si>
  <si>
    <t>MH04KU6737</t>
  </si>
  <si>
    <t>IB BOE  OOC done dtd. 23-03-2026//WPC licence valid upto dtd. 22-07-2026//custom duty requested  dtd. 25-03-2026////OOC done dtd. 26-03-2026//Shipment dispatched dtd. 27-03-2026 vehicle no.MH04KU6737 MOB .917054363513</t>
  </si>
  <si>
    <t>/IB BOE  OOC done dtd.24-03-2026//custom duty requested dtd.25-03-2026////OOC done dtd. 26-03-2026////Shipment dispatched dtd. 27-03-2026 vehicle no.MH04KU6737 MOB .917054363513</t>
  </si>
  <si>
    <t>3418491TSTH1388</t>
  </si>
  <si>
    <t>vessel yet to arrival</t>
  </si>
  <si>
    <t>SINC46261</t>
  </si>
  <si>
    <t>7105333
7105334</t>
  </si>
  <si>
    <t>10-03-2026
10-03-2026</t>
  </si>
  <si>
    <t>155775
83080</t>
  </si>
  <si>
    <t>CGHODUPA3 BR-0303-0 MW RADIO:IP-50CX-E-13-266-05W08-H,FREQ UENCY BAND:13GHZ,TX POWER OUTPUT:26 DBM,TYPE HIGH(1+0 UPGRAD
CGHODUPI7 BR-0315-0 MW RADIO:IP-50CX-E-13-266-05W08-L,FREQ BAND:13GHZ,TX POWER OUTPUT:26 DBM,TYPE:LOW(1+0 UPGRADE TO X
CGHODUPA3 BR-0303-0 MW RADIO:IP-50CX-E-13-266-05W08-H,FREQ UENCY BAND:13GHZ,TX POWER OUTPUT:26 DBM,TYPE HIGH(1+0 UPGRAD
CGHODUPI7 BR-0315-0 MW RADIO:IP-50CX-E-13-266-05W08-L,FREQ BAND:13GHZ,TX POWER OUTPUT:26 DBM,TYPE:LOW(1+0 UPGRADE TO X</t>
  </si>
  <si>
    <t>75
75
40
40</t>
  </si>
  <si>
    <t>SINC46260</t>
  </si>
  <si>
    <t>CGHODUPA3 BR-0303-0 MW RADIO:IP-50CX-E-13-266-05W08-H,FREQ UENCY BAND:13GHZ,TX POWER OUTPUT:26 DBM,TYPE HIGH(1+0 UPGRAD
CGHODUPI7 BR-0315-0 MW RADIO:IP-50CX-E-13-266-05W08-L,FREQ BAND:13GHZ,TX POWER OUTPUT:26 DBM,TYPE:LOW(1+0 UPGRADE TO X</t>
  </si>
  <si>
    <t>BAL MO U.P.East/PUR/69622</t>
  </si>
  <si>
    <t>SINC46369</t>
  </si>
  <si>
    <t>CGHODUPX5 BR-0323-0 MW RADIO:IP-50CX-E-18-H-H,FREQ BAND:18 GHZ,TX POWER OUTPUT:24 DBM,TYPE:HIGH,(1+0 UPGRADE TO XPIC W
CGHODUPV9 BR-0324-0 MW RADIO:IP-50CX-E-18-H-L,FREQ BAND:18 GHZ,TX POWER OUTPUT:24 DBM,TYPE:LOW,(1+0 UPGRADE TO XPIC WIT</t>
  </si>
  <si>
    <t>SINC46262</t>
  </si>
  <si>
    <t>CGHODUPZ9 BR-0321-0 MW RADIO:IP-50CX-E-18-L-H,FREQ BAND:18 GHZ,TX POWER OUTPUT:24 DBM,TYPE:HIGH,(1+0 UPGRADE TO XPIC W
CGHODUPX6 BR-0322-0 MW RADIO:IP-50CX-E-18-L-L,FREQ BAND:18 GHZ,TX POWER OUTPUT:24 DBM,TYPE:LOW,(1+0 UPGRADE TO XPIC WITH</t>
  </si>
  <si>
    <t>SINC46368</t>
  </si>
  <si>
    <t>B0HODUNF3 BR-0336-0 MICROWAVE RADIO,MODEL:IP-50EXA-100-H,FREQUENCY BAND:80 GHZ,TX POWER OUTPUT:18 DBM,TYPE:HIGH
B0HODUNJ6 BR-0337-0 MICROWAVE RADIO,MODEL:IP-50EXA-100-L,FREQUENCY BAND:80 GHZ,TX POWER OUTPUT:18 DBM,TYPE:LOW</t>
  </si>
  <si>
    <t>BAL MO Bihar/PUR/51929</t>
  </si>
  <si>
    <t>6-0374</t>
  </si>
  <si>
    <t>AAI0035987</t>
  </si>
  <si>
    <t>6-0375</t>
  </si>
  <si>
    <t>AAI0036020</t>
  </si>
  <si>
    <t>6-0382</t>
  </si>
  <si>
    <t>AAI0035986</t>
  </si>
  <si>
    <t>6-0379</t>
  </si>
  <si>
    <t>AAI0036017</t>
  </si>
  <si>
    <t>6-0381</t>
  </si>
  <si>
    <t>AAI0036019</t>
  </si>
  <si>
    <t>6-0380</t>
  </si>
  <si>
    <t>AAI0036018</t>
  </si>
  <si>
    <t>7110592
7111657</t>
  </si>
  <si>
    <t>16-Mar-2026
16-Mar-2026</t>
  </si>
  <si>
    <t>81918.00
212380.00</t>
  </si>
  <si>
    <t>B0HODUNF3 BR-0336-0 MICROWAVE RADIO,MODEL:IP-50EXA-100-H,FREQUENCY BAND:80 GHZ,TX POWER OUTPUT:18 DBM,TYPE:HIGH
B0HODUNJ6 BR-0337-0 MICROWAVE RADIO,MODEL:IP-50EXA-100-L,FREQUENCY BAND:80 GHZ,TX POWER OUTPUT:18 DBM,TYPE:LOW
B0HODUNF3 BR-0336-0 MICROWAVE RADIO,MODEL:IP-50EXA-100-H,FREQUENCY BAND:80 GHZ,TX POWER OUTPUT:18 DBM,TYPE:HIGH
B0HODUNJ6 BR-0337-0 MICROWAVE RADIO,MODEL:IP-50EXA-100-L,FREQUENCY BAND:80 GHZ,TX POWER OUTPUT:18 DBM,TYPE:LOW</t>
  </si>
  <si>
    <t>27
27
70
70</t>
  </si>
  <si>
    <t>6-0378</t>
  </si>
  <si>
    <t>AAI0036016</t>
  </si>
  <si>
    <t>7110589
7110590</t>
  </si>
  <si>
    <t>16-Mar-2026
17-Mar-2026</t>
  </si>
  <si>
    <t>212380.00
91020.00</t>
  </si>
  <si>
    <t>70
70
30
30</t>
  </si>
  <si>
    <t>BAL-MO-UPW-UP/PUR/10017321
BAL-MO-UPW-UP/PUR/10017321</t>
  </si>
  <si>
    <t>Hexacom MO Rajasthan/PUR/69656
Hexacom MO Rajasthan/PUR/69656</t>
  </si>
  <si>
    <t>6-0377</t>
  </si>
  <si>
    <t>AAI0036015</t>
  </si>
  <si>
    <t>IB BOE OOC done dtd.24-01-2026//wpc licence valid upto dtd. 04-03-2026// hold by circle //Custom duty requested dtd. 25-03-2026 //OOC done dtd. 26-03-2026//Shipment dispatched dtd. 28-03-2026 vehicle no.MH04LQ4961 mob.918708365731</t>
  </si>
  <si>
    <t>IB BOE OOC done dtd.31-01-2026///wpc licence valid upto dtd.13-04-2026 //OB BOE filing hold by circle /custom duty requested dtd. 25-03-2026&amp; paid dtd. 26-03-2026//OOC done dtd.27-03-2026/Shipment dispatched dtd. 28-03-2026 vehicle no.MH04LQ4961 mob.918708365731</t>
  </si>
  <si>
    <t>IB BOE OOC done dtd.30-01-2026//wpc licence valid upto dtd.02-06-2026//OB BOE filing hold by circle  /custom duty requested dtd. 25-03-2026&amp; paid dtd. 26-03-2026///OOC done dtd.27-03-2026/Shipment dispatched dtd. 28-03-2026 vehicle no.MH04LQ4961 mob.918708365731</t>
  </si>
  <si>
    <t>IB BOE OOC done dtd.02-02-2026//OB BOE filing hold by circle //custom duty requested dtd. 25-03-2026&amp; paid dtd. 26-03-2026///OOC done dtd.27-03-2026/Shipment dispatched dtd. 28-03-2026 vehicle no.MH04LQ4961 mob.918708365731</t>
  </si>
  <si>
    <t>IB BOE OOC done dtd. 17-03-2026//FORM I pending  /custom duty requested dtd. 25-03-2026 &amp; paid dtd. 26-03-2026////OOC done dtd.27-03-2026/Shipment dispatched dtd. 28-03-2026 vehicle no.MH04LQ4961 mob.918708365731</t>
  </si>
  <si>
    <t xml:space="preserve">BAL-MO-NCR -HARYANA-/PUR/10016025
</t>
  </si>
  <si>
    <t xml:space="preserve">//IB BOE OOC done dtd. 28-03-2026//FTA pending </t>
  </si>
  <si>
    <t xml:space="preserve">IB BOE  under assessment </t>
  </si>
  <si>
    <t>//Custom duty requested dtd. 26-03-2026//OOC done  dtd.28-03-2026//Shipment dispatched dtd. 29-03-2026 vehicle no. MH43CQ5489 m 9019116877</t>
  </si>
  <si>
    <t>MH43CQ5489</t>
  </si>
  <si>
    <t>7113779
7113780</t>
  </si>
  <si>
    <t>21-Mar-2026
21-Mar-2026</t>
  </si>
  <si>
    <t>151700
87986</t>
  </si>
  <si>
    <t>50
50
29
29</t>
  </si>
  <si>
    <t>AAI0036029</t>
  </si>
  <si>
    <t>BAL-MO-HARYANA-HARYANA/PUR/10010562
BAL-MO-HARYANA-HARYANA/PUR/10010562</t>
  </si>
  <si>
    <t>ECD-26 030630</t>
  </si>
  <si>
    <t>BAL-MO-UPW-UP/PUR/10017321</t>
  </si>
  <si>
    <t>ECD-26 030632</t>
  </si>
  <si>
    <t>176-22924930</t>
  </si>
  <si>
    <t>AAI0036026</t>
  </si>
  <si>
    <t>ECD-26 030631</t>
  </si>
  <si>
    <t>AAI0036027</t>
  </si>
  <si>
    <t>BHL-MO-NE-Assam/PUR/10007789</t>
  </si>
  <si>
    <t>NE-Assam</t>
  </si>
  <si>
    <t>PRASENJIT PAL</t>
  </si>
  <si>
    <t>ECD-26 030633</t>
  </si>
  <si>
    <t>AAI0036030</t>
  </si>
  <si>
    <t>BAL MO Jammu &amp;Kashmir/PUR/31554</t>
  </si>
  <si>
    <t xml:space="preserve"> Jammu &amp;Kashmir/</t>
  </si>
  <si>
    <t>ECD-26 030629</t>
  </si>
  <si>
    <t>AAI0036028</t>
  </si>
  <si>
    <t xml:space="preserve">Flgiht yet to arrive </t>
  </si>
  <si>
    <t>AI2026-0020247</t>
  </si>
  <si>
    <t>SBKK00499809</t>
  </si>
  <si>
    <t>AI2026-0020242</t>
  </si>
  <si>
    <t>SBKK00500530</t>
  </si>
  <si>
    <t>3418491TSTH1390</t>
  </si>
  <si>
    <t xml:space="preserve"> 30-Mar-2026</t>
  </si>
  <si>
    <t>Final  AWB  received dtd. 30-03-2026 //Flight yet to arrive //custom duty requested dtd. 31-03-2026</t>
  </si>
  <si>
    <t xml:space="preserve">MH14KQ7406 </t>
  </si>
  <si>
    <t>pre-alert documents were received yesterday (19-03-2026), and the shipment also arrived on the same day. As it was a Customs holiday on account of Gudi Padwa, the BOE could only be filed  20-03-2026custom duty requested dtd . 20-03-2026 &amp; paid dtd. 23-03-2026 //OOC done dtd. 23-03-2026 //Shipment dispatched dtd. 30-03-2026  vehicle no. MH14KQ7406  mob.8999113881</t>
  </si>
  <si>
    <t>SBKK00501415</t>
  </si>
  <si>
    <t>IB BOE  OOC done dtd. 27-03-2026//Custom duty requested dtd.31-03-2026</t>
  </si>
  <si>
    <t>Shipment short landed  //IB BOE OOC done dtd. 28-03-2026//custom duty requested dtd. 31-03-2026</t>
  </si>
  <si>
    <t>Short landed shipment //IB BOE OOC done dtd. 28-03-2026//custom duty requested dtd. 31-03-2026</t>
  </si>
  <si>
    <t>IB Boe OOC  done dtd. 24-03-2026//custom duty requested dtd.31-03-2026</t>
  </si>
  <si>
    <t>IB BOE OOC done dtd. 17-03-2026 //Custom duty requested dtd.30-03-2026//OOC under queue</t>
  </si>
  <si>
    <t>custom duty requested dtd.30-03-2026</t>
  </si>
  <si>
    <t>IB BOE under assessment//received the original AIFTA certificate DTD-06/02/2026 /IB BOE OOC done dtd. 06-02-2026//wpc licence valid upto dtd 29-07-2026//</t>
  </si>
  <si>
    <t>custom duty requested dtd.30-03-2026//OOC under queue</t>
  </si>
  <si>
    <t>IB BOE OOC  dtd. 23-01-2026//WPC licence valid upto dtd. 03-06-2026//OB BOE filing hold by circle /</t>
  </si>
  <si>
    <t>custom duty requested dtd.30.03-2026//OOC under queue</t>
  </si>
  <si>
    <t>IB BOE OOC done dtd.30-01-2026//wpc licence valid upto dtd. 03-06-2026//OB BOE filing hold by circle /</t>
  </si>
  <si>
    <t>IB BOE OOC done dtd.19-01-2026///wpc licence valid upto dtd.27-05-2026//</t>
  </si>
  <si>
    <t>custom duty requested dtd.30-03-2026 //OOC under queue</t>
  </si>
  <si>
    <t>IB BOE done dtd. 20-03-2026//custom duty requested dtd.30-03-2026</t>
  </si>
  <si>
    <t>IB Boe  OOC done dtd. 24-03-2026//custom duty requested dtd.30-03-2026//OOC under queue</t>
  </si>
  <si>
    <t>IB BOE OOC done dtd. 17-03-2026//FORM I pending //custom duty requested dtd. 23-03-2026 &amp; paid dtd.24-03-2026//OOC done dtd.24-03-2026//Shipment dispatched dtd.28-03-2026  handover to PDS</t>
  </si>
  <si>
    <t>IB BOE OOC done dtd. 17-03-2026//custom duty requested dtd. 20-03-2026 &amp; paid dtd.25-03-2026////OOC done dtd. 26-03-2026// Shipment dispatched dtd.28-03-2026  handover to PDS</t>
  </si>
  <si>
    <t>IB BOE OOC done dtd.18-03-2026//custom duy requested dtd.23-03-2026&amp; paid dtd.24-03-2026//OOC done dtd.24-03-2026//Shipment dispatched dtd.28-03-2026  handover to PDS</t>
  </si>
  <si>
    <t>IB BOE done dtd. 20-03-2026 //Revised FTA  soft copy received dtd. 23-03-2026//Custom duty requested dtd. 24-03-2026/OOC done dtd. 27-03-2026//Shipment dispatched dtd.28-03-2026  handover to PDS</t>
  </si>
  <si>
    <t>IB BOE OOC done dtd. 25-03-2026 //custom duty requested dtd. 26-03-2026//OOC  done dtd. 27-03-2026//Shipment dispatched dtd.28-03-2026  handover to PDS</t>
  </si>
  <si>
    <t>IB BOE OOC done dtd. 25-03-2026//custom duty requested dtd.26-03-2026////OOC  done dtd. 27-03-2026//Shipment dispatched dtd.28-03-2026  handover to PDS</t>
  </si>
  <si>
    <t>/IB BOE  OOC done dtd.24-03-2026//custom duty requested dtd.26-03-2026//OOC done dtd. 27-03-2026//Shipment dispatched dtd.28-03-2026  handover to PDS</t>
  </si>
  <si>
    <t>IB BOE OOC done dtd. 25-03-2026//custom duty requested dtd.26-03-2026///OOC  done dtd. 27-03-2026//Shipment dispatched dtd.28-03-2026  handover to PDS</t>
  </si>
  <si>
    <t>IB BOE OOC done dtd. 25-03-2026/custom duty requested dtd.26-03-2026///OOC  done dtd. 27-03-2026//Shipment dispatched dtd.28-03-2026  handover to PDS</t>
  </si>
  <si>
    <t>/IB BOE  OOC done dtd.24-03-2026//custom duty requested dtd. 26-03-2026///OOC done dtd. 27-03-2026//Shipment dispatched dtd.28-03-2026   by train</t>
  </si>
  <si>
    <t>TRAIN</t>
  </si>
  <si>
    <t xml:space="preserve">IB BOE  assessed and under TP process </t>
  </si>
  <si>
    <t>IB BOE assessed and under TP process</t>
  </si>
  <si>
    <t>AI2026-0021427</t>
  </si>
  <si>
    <t>AI2026-0021426</t>
  </si>
  <si>
    <t>SBKK00501409</t>
  </si>
  <si>
    <t>AI2026-0021425</t>
  </si>
  <si>
    <t>SBKK00501407</t>
  </si>
  <si>
    <t>BAL-LDS-NLD/PUR/2056491</t>
  </si>
  <si>
    <t>BAL-LDS-NLD/PUR/2056548</t>
  </si>
  <si>
    <t>AI2026-0020263</t>
  </si>
  <si>
    <t>AI2026-0020265</t>
  </si>
  <si>
    <t>AI2026-0020264</t>
  </si>
  <si>
    <t>312-93169941</t>
  </si>
  <si>
    <t>IB BOE OOC done dtd.18-03-2026//custom duy requested dtd.23-03-2026&amp; paid dtd.24-03-2026/OOC done dtd.24-03-2026//Shipment dispatched dtd.30-03-2026  handover to PDS</t>
  </si>
  <si>
    <t>IB BOE done dtd. 20-03-2026//custom duty requested dtd. 24-03-2026//OOC done dtd. 25-03-2026//Shipment dispatched dtd.30-03-2026  handover to PDS</t>
  </si>
  <si>
    <t>IB BOE done dtd. 20-03-2026//custom duty reuqested dtd. 23-03-2026&amp; paid dtd.24-03-2026/OOC done dtd.24-03-2026//Shipment dispatched dtd.30-03-2026  handover to PDS</t>
  </si>
  <si>
    <t>IB BOE done dtd. 20-03-2026//Custom duty reuqested dtd. 24-03-2026///OOC done dtd. 25-03-2026//Shipment dispatched dtd.30-03-2026  handover to PDS</t>
  </si>
  <si>
    <t>Final  AWB  received dtd. 31-03-2026 ///custom duty requested dtd. 31-03-2026</t>
  </si>
  <si>
    <t>Final  AWB  received dtd. 30-03-2026 //custom duty requested dtd. 30-03-2026 &amp; paid dtd. 31-03-2026//OOC done dtd. 01-04-2026</t>
  </si>
  <si>
    <t>B0HTPDIJ2</t>
  </si>
  <si>
    <t>B0HTPDIJ2 WAVESERVER WL5E 2X800G C-BAND PREMIUM 16XQSFP28/QSFP-DD MODULE : 186-3101-901F</t>
  </si>
  <si>
    <t>BAL-ANG-UASL-ROM-Maharashtra/PUR/10002662</t>
  </si>
  <si>
    <t>AI2026-0020808</t>
  </si>
  <si>
    <t>09849272790</t>
  </si>
  <si>
    <t>Flight arrived late night dtd.31-03-2026</t>
  </si>
  <si>
    <t>IB BOE done dtd. 20-03-2026//custom duy requested dtd.26-03-2026 &amp; paid dtd.27-03-2026//OOC done dtd. 30-03-2026//Shipment dispatched dtd.31-03-2026 through PDS</t>
  </si>
  <si>
    <t>IB BOE done dtd. 20-03-2026//custom duty requested dtd.26-03-2026&amp; paid dtd.27-03-2026/OOC done dtd. 30-03-2026//Shipment dispatched dtd.31-03-2026 through PDS</t>
  </si>
  <si>
    <t>IB BOE done dtd. 20-03-2026//custom duty reuqested dtd. 23-03-2026 &amp; paid dtd.24-03-2026 //OOC done dtd. 25-03-2026//Shipment dispatched dtd.31-03-2026 through PDS</t>
  </si>
  <si>
    <t>IB BOE  OOC done dtd. 24-03-2026 //OB BOE under assessment //Custom duty requested  dtd.  26-03-2026 &amp; paid dtd.27-03-2026//ooc done dtd. 30-03-2026//Shipment dispatched dtd.31-03-2026 through PDS</t>
  </si>
  <si>
    <t>pre alert document received on  18-03-2026  after evening //IB BOE OOC done dtd. 25-03-2026//custom duty requested dtd. 26-03-2026 &amp; paid dtd.27-03-2026//OOC done dtd. 27-03-2026//Shipment dispatched dtd.31-03-2026 through PDS</t>
  </si>
  <si>
    <t>IB Remarks</t>
  </si>
  <si>
    <t>OB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</si>
</sst>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dd\-mmm\-yy;@"/>
    <numFmt numFmtId="166" formatCode="d\-mmm\-yyyy;@"/>
  </numFmts>
  <fonts count="25" x14ac:knownFonts="1">
    <font>
      <sz val="11"/>
      <color theme="1"/>
      <name val="Calibri"/>
      <family val="2"/>
      <scheme val="minor"/>
    </font>
    <font>
      <b/>
      <sz val="11"/>
      <color rgb="FF000000"/>
      <name val="Calibri"/>
      <family val="2"/>
    </font>
    <font>
      <b/>
      <sz val="11"/>
      <color theme="1"/>
      <name val="Calibri"/>
      <family val="2"/>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font>
    <font>
      <sz val="10"/>
      <color rgb="FF000000"/>
      <name val="Verdana"/>
      <family val="2"/>
    </font>
    <font>
      <b/>
      <sz val="11"/>
      <color theme="1"/>
      <name val="Calibri"/>
      <family val="2"/>
      <scheme val="minor"/>
    </font>
    <font>
      <sz val="10"/>
      <color theme="1"/>
      <name val="Arial"/>
      <family val="2"/>
    </font>
    <font>
      <sz val="11"/>
      <color theme="1"/>
      <name val="Verdana"/>
      <family val="2"/>
    </font>
    <font>
      <sz val="11"/>
      <color rgb="FF082D4C"/>
      <name val="Segoe UI"/>
      <family val="2"/>
    </font>
    <font>
      <sz val="11"/>
      <name val="Calibri"/>
      <family val="2"/>
      <scheme val="minor"/>
    </font>
    <font>
      <sz val="11"/>
      <color rgb="FF002060"/>
      <name val="Calibri"/>
      <family val="2"/>
      <scheme val="minor"/>
    </font>
    <font>
      <sz val="11"/>
      <color rgb="FF242424"/>
      <name val="Calibri"/>
      <family val="2"/>
      <scheme val="minor"/>
    </font>
    <font>
      <sz val="12"/>
      <color theme="1"/>
      <name val="Times New Roman"/>
      <family val="1"/>
    </font>
    <font>
      <sz val="11"/>
      <color rgb="FF000000"/>
      <name val="Arial"/>
      <family val="2"/>
    </font>
    <font>
      <sz val="10"/>
      <color indexed="8"/>
      <name val="Calibri"/>
      <family val="2"/>
      <scheme val="minor"/>
    </font>
    <font>
      <sz val="11"/>
      <color theme="1"/>
      <name val="Aptos"/>
    </font>
    <font>
      <sz val="11"/>
      <color rgb="FF212529"/>
      <name val="Calibri"/>
      <family val="2"/>
      <scheme val="minor"/>
    </font>
    <font>
      <i/>
      <sz val="11"/>
      <color theme="1"/>
      <name val="Calibri"/>
      <family val="2"/>
      <scheme val="minor"/>
    </font>
    <font>
      <sz val="10"/>
      <color theme="1"/>
      <name val="Calibri"/>
      <family val="2"/>
      <scheme val="minor"/>
    </font>
    <font>
      <sz val="11"/>
      <color theme="1"/>
      <name val="Arial"/>
      <family val="2"/>
    </font>
    <font>
      <sz val="11"/>
      <color rgb="FFFF0000"/>
      <name val="Calibri"/>
      <family val="2"/>
      <scheme val="minor"/>
    </font>
  </fonts>
  <fills count="2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FFFF00"/>
        <bgColor rgb="FFFFFFFF"/>
      </patternFill>
    </fill>
    <fill>
      <patternFill patternType="solid">
        <fgColor rgb="FFFFFF00"/>
        <bgColor rgb="FFFFF2CC"/>
      </patternFill>
    </fill>
    <fill>
      <patternFill patternType="solid">
        <fgColor theme="0"/>
        <bgColor indexed="64"/>
      </patternFill>
    </fill>
    <fill>
      <patternFill patternType="solid">
        <fgColor theme="8" tint="0.59999389629810485"/>
        <bgColor indexed="64"/>
      </patternFill>
    </fill>
    <fill>
      <patternFill patternType="solid">
        <fgColor theme="8" tint="0.59999389629810485"/>
        <bgColor rgb="FFB6D7A8"/>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7" fillId="0" borderId="0"/>
  </cellStyleXfs>
  <cellXfs count="186">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14" fontId="0" fillId="0" borderId="1" xfId="0" applyNumberFormat="1" applyBorder="1" applyAlignment="1">
      <alignment vertical="center"/>
    </xf>
    <xf numFmtId="15" fontId="0" fillId="0" borderId="1" xfId="0" applyNumberForma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164" fontId="0" fillId="0" borderId="1" xfId="0" applyNumberFormat="1" applyBorder="1" applyAlignment="1">
      <alignment horizontal="center"/>
    </xf>
    <xf numFmtId="0" fontId="1"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righ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0" fontId="2" fillId="7" borderId="1" xfId="0" applyFont="1" applyFill="1" applyBorder="1" applyAlignment="1">
      <alignment horizontal="right" vertical="top"/>
    </xf>
    <xf numFmtId="0" fontId="5" fillId="10" borderId="1" xfId="0" applyFont="1" applyFill="1" applyBorder="1" applyAlignment="1">
      <alignment horizontal="center" vertical="top"/>
    </xf>
    <xf numFmtId="0" fontId="5" fillId="11" borderId="1" xfId="0" applyFont="1" applyFill="1" applyBorder="1" applyAlignment="1">
      <alignment horizontal="center" vertical="top"/>
    </xf>
    <xf numFmtId="15" fontId="0" fillId="0" borderId="1" xfId="0" applyNumberFormat="1" applyBorder="1" applyAlignment="1">
      <alignment vertical="center"/>
    </xf>
    <xf numFmtId="0" fontId="0" fillId="0" borderId="1" xfId="0" applyBorder="1" applyAlignment="1">
      <alignment vertical="center" wrapText="1"/>
    </xf>
    <xf numFmtId="14" fontId="0" fillId="0" borderId="1" xfId="0" applyNumberFormat="1" applyBorder="1"/>
    <xf numFmtId="0" fontId="2" fillId="6" borderId="1" xfId="0" applyFont="1" applyFill="1" applyBorder="1" applyAlignment="1">
      <alignment horizontal="center" vertical="top"/>
    </xf>
    <xf numFmtId="0" fontId="2" fillId="8" borderId="1" xfId="0" applyFont="1" applyFill="1" applyBorder="1" applyAlignment="1">
      <alignment horizontal="left" vertical="top"/>
    </xf>
    <xf numFmtId="49" fontId="1" fillId="6" borderId="1" xfId="0" applyNumberFormat="1" applyFont="1" applyFill="1" applyBorder="1" applyAlignment="1">
      <alignment horizontal="left" vertical="top"/>
    </xf>
    <xf numFmtId="1" fontId="1" fillId="6"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4" fillId="2" borderId="1" xfId="0" applyFont="1" applyFill="1" applyBorder="1" applyAlignment="1">
      <alignment horizontal="left" vertical="top"/>
    </xf>
    <xf numFmtId="49" fontId="4" fillId="9" borderId="1" xfId="0" applyNumberFormat="1" applyFont="1" applyFill="1" applyBorder="1" applyAlignment="1">
      <alignment horizontal="left"/>
    </xf>
    <xf numFmtId="0" fontId="4" fillId="9" borderId="1" xfId="0" applyFont="1" applyFill="1" applyBorder="1" applyAlignment="1">
      <alignment horizontal="center" vertical="top"/>
    </xf>
    <xf numFmtId="0" fontId="4" fillId="9" borderId="1" xfId="0" applyFont="1" applyFill="1" applyBorder="1" applyAlignment="1">
      <alignment horizontal="right" vertical="top"/>
    </xf>
    <xf numFmtId="0" fontId="4" fillId="9" borderId="1" xfId="0" applyFont="1" applyFill="1" applyBorder="1" applyAlignment="1">
      <alignment horizontal="left"/>
    </xf>
    <xf numFmtId="0" fontId="4" fillId="0" borderId="1" xfId="0" applyFont="1" applyBorder="1" applyAlignment="1">
      <alignment horizontal="left" vertical="top"/>
    </xf>
    <xf numFmtId="0" fontId="0" fillId="13" borderId="1" xfId="0" applyFill="1" applyBorder="1" applyAlignment="1">
      <alignment horizontal="center" vertical="center"/>
    </xf>
    <xf numFmtId="4" fontId="0" fillId="0" borderId="1" xfId="0" applyNumberFormat="1" applyBorder="1" applyAlignment="1">
      <alignment horizontal="center" vertical="center"/>
    </xf>
    <xf numFmtId="0" fontId="0" fillId="15" borderId="1" xfId="0" applyFill="1" applyBorder="1" applyAlignment="1">
      <alignment horizontal="center" vertical="center" wrapText="1"/>
    </xf>
    <xf numFmtId="0" fontId="4" fillId="0" borderId="1" xfId="0" applyFont="1" applyBorder="1" applyAlignment="1">
      <alignment horizontal="center" vertical="center"/>
    </xf>
    <xf numFmtId="2" fontId="0" fillId="0" borderId="1" xfId="0" applyNumberFormat="1" applyBorder="1" applyAlignment="1">
      <alignment vertical="center"/>
    </xf>
    <xf numFmtId="0" fontId="0" fillId="0" borderId="0" xfId="0" applyAlignment="1">
      <alignment horizontal="center" vertical="center"/>
    </xf>
    <xf numFmtId="0" fontId="0" fillId="0" borderId="1" xfId="0" quotePrefix="1" applyBorder="1" applyAlignment="1">
      <alignment horizontal="center" vertical="center"/>
    </xf>
    <xf numFmtId="0" fontId="4" fillId="9"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right"/>
    </xf>
    <xf numFmtId="0" fontId="5" fillId="10" borderId="1" xfId="0" applyFont="1" applyFill="1" applyBorder="1" applyAlignment="1">
      <alignment horizontal="center" vertical="center"/>
    </xf>
    <xf numFmtId="0" fontId="1" fillId="6" borderId="1" xfId="0" applyFont="1" applyFill="1" applyBorder="1" applyAlignment="1">
      <alignment horizontal="center" vertical="top"/>
    </xf>
    <xf numFmtId="0" fontId="0" fillId="15" borderId="1" xfId="0" applyFill="1" applyBorder="1" applyAlignment="1">
      <alignment horizontal="center" vertical="center"/>
    </xf>
    <xf numFmtId="0" fontId="0" fillId="10" borderId="1" xfId="0" applyFill="1" applyBorder="1" applyAlignment="1">
      <alignment horizontal="center" vertical="center"/>
    </xf>
    <xf numFmtId="0" fontId="0" fillId="13" borderId="1" xfId="0" applyFill="1" applyBorder="1" applyAlignment="1">
      <alignment horizontal="center"/>
    </xf>
    <xf numFmtId="0" fontId="3" fillId="0" borderId="2" xfId="0" applyFont="1" applyBorder="1" applyAlignment="1">
      <alignment horizontal="center" vertical="center"/>
    </xf>
    <xf numFmtId="14" fontId="0" fillId="0" borderId="1" xfId="0" applyNumberFormat="1" applyBorder="1" applyAlignment="1">
      <alignment horizontal="center" vertical="center" wrapText="1"/>
    </xf>
    <xf numFmtId="0" fontId="3" fillId="0" borderId="1" xfId="0" applyFont="1" applyBorder="1"/>
    <xf numFmtId="15" fontId="3" fillId="0" borderId="1" xfId="0" applyNumberFormat="1" applyFont="1" applyBorder="1"/>
    <xf numFmtId="14" fontId="11" fillId="0" borderId="1" xfId="0" applyNumberFormat="1" applyFont="1" applyBorder="1" applyAlignment="1">
      <alignment horizontal="center"/>
    </xf>
    <xf numFmtId="0" fontId="0" fillId="0" borderId="4" xfId="0" applyBorder="1" applyAlignment="1">
      <alignment horizontal="center" vertical="center"/>
    </xf>
    <xf numFmtId="0" fontId="4" fillId="16" borderId="2" xfId="0" applyFont="1" applyFill="1" applyBorder="1" applyAlignment="1">
      <alignment horizontal="center" vertical="center"/>
    </xf>
    <xf numFmtId="0" fontId="0" fillId="15" borderId="1" xfId="0" applyFill="1" applyBorder="1" applyAlignment="1">
      <alignment horizontal="center" wrapText="1"/>
    </xf>
    <xf numFmtId="0" fontId="0" fillId="10" borderId="1" xfId="0" applyFill="1" applyBorder="1" applyAlignment="1">
      <alignment horizontal="center"/>
    </xf>
    <xf numFmtId="0" fontId="11" fillId="0" borderId="1" xfId="0" applyFont="1" applyBorder="1" applyAlignment="1">
      <alignment horizontal="center"/>
    </xf>
    <xf numFmtId="15" fontId="10" fillId="0" borderId="1" xfId="0" applyNumberFormat="1" applyFont="1" applyBorder="1" applyAlignment="1">
      <alignment horizontal="center"/>
    </xf>
    <xf numFmtId="0" fontId="0" fillId="15" borderId="1" xfId="0" applyFill="1" applyBorder="1" applyAlignment="1">
      <alignment horizontal="center"/>
    </xf>
    <xf numFmtId="0" fontId="4" fillId="0" borderId="1" xfId="0" applyFont="1" applyBorder="1" applyAlignment="1">
      <alignment horizontal="center"/>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165" fontId="0" fillId="0" borderId="1" xfId="0" applyNumberFormat="1" applyBorder="1" applyAlignment="1">
      <alignment horizontal="center"/>
    </xf>
    <xf numFmtId="165" fontId="0" fillId="0" borderId="1" xfId="0" applyNumberFormat="1" applyBorder="1" applyAlignment="1">
      <alignment horizontal="center" wrapText="1"/>
    </xf>
    <xf numFmtId="165" fontId="0" fillId="0" borderId="1" xfId="0" applyNumberFormat="1" applyBorder="1" applyAlignment="1">
      <alignment vertical="center"/>
    </xf>
    <xf numFmtId="15" fontId="0" fillId="17" borderId="1" xfId="0" applyNumberFormat="1" applyFill="1" applyBorder="1" applyAlignment="1">
      <alignment horizontal="center"/>
    </xf>
    <xf numFmtId="15" fontId="0" fillId="17" borderId="1" xfId="0" applyNumberFormat="1" applyFill="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center"/>
    </xf>
    <xf numFmtId="0" fontId="4" fillId="16" borderId="1" xfId="0" applyFont="1" applyFill="1" applyBorder="1" applyAlignment="1">
      <alignment horizontal="center"/>
    </xf>
    <xf numFmtId="0" fontId="3" fillId="0" borderId="1" xfId="0" applyFont="1" applyBorder="1" applyAlignment="1">
      <alignment horizontal="center" wrapText="1"/>
    </xf>
    <xf numFmtId="0" fontId="0" fillId="18" borderId="1" xfId="0" applyFill="1" applyBorder="1" applyAlignment="1">
      <alignment horizontal="center"/>
    </xf>
    <xf numFmtId="0" fontId="0" fillId="0" borderId="1" xfId="0" quotePrefix="1" applyBorder="1"/>
    <xf numFmtId="0" fontId="2" fillId="2" borderId="1" xfId="0" applyFont="1" applyFill="1" applyBorder="1" applyAlignment="1">
      <alignment horizontal="center"/>
    </xf>
    <xf numFmtId="0" fontId="6" fillId="0" borderId="1" xfId="0" applyFont="1" applyBorder="1" applyAlignment="1">
      <alignment horizontal="center"/>
    </xf>
    <xf numFmtId="0" fontId="2" fillId="7" borderId="1"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7" fillId="0" borderId="0" xfId="0" applyFont="1" applyAlignment="1">
      <alignment vertical="center"/>
    </xf>
    <xf numFmtId="15" fontId="0" fillId="0" borderId="1" xfId="0" applyNumberFormat="1" applyBorder="1"/>
    <xf numFmtId="0" fontId="13" fillId="15" borderId="1" xfId="0" applyFont="1" applyFill="1" applyBorder="1" applyAlignment="1">
      <alignment horizontal="center"/>
    </xf>
    <xf numFmtId="2" fontId="0" fillId="0" borderId="1" xfId="0" applyNumberFormat="1" applyBorder="1" applyAlignment="1">
      <alignment horizontal="center"/>
    </xf>
    <xf numFmtId="14" fontId="0" fillId="0" borderId="0" xfId="0" applyNumberForma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3" fontId="0" fillId="0" borderId="0" xfId="0" applyNumberFormat="1" applyAlignment="1">
      <alignment horizontal="center"/>
    </xf>
    <xf numFmtId="0" fontId="2" fillId="2" borderId="1" xfId="0" applyFont="1" applyFill="1" applyBorder="1" applyAlignment="1">
      <alignment horizontal="center" vertical="center"/>
    </xf>
    <xf numFmtId="0" fontId="8" fillId="0" borderId="1" xfId="0" applyFont="1" applyBorder="1" applyAlignment="1">
      <alignment horizontal="center" vertical="center"/>
    </xf>
    <xf numFmtId="0" fontId="15" fillId="0" borderId="0" xfId="0" applyFont="1" applyAlignment="1">
      <alignment horizontal="center" vertical="center"/>
    </xf>
    <xf numFmtId="165" fontId="0" fillId="0" borderId="1" xfId="0" applyNumberFormat="1" applyBorder="1" applyAlignment="1">
      <alignment horizontal="center" vertical="center" wrapText="1"/>
    </xf>
    <xf numFmtId="4" fontId="0" fillId="0" borderId="1" xfId="0" applyNumberFormat="1" applyBorder="1" applyAlignment="1">
      <alignment horizontal="center" wrapText="1"/>
    </xf>
    <xf numFmtId="0" fontId="13" fillId="12" borderId="1" xfId="0" applyFont="1" applyFill="1" applyBorder="1" applyAlignment="1">
      <alignment horizontal="left" vertical="center"/>
    </xf>
    <xf numFmtId="0" fontId="3" fillId="0" borderId="0" xfId="0" applyFont="1" applyAlignment="1">
      <alignment horizontal="center"/>
    </xf>
    <xf numFmtId="0" fontId="0" fillId="0" borderId="1" xfId="0" applyBorder="1" applyAlignment="1">
      <alignment horizontal="center" vertical="top"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15" fontId="0" fillId="0" borderId="1" xfId="0" applyNumberFormat="1" applyBorder="1" applyAlignment="1">
      <alignment horizontal="center" wrapText="1"/>
    </xf>
    <xf numFmtId="165" fontId="0" fillId="0" borderId="1" xfId="0" applyNumberFormat="1" applyBorder="1" applyAlignment="1">
      <alignment horizontal="center" vertical="center"/>
    </xf>
    <xf numFmtId="165" fontId="0" fillId="0" borderId="1" xfId="0" applyNumberFormat="1" applyBorder="1" applyAlignment="1">
      <alignment horizontal="center" vertical="top" wrapText="1"/>
    </xf>
    <xf numFmtId="0" fontId="16" fillId="0" borderId="0" xfId="0" applyFont="1" applyAlignment="1">
      <alignment vertical="center"/>
    </xf>
    <xf numFmtId="166" fontId="18" fillId="0" borderId="1" xfId="1" applyNumberFormat="1" applyFont="1" applyBorder="1" applyAlignment="1">
      <alignment horizontal="center" vertical="center"/>
    </xf>
    <xf numFmtId="4" fontId="0" fillId="0" borderId="1" xfId="0" applyNumberFormat="1" applyBorder="1" applyAlignment="1">
      <alignment horizontal="center" vertical="center" wrapText="1"/>
    </xf>
    <xf numFmtId="14" fontId="0" fillId="0" borderId="0" xfId="0" applyNumberFormat="1"/>
    <xf numFmtId="0" fontId="19" fillId="0" borderId="0" xfId="0" applyFont="1" applyAlignment="1">
      <alignment horizontal="center" vertical="center"/>
    </xf>
    <xf numFmtId="0" fontId="14" fillId="0" borderId="0" xfId="0" applyFont="1" applyAlignment="1">
      <alignment horizontal="center" vertical="center"/>
    </xf>
    <xf numFmtId="3" fontId="0" fillId="0" borderId="1" xfId="0" applyNumberFormat="1" applyBorder="1" applyAlignment="1">
      <alignment horizontal="center" vertical="center"/>
    </xf>
    <xf numFmtId="0" fontId="13" fillId="0" borderId="1" xfId="0" applyFont="1" applyBorder="1" applyAlignment="1">
      <alignment horizontal="center"/>
    </xf>
    <xf numFmtId="0" fontId="0" fillId="0" borderId="1" xfId="0" applyBorder="1" applyAlignment="1">
      <alignment wrapText="1"/>
    </xf>
    <xf numFmtId="0" fontId="12" fillId="0" borderId="1" xfId="0" applyFont="1" applyBorder="1" applyAlignment="1">
      <alignment horizontal="center" vertical="center"/>
    </xf>
    <xf numFmtId="14" fontId="12" fillId="16"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4" fillId="9" borderId="1" xfId="0" applyFont="1" applyFill="1" applyBorder="1" applyAlignment="1">
      <alignment horizontal="center" vertical="center" wrapText="1"/>
    </xf>
    <xf numFmtId="0" fontId="13" fillId="15" borderId="1" xfId="0" applyFont="1" applyFill="1" applyBorder="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14" fontId="20" fillId="0" borderId="0" xfId="0" applyNumberFormat="1" applyFont="1"/>
    <xf numFmtId="14" fontId="20" fillId="0" borderId="1" xfId="0" applyNumberFormat="1" applyFont="1" applyBorder="1" applyAlignment="1">
      <alignment horizontal="center"/>
    </xf>
    <xf numFmtId="14" fontId="20" fillId="0" borderId="1" xfId="0" applyNumberFormat="1" applyFont="1" applyBorder="1"/>
    <xf numFmtId="0" fontId="20" fillId="0" borderId="0" xfId="0" applyFont="1" applyAlignment="1">
      <alignment horizontal="center"/>
    </xf>
    <xf numFmtId="0" fontId="0" fillId="11" borderId="1" xfId="0" applyFill="1" applyBorder="1" applyAlignment="1">
      <alignment horizontal="center"/>
    </xf>
    <xf numFmtId="14" fontId="0" fillId="17" borderId="1" xfId="0" applyNumberFormat="1" applyFill="1" applyBorder="1" applyAlignment="1">
      <alignment horizontal="center" vertical="center"/>
    </xf>
    <xf numFmtId="0" fontId="21" fillId="0" borderId="1" xfId="0" applyFont="1" applyBorder="1" applyAlignment="1">
      <alignment horizontal="center" wrapText="1"/>
    </xf>
    <xf numFmtId="14" fontId="22" fillId="0" borderId="0" xfId="0" applyNumberFormat="1" applyFont="1" applyAlignment="1">
      <alignment horizontal="center"/>
    </xf>
    <xf numFmtId="0" fontId="23" fillId="0" borderId="0" xfId="0" applyFont="1" applyAlignment="1">
      <alignment horizontal="center"/>
    </xf>
    <xf numFmtId="0" fontId="9" fillId="13" borderId="1" xfId="0" applyFont="1" applyFill="1" applyBorder="1" applyAlignment="1">
      <alignment horizontal="center" vertical="center"/>
    </xf>
    <xf numFmtId="0" fontId="0" fillId="0" borderId="1" xfId="0" quotePrefix="1" applyBorder="1" applyAlignment="1">
      <alignment horizontal="center"/>
    </xf>
    <xf numFmtId="0" fontId="9" fillId="0" borderId="1" xfId="0" applyFont="1" applyBorder="1"/>
    <xf numFmtId="0" fontId="3" fillId="0" borderId="1" xfId="0" applyFont="1" applyBorder="1" applyAlignment="1">
      <alignment horizontal="center" vertical="center"/>
    </xf>
    <xf numFmtId="0" fontId="20" fillId="0" borderId="1" xfId="0" applyFont="1" applyBorder="1" applyAlignment="1">
      <alignment horizontal="center"/>
    </xf>
    <xf numFmtId="0" fontId="23" fillId="0" borderId="0" xfId="0" applyFont="1"/>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165" fontId="0" fillId="2" borderId="1" xfId="0" applyNumberFormat="1" applyFill="1" applyBorder="1" applyAlignment="1">
      <alignment horizontal="center" vertical="center"/>
    </xf>
    <xf numFmtId="0" fontId="0" fillId="2" borderId="1" xfId="0" applyFill="1" applyBorder="1" applyAlignment="1">
      <alignment horizontal="center" vertical="top"/>
    </xf>
    <xf numFmtId="0" fontId="0" fillId="18" borderId="1" xfId="0" applyFill="1" applyBorder="1" applyAlignment="1">
      <alignment horizontal="center" vertical="center"/>
    </xf>
    <xf numFmtId="0" fontId="3" fillId="19"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11" borderId="1" xfId="0" applyFill="1" applyBorder="1" applyAlignment="1">
      <alignment horizontal="center" vertical="center"/>
    </xf>
    <xf numFmtId="0" fontId="0" fillId="6"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wrapText="1"/>
    </xf>
    <xf numFmtId="0" fontId="21" fillId="7" borderId="1" xfId="0" applyFont="1" applyFill="1" applyBorder="1" applyAlignment="1">
      <alignment horizontal="center" vertical="center"/>
    </xf>
    <xf numFmtId="0" fontId="0" fillId="0" borderId="0" xfId="0" applyAlignment="1">
      <alignment wrapText="1"/>
    </xf>
    <xf numFmtId="0" fontId="0" fillId="2" borderId="1" xfId="0" applyFill="1" applyBorder="1" applyAlignment="1">
      <alignment horizontal="center" vertical="center" wrapText="1"/>
    </xf>
    <xf numFmtId="14" fontId="0" fillId="0" borderId="0" xfId="0" applyNumberFormat="1" applyAlignment="1">
      <alignment horizontal="center"/>
    </xf>
    <xf numFmtId="3" fontId="0" fillId="0" borderId="1" xfId="0" applyNumberFormat="1" applyBorder="1" applyAlignment="1">
      <alignment horizontal="center"/>
    </xf>
    <xf numFmtId="0" fontId="24" fillId="2" borderId="1" xfId="0" applyFont="1" applyFill="1" applyBorder="1" applyAlignment="1">
      <alignment horizontal="center" vertical="center"/>
    </xf>
    <xf numFmtId="0" fontId="9" fillId="0" borderId="1" xfId="0" applyFont="1" applyBorder="1" applyAlignment="1">
      <alignment horizontal="center"/>
    </xf>
    <xf numFmtId="14" fontId="9" fillId="0" borderId="1" xfId="0" applyNumberFormat="1" applyFont="1" applyBorder="1" applyAlignment="1">
      <alignment horizontal="center" vertical="center"/>
    </xf>
    <xf numFmtId="14" fontId="9" fillId="0" borderId="1" xfId="0" applyNumberFormat="1" applyFont="1" applyBorder="1" applyAlignment="1">
      <alignment horizontal="center"/>
    </xf>
    <xf numFmtId="15" fontId="3" fillId="0" borderId="1" xfId="0" applyNumberFormat="1" applyFont="1" applyBorder="1" applyAlignment="1">
      <alignment horizontal="center" vertical="center"/>
    </xf>
    <xf numFmtId="0" fontId="0" fillId="17" borderId="1" xfId="0" applyFill="1" applyBorder="1" applyAlignment="1">
      <alignment horizontal="center" vertical="center"/>
    </xf>
    <xf numFmtId="4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 fontId="3"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top"/>
    </xf>
    <xf numFmtId="0" fontId="3" fillId="6" borderId="1" xfId="0" applyFont="1" applyFill="1" applyBorder="1" applyAlignment="1">
      <alignment horizontal="center" vertical="top"/>
    </xf>
    <xf numFmtId="49" fontId="3" fillId="6" borderId="1" xfId="0" applyNumberFormat="1" applyFont="1" applyFill="1" applyBorder="1" applyAlignment="1">
      <alignment horizontal="center" vertical="top" wrapText="1"/>
    </xf>
    <xf numFmtId="1" fontId="3" fillId="6" borderId="1" xfId="0" applyNumberFormat="1" applyFont="1" applyFill="1" applyBorder="1" applyAlignment="1">
      <alignment horizontal="center" vertical="top"/>
    </xf>
    <xf numFmtId="2" fontId="3" fillId="6" borderId="1" xfId="0" applyNumberFormat="1" applyFont="1" applyFill="1" applyBorder="1" applyAlignment="1">
      <alignment horizontal="center" vertical="top"/>
    </xf>
    <xf numFmtId="49" fontId="24" fillId="6" borderId="1" xfId="0" applyNumberFormat="1" applyFont="1" applyFill="1" applyBorder="1" applyAlignment="1">
      <alignment horizontal="center" vertical="top"/>
    </xf>
    <xf numFmtId="0" fontId="0" fillId="6" borderId="1" xfId="0" applyFill="1" applyBorder="1" applyAlignment="1">
      <alignment horizontal="center" vertical="top"/>
    </xf>
    <xf numFmtId="4" fontId="3" fillId="0" borderId="0" xfId="0" applyNumberFormat="1" applyFont="1" applyAlignment="1">
      <alignment horizontal="center"/>
    </xf>
    <xf numFmtId="4" fontId="3" fillId="0" borderId="1" xfId="0" applyNumberFormat="1" applyFont="1" applyBorder="1" applyAlignment="1">
      <alignment horizontal="center"/>
    </xf>
    <xf numFmtId="0" fontId="0" fillId="2" borderId="1" xfId="0" applyFill="1" applyBorder="1" applyAlignment="1">
      <alignment vertical="center"/>
    </xf>
    <xf numFmtId="0" fontId="0" fillId="0" borderId="0" xfId="0" applyAlignment="1">
      <alignment vertical="top" wrapText="1"/>
    </xf>
    <xf numFmtId="0" fontId="10" fillId="0" borderId="0" xfId="0" applyFont="1" applyAlignment="1">
      <alignment horizontal="center" vertical="center"/>
    </xf>
    <xf numFmtId="0" fontId="2" fillId="2" borderId="1" xfId="0" applyFont="1" applyFill="1" applyBorder="1" applyAlignment="1">
      <alignment horizontal="left" vertical="top" wrapText="1"/>
    </xf>
  </cellXfs>
  <cellStyles count="2">
    <cellStyle name="Normal" xfId="0" builtinId="0"/>
    <cellStyle name="Normal 2" xfId="1" xr:uid="{67203C37-14F3-4037-96AA-7CEEFCC7D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R52"/>
  <sheetViews>
    <sheetView tabSelected="1" zoomScale="89" zoomScaleNormal="89" workbookViewId="0">
      <pane ySplit="1" topLeftCell="A26" activePane="bottomLeft" state="frozen"/>
      <selection activeCell="AP1" sqref="AP1"/>
      <selection pane="bottomLeft" activeCell="G61" sqref="G61"/>
    </sheetView>
  </sheetViews>
  <sheetFormatPr defaultColWidth="9.109375" defaultRowHeight="18" customHeight="1" x14ac:dyDescent="0.3"/>
  <cols>
    <col min="1" max="1" width="9.44140625" style="2" bestFit="1" customWidth="1"/>
    <col min="2" max="2" width="22.88671875" style="7" bestFit="1" customWidth="1"/>
    <col min="3" max="3" width="15.44140625" style="111" customWidth="1"/>
    <col min="4" max="4" width="14.44140625" style="2" customWidth="1"/>
    <col min="5" max="5" width="16.109375" style="2" customWidth="1"/>
    <col min="6" max="6" width="22.44140625" style="2" customWidth="1"/>
    <col min="7" max="7" width="94.33203125" style="2" bestFit="1" customWidth="1"/>
    <col min="8" max="8" width="9.33203125" style="2" customWidth="1"/>
    <col min="9" max="9" width="14.6640625" style="83" customWidth="1"/>
    <col min="10" max="11" width="9.109375" style="2" customWidth="1"/>
    <col min="12" max="12" width="16.88671875" style="2" customWidth="1"/>
    <col min="13" max="13" width="11.6640625" style="169" customWidth="1"/>
    <col min="14" max="14" width="221.6640625" style="56" customWidth="1"/>
    <col min="15" max="15" width="12.88671875" style="1" customWidth="1"/>
    <col min="16" max="16" width="12.44140625" style="15" customWidth="1"/>
    <col min="17" max="17" width="11.88671875" style="15" customWidth="1"/>
    <col min="18" max="18" width="13.5546875" style="15" customWidth="1"/>
    <col min="19" max="19" width="21" style="15" bestFit="1" customWidth="1"/>
    <col min="20" max="20" width="19.109375" style="1" customWidth="1"/>
    <col min="21" max="21" width="52.88671875" style="1" customWidth="1"/>
    <col min="22" max="22" width="26.5546875" style="2" customWidth="1"/>
    <col min="23" max="23" width="21" style="2" bestFit="1" customWidth="1"/>
    <col min="24" max="24" width="20" style="2" customWidth="1"/>
    <col min="25" max="25" width="11.6640625" style="2" customWidth="1"/>
    <col min="26" max="26" width="21.44140625" style="2" customWidth="1"/>
    <col min="27" max="27" width="12.5546875" style="2" customWidth="1"/>
    <col min="28" max="28" width="11.88671875" style="2" customWidth="1"/>
    <col min="29" max="29" width="20.33203125" style="2" customWidth="1"/>
    <col min="30" max="30" width="17.5546875" style="2" customWidth="1"/>
    <col min="31" max="31" width="14.44140625" style="2" bestFit="1" customWidth="1"/>
    <col min="32" max="33" width="9.33203125" style="2" customWidth="1"/>
    <col min="34" max="34" width="12.6640625" style="2" customWidth="1"/>
    <col min="35" max="35" width="15.44140625" style="2" customWidth="1"/>
    <col min="36" max="36" width="11.33203125" style="2" customWidth="1"/>
    <col min="37" max="37" width="22.109375" style="2" customWidth="1"/>
    <col min="38" max="38" width="17.6640625" style="2" customWidth="1"/>
    <col min="39" max="39" width="22.33203125" style="2" customWidth="1"/>
    <col min="40" max="40" width="13.5546875" style="2" customWidth="1"/>
    <col min="41" max="41" width="14.109375" style="2" customWidth="1"/>
    <col min="42" max="42" width="17.44140625" style="2" customWidth="1"/>
    <col min="43" max="43" width="21" style="2" customWidth="1"/>
    <col min="44" max="44" width="136" style="15" customWidth="1"/>
    <col min="45" max="45" width="18.33203125" style="2" customWidth="1"/>
    <col min="46" max="46" width="14.6640625" style="44" bestFit="1" customWidth="1"/>
    <col min="47" max="47" width="8.33203125" style="15" customWidth="1"/>
    <col min="48" max="48" width="17.6640625" style="2" customWidth="1"/>
    <col min="49" max="49" width="22.5546875" style="2" customWidth="1"/>
    <col min="50" max="50" width="15.109375" style="15" customWidth="1"/>
    <col min="51" max="51" width="12.88671875" style="2" customWidth="1"/>
    <col min="52" max="52" width="11.88671875" style="1" customWidth="1"/>
    <col min="53" max="53" width="14.5546875" style="1" customWidth="1"/>
    <col min="54" max="54" width="20.109375" style="2" customWidth="1"/>
    <col min="55" max="55" width="18.33203125" style="1" customWidth="1"/>
    <col min="56" max="56" width="16.33203125" style="2" bestFit="1" customWidth="1"/>
    <col min="57" max="57" width="13.44140625" style="15" bestFit="1" customWidth="1"/>
    <col min="58" max="58" width="12.6640625" style="1" bestFit="1" customWidth="1"/>
    <col min="59" max="59" width="20.44140625" style="1" bestFit="1" customWidth="1"/>
    <col min="60" max="60" width="15.44140625" style="1" bestFit="1" customWidth="1"/>
    <col min="61" max="61" width="13.5546875" style="1" bestFit="1" customWidth="1"/>
    <col min="62" max="62" width="17.6640625" style="15" bestFit="1" customWidth="1"/>
    <col min="63" max="63" width="9.109375" style="15"/>
    <col min="64" max="64" width="18.88671875" style="15" bestFit="1" customWidth="1"/>
    <col min="65" max="65" width="121.88671875" style="15" bestFit="1" customWidth="1"/>
    <col min="66" max="66" width="13.5546875" style="15" bestFit="1" customWidth="1"/>
    <col min="67" max="67" width="32.88671875" style="15" bestFit="1" customWidth="1"/>
    <col min="68" max="68" width="18" style="15" customWidth="1"/>
    <col min="69" max="69" width="19.44140625" style="2" bestFit="1" customWidth="1"/>
    <col min="70" max="70" width="18.109375" style="1" bestFit="1" customWidth="1"/>
    <col min="71" max="16384" width="9.109375" style="15"/>
  </cols>
  <sheetData>
    <row r="1" spans="1:70" s="2" customFormat="1" ht="18" customHeight="1" x14ac:dyDescent="0.3">
      <c r="A1" s="144" t="s">
        <v>0</v>
      </c>
      <c r="B1" s="161" t="s">
        <v>1</v>
      </c>
      <c r="C1" s="146" t="s">
        <v>853</v>
      </c>
      <c r="D1" s="145" t="s">
        <v>3</v>
      </c>
      <c r="E1" s="147" t="s">
        <v>2313</v>
      </c>
      <c r="F1" s="145" t="s">
        <v>5</v>
      </c>
      <c r="G1" s="145" t="s">
        <v>6</v>
      </c>
      <c r="H1" s="145" t="s">
        <v>7</v>
      </c>
      <c r="I1" s="148" t="s">
        <v>8</v>
      </c>
      <c r="J1" s="145" t="s">
        <v>9</v>
      </c>
      <c r="K1" s="145" t="s">
        <v>10</v>
      </c>
      <c r="L1" s="145" t="s">
        <v>11</v>
      </c>
      <c r="M1" s="153" t="s">
        <v>25</v>
      </c>
      <c r="N1" s="149" t="s">
        <v>12</v>
      </c>
      <c r="O1" s="145" t="s">
        <v>13</v>
      </c>
      <c r="P1" s="150" t="s">
        <v>14</v>
      </c>
      <c r="Q1" s="151" t="s">
        <v>15</v>
      </c>
      <c r="R1" s="145" t="s">
        <v>16</v>
      </c>
      <c r="S1" s="182" t="s">
        <v>17</v>
      </c>
      <c r="T1" s="152" t="s">
        <v>18</v>
      </c>
      <c r="U1" s="145" t="s">
        <v>4321</v>
      </c>
      <c r="V1" s="145" t="s">
        <v>20</v>
      </c>
      <c r="W1" s="145" t="s">
        <v>21</v>
      </c>
      <c r="X1" s="145" t="s">
        <v>22</v>
      </c>
      <c r="Y1" s="145" t="s">
        <v>2762</v>
      </c>
      <c r="Z1" s="161" t="s">
        <v>24</v>
      </c>
      <c r="AA1" s="145" t="s">
        <v>26</v>
      </c>
      <c r="AB1" s="145" t="s">
        <v>27</v>
      </c>
      <c r="AC1" s="145" t="s">
        <v>28</v>
      </c>
      <c r="AD1" s="145" t="s">
        <v>1826</v>
      </c>
      <c r="AE1" s="145" t="s">
        <v>30</v>
      </c>
      <c r="AF1" s="145" t="s">
        <v>31</v>
      </c>
      <c r="AG1" s="145" t="s">
        <v>32</v>
      </c>
      <c r="AH1" s="145" t="s">
        <v>33</v>
      </c>
      <c r="AI1" s="145" t="s">
        <v>34</v>
      </c>
      <c r="AJ1" s="145" t="s">
        <v>35</v>
      </c>
      <c r="AK1" s="145" t="s">
        <v>36</v>
      </c>
      <c r="AL1" s="145" t="s">
        <v>37</v>
      </c>
      <c r="AM1" s="145" t="s">
        <v>38</v>
      </c>
      <c r="AN1" s="164" t="s">
        <v>39</v>
      </c>
      <c r="AO1" s="145" t="s">
        <v>40</v>
      </c>
      <c r="AP1" s="145" t="s">
        <v>41</v>
      </c>
      <c r="AQ1" s="145" t="s">
        <v>42</v>
      </c>
      <c r="AR1" s="145" t="s">
        <v>4492</v>
      </c>
      <c r="AS1" s="154" t="s">
        <v>43</v>
      </c>
      <c r="AT1" s="155" t="s">
        <v>8</v>
      </c>
      <c r="AU1" s="156" t="s">
        <v>44</v>
      </c>
      <c r="AV1" s="156" t="s">
        <v>37</v>
      </c>
      <c r="AW1" s="156" t="s">
        <v>45</v>
      </c>
      <c r="AX1" s="156" t="s">
        <v>46</v>
      </c>
      <c r="AY1" s="156" t="s">
        <v>40</v>
      </c>
      <c r="AZ1" s="156" t="s">
        <v>41</v>
      </c>
      <c r="BA1" s="156" t="s">
        <v>47</v>
      </c>
      <c r="BB1" s="156" t="s">
        <v>48</v>
      </c>
      <c r="BC1" s="157" t="s">
        <v>49</v>
      </c>
      <c r="BD1" s="156" t="s">
        <v>50</v>
      </c>
      <c r="BE1" s="156" t="s">
        <v>51</v>
      </c>
      <c r="BF1" s="156" t="s">
        <v>52</v>
      </c>
      <c r="BG1" s="158" t="s">
        <v>53</v>
      </c>
      <c r="BH1" s="156" t="s">
        <v>54</v>
      </c>
      <c r="BI1" s="156" t="s">
        <v>70</v>
      </c>
      <c r="BJ1" s="159" t="s">
        <v>55</v>
      </c>
      <c r="BK1" s="159" t="s">
        <v>56</v>
      </c>
      <c r="BL1" s="156" t="s">
        <v>57</v>
      </c>
      <c r="BM1" s="156" t="s">
        <v>4493</v>
      </c>
      <c r="BN1" s="156" t="s">
        <v>59</v>
      </c>
      <c r="BO1" s="156" t="s">
        <v>60</v>
      </c>
      <c r="BP1" s="156" t="s">
        <v>61</v>
      </c>
      <c r="BQ1" s="156" t="s">
        <v>3906</v>
      </c>
      <c r="BR1" s="156" t="s">
        <v>3907</v>
      </c>
    </row>
    <row r="2" spans="1:70" ht="17.25" hidden="1" customHeight="1" x14ac:dyDescent="0.3">
      <c r="A2" s="2">
        <v>1</v>
      </c>
      <c r="B2" s="7">
        <v>7070165</v>
      </c>
      <c r="C2" s="111">
        <v>46009</v>
      </c>
      <c r="D2" s="2">
        <v>41540</v>
      </c>
      <c r="E2" s="2" t="s">
        <v>840</v>
      </c>
      <c r="F2" s="8" t="s">
        <v>219</v>
      </c>
      <c r="G2" s="8" t="s">
        <v>2757</v>
      </c>
      <c r="H2" s="8" t="s">
        <v>201</v>
      </c>
      <c r="I2" s="83">
        <v>52620</v>
      </c>
      <c r="J2" s="2" t="s">
        <v>142</v>
      </c>
      <c r="K2" s="2" t="s">
        <v>126</v>
      </c>
      <c r="L2" s="2" t="s">
        <v>854</v>
      </c>
      <c r="M2" s="134">
        <v>46020</v>
      </c>
      <c r="N2" s="56" t="s">
        <v>4324</v>
      </c>
      <c r="Q2" s="67">
        <f t="shared" ref="Q2:Q17" si="0">AQ2-AB2</f>
        <v>3</v>
      </c>
      <c r="R2" s="133">
        <f t="shared" ref="R2:R17" ca="1" si="1">TODAY()-AC2</f>
        <v>90</v>
      </c>
      <c r="S2" s="15">
        <f t="shared" ref="S2:S17" ca="1" si="2">AF2*45*R2</f>
        <v>8100</v>
      </c>
      <c r="U2" s="1" t="s">
        <v>3120</v>
      </c>
      <c r="V2" s="1" t="s">
        <v>844</v>
      </c>
      <c r="W2" s="2" t="s">
        <v>380</v>
      </c>
      <c r="X2" s="2">
        <v>20255151723</v>
      </c>
      <c r="Y2" s="14">
        <v>46016</v>
      </c>
      <c r="Z2" s="14">
        <v>46022</v>
      </c>
      <c r="AA2" s="14">
        <v>46020</v>
      </c>
      <c r="AB2" s="14">
        <v>46020</v>
      </c>
      <c r="AC2" s="14">
        <v>46023</v>
      </c>
      <c r="AD2" s="2">
        <v>23215586874</v>
      </c>
      <c r="AE2" s="2" t="s">
        <v>3121</v>
      </c>
      <c r="AF2" s="2">
        <v>2</v>
      </c>
      <c r="AG2" s="2">
        <v>406.5</v>
      </c>
      <c r="AI2" s="2" t="s">
        <v>629</v>
      </c>
      <c r="AK2" s="14">
        <v>46020</v>
      </c>
      <c r="AL2" s="14">
        <v>46020</v>
      </c>
      <c r="AM2" s="14">
        <v>46021</v>
      </c>
      <c r="AO2" s="2">
        <v>6616406</v>
      </c>
      <c r="AP2" s="14">
        <v>46021</v>
      </c>
      <c r="AQ2" s="14">
        <v>46023</v>
      </c>
      <c r="AR2" s="15" t="s">
        <v>3812</v>
      </c>
      <c r="AT2" s="44">
        <v>52712</v>
      </c>
      <c r="AV2" s="14">
        <v>46025</v>
      </c>
      <c r="AW2" s="14">
        <v>46026</v>
      </c>
      <c r="AY2" s="2">
        <v>8229164</v>
      </c>
      <c r="AZ2" s="5">
        <v>46104</v>
      </c>
      <c r="BA2" s="1">
        <v>3915145</v>
      </c>
      <c r="BB2" s="2">
        <v>704726</v>
      </c>
      <c r="BC2" s="5">
        <v>46104</v>
      </c>
      <c r="BD2" s="5">
        <v>46104</v>
      </c>
      <c r="BF2" s="5">
        <v>46106</v>
      </c>
      <c r="BQ2" s="14">
        <v>46026</v>
      </c>
      <c r="BR2" s="5">
        <v>46034</v>
      </c>
    </row>
    <row r="3" spans="1:70" ht="18" hidden="1" customHeight="1" x14ac:dyDescent="0.3">
      <c r="A3" s="2">
        <v>2</v>
      </c>
      <c r="B3" s="7">
        <v>1024041</v>
      </c>
      <c r="C3" s="111">
        <v>46006</v>
      </c>
      <c r="D3" s="2">
        <v>20714.599999999999</v>
      </c>
      <c r="E3" s="2" t="s">
        <v>681</v>
      </c>
      <c r="F3" s="2" t="s">
        <v>3014</v>
      </c>
      <c r="G3" s="2" t="s">
        <v>3082</v>
      </c>
      <c r="H3" s="2">
        <v>10</v>
      </c>
      <c r="I3" s="83">
        <v>52655</v>
      </c>
      <c r="J3" s="2" t="s">
        <v>142</v>
      </c>
      <c r="K3" s="2" t="s">
        <v>126</v>
      </c>
      <c r="L3" s="2" t="s">
        <v>854</v>
      </c>
      <c r="M3" s="134">
        <v>46016</v>
      </c>
      <c r="N3" s="56" t="s">
        <v>3986</v>
      </c>
      <c r="O3" s="1">
        <v>3919.96</v>
      </c>
      <c r="Q3" s="67">
        <f t="shared" si="0"/>
        <v>8</v>
      </c>
      <c r="R3" s="133">
        <f t="shared" ca="1" si="1"/>
        <v>89</v>
      </c>
      <c r="S3" s="15">
        <f t="shared" ca="1" si="2"/>
        <v>4005</v>
      </c>
      <c r="T3" s="1">
        <v>2795</v>
      </c>
      <c r="U3" s="1" t="s">
        <v>3147</v>
      </c>
      <c r="V3" s="2" t="s">
        <v>3148</v>
      </c>
      <c r="W3" s="2" t="s">
        <v>3150</v>
      </c>
      <c r="X3" s="2" t="s">
        <v>3516</v>
      </c>
      <c r="Y3" s="14">
        <v>46042</v>
      </c>
      <c r="Z3" s="14">
        <v>46046</v>
      </c>
      <c r="AA3" s="14">
        <v>46016</v>
      </c>
      <c r="AB3" s="14">
        <v>46016</v>
      </c>
      <c r="AC3" s="14">
        <v>46024</v>
      </c>
      <c r="AD3" s="2">
        <v>31295160833</v>
      </c>
      <c r="AE3" s="2" t="s">
        <v>3151</v>
      </c>
      <c r="AF3" s="2">
        <v>1</v>
      </c>
      <c r="AG3" s="2">
        <v>100</v>
      </c>
      <c r="AI3" s="2" t="s">
        <v>3116</v>
      </c>
      <c r="AK3" s="14">
        <v>46022</v>
      </c>
      <c r="AL3" s="14">
        <v>46022</v>
      </c>
      <c r="AM3" s="14">
        <v>46022</v>
      </c>
      <c r="AO3" s="2">
        <v>6634189</v>
      </c>
      <c r="AP3" s="14">
        <v>46022</v>
      </c>
      <c r="AQ3" s="14">
        <v>46024</v>
      </c>
      <c r="AR3" s="15" t="s">
        <v>3753</v>
      </c>
      <c r="AT3" s="44">
        <v>52677</v>
      </c>
      <c r="AV3" s="14">
        <v>46043</v>
      </c>
      <c r="AW3" s="14">
        <v>46043</v>
      </c>
      <c r="AY3" s="2">
        <v>7318743</v>
      </c>
      <c r="AZ3" s="5">
        <v>46058</v>
      </c>
      <c r="BA3" s="1">
        <v>1889172</v>
      </c>
      <c r="BB3" s="2">
        <v>340051</v>
      </c>
      <c r="BC3" s="5">
        <v>46058</v>
      </c>
      <c r="BD3" s="14">
        <v>46078</v>
      </c>
      <c r="BF3" s="5">
        <v>46079</v>
      </c>
      <c r="BQ3" s="14">
        <v>46043</v>
      </c>
      <c r="BR3" s="5">
        <v>46057</v>
      </c>
    </row>
    <row r="4" spans="1:70" ht="18" hidden="1" customHeight="1" x14ac:dyDescent="0.3">
      <c r="A4" s="2">
        <v>3</v>
      </c>
      <c r="B4" s="7">
        <v>7074495</v>
      </c>
      <c r="C4" s="111">
        <v>46020</v>
      </c>
      <c r="D4" s="2">
        <v>93080</v>
      </c>
      <c r="E4" s="2" t="s">
        <v>840</v>
      </c>
      <c r="F4" s="8" t="s">
        <v>3283</v>
      </c>
      <c r="G4" s="8" t="s">
        <v>3192</v>
      </c>
      <c r="H4" s="8" t="s">
        <v>141</v>
      </c>
      <c r="I4" s="83">
        <v>52789</v>
      </c>
      <c r="J4" s="2" t="s">
        <v>142</v>
      </c>
      <c r="K4" s="2" t="s">
        <v>126</v>
      </c>
      <c r="L4" s="2" t="s">
        <v>854</v>
      </c>
      <c r="M4" s="134">
        <v>46035</v>
      </c>
      <c r="N4" s="56" t="s">
        <v>4320</v>
      </c>
      <c r="Q4" s="67">
        <f t="shared" si="0"/>
        <v>3</v>
      </c>
      <c r="R4" s="133">
        <f t="shared" ca="1" si="1"/>
        <v>75</v>
      </c>
      <c r="S4" s="15">
        <f t="shared" ca="1" si="2"/>
        <v>10125</v>
      </c>
      <c r="T4" s="1">
        <v>649</v>
      </c>
      <c r="U4" s="1" t="s">
        <v>3284</v>
      </c>
      <c r="V4" s="1" t="s">
        <v>844</v>
      </c>
      <c r="W4" s="2" t="s">
        <v>380</v>
      </c>
      <c r="X4" s="2">
        <v>2065002450</v>
      </c>
      <c r="Y4" s="14">
        <v>46029</v>
      </c>
      <c r="Z4" s="14">
        <v>46034</v>
      </c>
      <c r="AA4" s="14">
        <v>46035</v>
      </c>
      <c r="AB4" s="14">
        <v>46035</v>
      </c>
      <c r="AC4" s="14">
        <v>46038</v>
      </c>
      <c r="AD4" s="2">
        <v>17624852391</v>
      </c>
      <c r="AE4" s="2" t="s">
        <v>3285</v>
      </c>
      <c r="AF4" s="2">
        <v>3</v>
      </c>
      <c r="AG4" s="2">
        <v>792.5</v>
      </c>
      <c r="AI4" s="2" t="s">
        <v>180</v>
      </c>
      <c r="AK4" s="14">
        <v>46030</v>
      </c>
      <c r="AL4" s="14">
        <v>46031</v>
      </c>
      <c r="AM4" s="14">
        <v>46031</v>
      </c>
      <c r="AO4" s="2">
        <v>6881323</v>
      </c>
      <c r="AP4" s="14">
        <v>46036</v>
      </c>
      <c r="AQ4" s="14">
        <v>46038</v>
      </c>
      <c r="AT4" s="44">
        <v>52902</v>
      </c>
      <c r="AV4" s="14">
        <v>46041</v>
      </c>
      <c r="AW4" s="14">
        <v>46042</v>
      </c>
      <c r="AY4" s="2">
        <v>8228612</v>
      </c>
      <c r="AZ4" s="5">
        <v>46104</v>
      </c>
      <c r="BA4" s="1">
        <v>8772790</v>
      </c>
      <c r="BB4" s="2">
        <v>1579102</v>
      </c>
      <c r="BC4" s="5">
        <v>46104</v>
      </c>
      <c r="BD4" s="14">
        <v>46105</v>
      </c>
      <c r="BE4" s="15" t="s">
        <v>4316</v>
      </c>
      <c r="BF4" s="14">
        <v>46105</v>
      </c>
      <c r="BQ4" s="14">
        <v>46042</v>
      </c>
      <c r="BR4" s="5">
        <v>46099</v>
      </c>
    </row>
    <row r="5" spans="1:70" ht="18" hidden="1" customHeight="1" x14ac:dyDescent="0.3">
      <c r="A5" s="2">
        <v>4</v>
      </c>
      <c r="B5" s="7">
        <v>7074311</v>
      </c>
      <c r="C5" s="111">
        <v>46018</v>
      </c>
      <c r="D5" s="2">
        <v>18616</v>
      </c>
      <c r="E5" s="2" t="s">
        <v>840</v>
      </c>
      <c r="F5" s="8" t="s">
        <v>1382</v>
      </c>
      <c r="G5" s="8" t="s">
        <v>1383</v>
      </c>
      <c r="H5" s="8" t="s">
        <v>2991</v>
      </c>
      <c r="I5" s="83">
        <v>52869</v>
      </c>
      <c r="J5" s="2" t="s">
        <v>142</v>
      </c>
      <c r="K5" s="2" t="s">
        <v>126</v>
      </c>
      <c r="L5" s="2" t="s">
        <v>854</v>
      </c>
      <c r="M5" s="134">
        <v>46037</v>
      </c>
      <c r="N5" s="56" t="s">
        <v>4448</v>
      </c>
      <c r="Q5" s="67">
        <f t="shared" si="0"/>
        <v>4</v>
      </c>
      <c r="R5" s="133">
        <f t="shared" ca="1" si="1"/>
        <v>72</v>
      </c>
      <c r="S5" s="15">
        <f t="shared" ca="1" si="2"/>
        <v>3240</v>
      </c>
      <c r="U5" s="1" t="s">
        <v>3001</v>
      </c>
      <c r="V5" s="1" t="s">
        <v>239</v>
      </c>
      <c r="W5" s="1" t="s">
        <v>454</v>
      </c>
      <c r="X5" s="2">
        <v>20265004486</v>
      </c>
      <c r="Y5" s="14">
        <v>46035</v>
      </c>
      <c r="Z5" s="14">
        <v>46039</v>
      </c>
      <c r="AA5" s="14">
        <v>46037</v>
      </c>
      <c r="AB5" s="14">
        <v>46037</v>
      </c>
      <c r="AC5" s="14">
        <v>46041</v>
      </c>
      <c r="AD5" s="2">
        <v>23215594751</v>
      </c>
      <c r="AE5" s="2" t="s">
        <v>3382</v>
      </c>
      <c r="AF5" s="2">
        <v>1</v>
      </c>
      <c r="AG5" s="2">
        <v>222</v>
      </c>
      <c r="AI5" s="2" t="s">
        <v>629</v>
      </c>
      <c r="AK5" s="14">
        <v>46037</v>
      </c>
      <c r="AL5" s="14">
        <v>46038</v>
      </c>
      <c r="AM5" s="14">
        <v>46038</v>
      </c>
      <c r="AO5" s="2">
        <v>6924945</v>
      </c>
      <c r="AP5" s="14">
        <v>46038</v>
      </c>
      <c r="AQ5" s="14">
        <v>46041</v>
      </c>
      <c r="AR5" s="15" t="s">
        <v>4447</v>
      </c>
      <c r="AT5" s="44">
        <v>52847</v>
      </c>
      <c r="AV5" s="14">
        <v>46044</v>
      </c>
      <c r="AW5" s="14">
        <v>46076</v>
      </c>
      <c r="AY5" s="2">
        <v>8370978</v>
      </c>
      <c r="AZ5" s="5">
        <v>46111</v>
      </c>
      <c r="BA5" s="1">
        <v>1754558</v>
      </c>
      <c r="BB5" s="2">
        <v>315820</v>
      </c>
      <c r="BC5" s="5">
        <v>46111</v>
      </c>
      <c r="BD5" s="5">
        <v>46111</v>
      </c>
      <c r="BQ5" s="14">
        <v>46045</v>
      </c>
    </row>
    <row r="6" spans="1:70" ht="18" hidden="1" customHeight="1" x14ac:dyDescent="0.3">
      <c r="A6" s="2">
        <v>5</v>
      </c>
      <c r="B6" s="7">
        <v>7055295</v>
      </c>
      <c r="C6" s="111">
        <v>45996</v>
      </c>
      <c r="D6" s="2">
        <v>46540</v>
      </c>
      <c r="E6" s="2" t="s">
        <v>840</v>
      </c>
      <c r="F6" s="8" t="s">
        <v>760</v>
      </c>
      <c r="G6" s="8" t="s">
        <v>2000</v>
      </c>
      <c r="H6" s="8" t="s">
        <v>201</v>
      </c>
      <c r="I6" s="83">
        <v>52922</v>
      </c>
      <c r="J6" s="2" t="s">
        <v>142</v>
      </c>
      <c r="K6" s="2" t="s">
        <v>126</v>
      </c>
      <c r="L6" s="2" t="s">
        <v>854</v>
      </c>
      <c r="M6" s="134">
        <v>46043</v>
      </c>
      <c r="N6" s="56" t="s">
        <v>4445</v>
      </c>
      <c r="Q6" s="67">
        <f t="shared" si="0"/>
        <v>2</v>
      </c>
      <c r="R6" s="133">
        <f t="shared" ca="1" si="1"/>
        <v>68</v>
      </c>
      <c r="S6" s="15">
        <f t="shared" ca="1" si="2"/>
        <v>6120</v>
      </c>
      <c r="U6" s="1" t="s">
        <v>3196</v>
      </c>
      <c r="V6" s="1" t="s">
        <v>239</v>
      </c>
      <c r="W6" s="1" t="s">
        <v>454</v>
      </c>
      <c r="X6" s="2">
        <v>20265006045</v>
      </c>
      <c r="Y6" s="14">
        <v>46039</v>
      </c>
      <c r="Z6" s="14">
        <v>46045</v>
      </c>
      <c r="AA6" s="14">
        <v>46043</v>
      </c>
      <c r="AB6" s="14">
        <v>46043</v>
      </c>
      <c r="AC6" s="14">
        <v>46045</v>
      </c>
      <c r="AD6" s="2">
        <v>17621570150</v>
      </c>
      <c r="AE6" s="2" t="s">
        <v>3432</v>
      </c>
      <c r="AF6" s="2">
        <v>2</v>
      </c>
      <c r="AG6" s="2">
        <v>415</v>
      </c>
      <c r="AI6" s="2" t="s">
        <v>180</v>
      </c>
      <c r="AK6" s="14">
        <v>46042</v>
      </c>
      <c r="AL6" s="14">
        <v>46042</v>
      </c>
      <c r="AM6" s="14">
        <v>46042</v>
      </c>
      <c r="AO6" s="2">
        <v>7039894</v>
      </c>
      <c r="AP6" s="14">
        <v>46044</v>
      </c>
      <c r="AQ6" s="14">
        <v>46045</v>
      </c>
      <c r="AR6" s="15" t="s">
        <v>4444</v>
      </c>
      <c r="AT6" s="44">
        <v>52846</v>
      </c>
      <c r="AV6" s="14">
        <v>46052</v>
      </c>
      <c r="AW6" s="14">
        <v>46056</v>
      </c>
      <c r="AY6" s="2">
        <v>8370972</v>
      </c>
      <c r="AZ6" s="5">
        <v>46111</v>
      </c>
      <c r="BA6" s="1">
        <v>4386395</v>
      </c>
      <c r="BB6" s="2">
        <v>789551</v>
      </c>
      <c r="BC6" s="5">
        <v>46111</v>
      </c>
      <c r="BD6" s="5">
        <v>46111</v>
      </c>
      <c r="BQ6" s="14">
        <v>46056</v>
      </c>
      <c r="BR6" s="14">
        <v>46056</v>
      </c>
    </row>
    <row r="7" spans="1:70" ht="18" hidden="1" customHeight="1" x14ac:dyDescent="0.3">
      <c r="A7" s="2">
        <v>6</v>
      </c>
      <c r="B7" s="7">
        <v>7074525</v>
      </c>
      <c r="C7" s="111">
        <v>46020</v>
      </c>
      <c r="D7" s="2">
        <v>18616</v>
      </c>
      <c r="E7" s="2" t="s">
        <v>840</v>
      </c>
      <c r="F7" s="8" t="s">
        <v>1382</v>
      </c>
      <c r="G7" s="8" t="s">
        <v>1383</v>
      </c>
      <c r="H7" s="8" t="s">
        <v>2991</v>
      </c>
      <c r="I7" s="83">
        <v>52930</v>
      </c>
      <c r="J7" s="2" t="s">
        <v>1631</v>
      </c>
      <c r="K7" s="2" t="s">
        <v>126</v>
      </c>
      <c r="L7" s="2" t="s">
        <v>854</v>
      </c>
      <c r="M7" s="134">
        <v>46047</v>
      </c>
      <c r="N7" s="56" t="s">
        <v>4443</v>
      </c>
      <c r="Q7" s="67">
        <f t="shared" si="0"/>
        <v>5</v>
      </c>
      <c r="R7" s="133">
        <f t="shared" ca="1" si="1"/>
        <v>61</v>
      </c>
      <c r="S7" s="15">
        <f t="shared" ca="1" si="2"/>
        <v>2745</v>
      </c>
      <c r="U7" s="1" t="s">
        <v>3441</v>
      </c>
      <c r="V7" s="1" t="s">
        <v>239</v>
      </c>
      <c r="W7" s="1" t="s">
        <v>454</v>
      </c>
      <c r="X7" s="2">
        <v>20265005320</v>
      </c>
      <c r="Y7" s="14">
        <v>46037</v>
      </c>
      <c r="Z7" s="14">
        <v>46044</v>
      </c>
      <c r="AA7" s="14">
        <v>46021</v>
      </c>
      <c r="AB7" s="14">
        <v>46047</v>
      </c>
      <c r="AC7" s="14">
        <v>46052</v>
      </c>
      <c r="AE7" s="2" t="s">
        <v>3442</v>
      </c>
      <c r="AF7" s="2">
        <v>1</v>
      </c>
      <c r="AG7" s="2">
        <v>1.34</v>
      </c>
      <c r="AI7" s="2" t="s">
        <v>180</v>
      </c>
      <c r="AK7" s="14">
        <v>46042</v>
      </c>
      <c r="AL7" s="14">
        <v>46043</v>
      </c>
      <c r="AM7" s="14">
        <v>46043</v>
      </c>
      <c r="AO7" s="2">
        <v>7127214</v>
      </c>
      <c r="AP7" s="14">
        <v>46049</v>
      </c>
      <c r="AQ7" s="14">
        <v>46052</v>
      </c>
      <c r="AR7" s="15" t="s">
        <v>4446</v>
      </c>
      <c r="AT7" s="44">
        <v>53091</v>
      </c>
      <c r="AV7" s="14">
        <v>46053</v>
      </c>
      <c r="AW7" s="14">
        <v>46055</v>
      </c>
      <c r="AY7" s="2">
        <v>8370974</v>
      </c>
      <c r="AZ7" s="5">
        <v>46111</v>
      </c>
      <c r="BA7" s="1">
        <v>1754558</v>
      </c>
      <c r="BB7" s="2">
        <v>315820</v>
      </c>
      <c r="BC7" s="5">
        <v>46111</v>
      </c>
      <c r="BD7" s="5">
        <v>46111</v>
      </c>
      <c r="BQ7" s="14">
        <v>46055</v>
      </c>
      <c r="BR7" s="5">
        <v>46056</v>
      </c>
    </row>
    <row r="8" spans="1:70" ht="18" hidden="1" customHeight="1" x14ac:dyDescent="0.3">
      <c r="A8" s="2">
        <v>7</v>
      </c>
      <c r="B8" s="8" t="s">
        <v>3732</v>
      </c>
      <c r="C8" s="75" t="s">
        <v>3726</v>
      </c>
      <c r="D8" s="8" t="s">
        <v>3733</v>
      </c>
      <c r="E8" s="2" t="s">
        <v>840</v>
      </c>
      <c r="F8" s="8" t="s">
        <v>1104</v>
      </c>
      <c r="G8" s="8" t="s">
        <v>3734</v>
      </c>
      <c r="H8" s="8" t="s">
        <v>3735</v>
      </c>
      <c r="I8" s="83">
        <v>53162</v>
      </c>
      <c r="J8" s="2" t="s">
        <v>142</v>
      </c>
      <c r="K8" s="2" t="s">
        <v>126</v>
      </c>
      <c r="L8" s="2" t="s">
        <v>854</v>
      </c>
      <c r="M8" s="134">
        <v>46058</v>
      </c>
      <c r="N8" s="56" t="s">
        <v>4443</v>
      </c>
      <c r="Q8" s="67">
        <f t="shared" si="0"/>
        <v>1</v>
      </c>
      <c r="R8" s="133">
        <f t="shared" ca="1" si="1"/>
        <v>54</v>
      </c>
      <c r="S8" s="15">
        <f t="shared" ca="1" si="2"/>
        <v>7290</v>
      </c>
      <c r="U8" s="8" t="s">
        <v>3736</v>
      </c>
      <c r="V8" s="2" t="s">
        <v>239</v>
      </c>
      <c r="W8" s="2" t="s">
        <v>454</v>
      </c>
      <c r="X8" s="2">
        <v>20265012962</v>
      </c>
      <c r="Y8" s="14">
        <v>46055</v>
      </c>
      <c r="Z8" s="14">
        <v>46059</v>
      </c>
      <c r="AA8" s="14">
        <v>46058</v>
      </c>
      <c r="AB8" s="14">
        <v>46058</v>
      </c>
      <c r="AC8" s="14">
        <v>46059</v>
      </c>
      <c r="AD8" s="2">
        <v>17622274313</v>
      </c>
      <c r="AE8" s="2" t="s">
        <v>3737</v>
      </c>
      <c r="AF8" s="2">
        <v>3</v>
      </c>
      <c r="AG8" s="2">
        <v>792.5</v>
      </c>
      <c r="AI8" s="2" t="s">
        <v>180</v>
      </c>
      <c r="AK8" s="14">
        <v>46056</v>
      </c>
      <c r="AL8" s="14">
        <v>46057</v>
      </c>
      <c r="AM8" s="14">
        <v>46057</v>
      </c>
      <c r="AO8" s="2">
        <v>7324718</v>
      </c>
      <c r="AP8" s="14">
        <v>46058</v>
      </c>
      <c r="AQ8" s="14">
        <v>46059</v>
      </c>
      <c r="AR8" s="15" t="s">
        <v>4442</v>
      </c>
      <c r="AT8" s="44">
        <v>53213</v>
      </c>
      <c r="AV8" s="14">
        <v>46059</v>
      </c>
      <c r="AW8" s="14">
        <v>46063</v>
      </c>
      <c r="AY8" s="2">
        <v>8370982</v>
      </c>
      <c r="AZ8" s="5">
        <v>46111</v>
      </c>
      <c r="BA8" s="1">
        <v>7830290</v>
      </c>
      <c r="BB8" s="2">
        <v>1409452</v>
      </c>
      <c r="BC8" s="5">
        <v>46111</v>
      </c>
      <c r="BD8" s="14">
        <v>46111</v>
      </c>
      <c r="BQ8" s="14">
        <v>46063</v>
      </c>
    </row>
    <row r="9" spans="1:70" ht="18" hidden="1" customHeight="1" x14ac:dyDescent="0.3">
      <c r="A9" s="2">
        <v>8</v>
      </c>
      <c r="B9" s="8" t="s">
        <v>3873</v>
      </c>
      <c r="C9" s="75" t="s">
        <v>3861</v>
      </c>
      <c r="D9" s="8" t="s">
        <v>1732</v>
      </c>
      <c r="E9" s="2" t="s">
        <v>840</v>
      </c>
      <c r="F9" s="8" t="s">
        <v>225</v>
      </c>
      <c r="G9" s="8" t="s">
        <v>3862</v>
      </c>
      <c r="H9" s="8" t="s">
        <v>1734</v>
      </c>
      <c r="I9" s="83">
        <v>53301</v>
      </c>
      <c r="J9" s="2" t="s">
        <v>1631</v>
      </c>
      <c r="K9" s="2" t="s">
        <v>126</v>
      </c>
      <c r="L9" s="2" t="s">
        <v>854</v>
      </c>
      <c r="M9" s="134">
        <v>46069</v>
      </c>
      <c r="N9" s="56" t="s">
        <v>4441</v>
      </c>
      <c r="Q9" s="67">
        <f t="shared" si="0"/>
        <v>16</v>
      </c>
      <c r="R9" s="133">
        <f t="shared" ca="1" si="1"/>
        <v>28</v>
      </c>
      <c r="S9" s="15">
        <f t="shared" ca="1" si="2"/>
        <v>12600</v>
      </c>
      <c r="U9" s="8" t="s">
        <v>3863</v>
      </c>
      <c r="V9" s="1" t="s">
        <v>844</v>
      </c>
      <c r="W9" s="2" t="s">
        <v>380</v>
      </c>
      <c r="X9" s="2">
        <v>20265017082</v>
      </c>
      <c r="Y9" s="14">
        <v>46064</v>
      </c>
      <c r="Z9" s="14">
        <v>46071</v>
      </c>
      <c r="AA9" s="14">
        <v>46055</v>
      </c>
      <c r="AB9" s="14">
        <v>46069</v>
      </c>
      <c r="AC9" s="14">
        <v>46085</v>
      </c>
      <c r="AD9" s="2" t="s">
        <v>3899</v>
      </c>
      <c r="AE9" s="2">
        <v>76030165537</v>
      </c>
      <c r="AF9" s="2">
        <v>10</v>
      </c>
      <c r="AG9" s="2">
        <v>17.68</v>
      </c>
      <c r="AI9" s="2" t="s">
        <v>629</v>
      </c>
      <c r="AK9" s="14">
        <v>46066</v>
      </c>
      <c r="AL9" s="14">
        <v>46067</v>
      </c>
      <c r="AM9" s="14">
        <v>46067</v>
      </c>
      <c r="AO9" s="2">
        <v>7608868</v>
      </c>
      <c r="AP9" s="14">
        <v>46071</v>
      </c>
      <c r="AQ9" s="14">
        <v>46085</v>
      </c>
      <c r="AR9" s="15" t="s">
        <v>4012</v>
      </c>
      <c r="AT9" s="44">
        <v>53371</v>
      </c>
      <c r="AV9" s="14">
        <v>46074</v>
      </c>
      <c r="AW9" s="14">
        <v>46075</v>
      </c>
      <c r="AY9" s="2">
        <v>8370979</v>
      </c>
      <c r="AZ9" s="5">
        <v>46111</v>
      </c>
      <c r="BA9" s="1">
        <v>29363588</v>
      </c>
      <c r="BB9" s="2">
        <v>5285446</v>
      </c>
      <c r="BC9" s="5">
        <v>46111</v>
      </c>
      <c r="BQ9" s="14">
        <v>46075</v>
      </c>
      <c r="BR9" s="5">
        <v>46108</v>
      </c>
    </row>
    <row r="10" spans="1:70" ht="18" hidden="1" customHeight="1" x14ac:dyDescent="0.3">
      <c r="A10" s="2">
        <v>9</v>
      </c>
      <c r="B10" s="7">
        <v>7095282</v>
      </c>
      <c r="C10" s="111">
        <v>46055</v>
      </c>
      <c r="D10" s="2">
        <v>51925</v>
      </c>
      <c r="E10" s="2" t="s">
        <v>840</v>
      </c>
      <c r="F10" s="8" t="s">
        <v>219</v>
      </c>
      <c r="G10" s="8" t="s">
        <v>3754</v>
      </c>
      <c r="H10" s="8" t="s">
        <v>446</v>
      </c>
      <c r="I10" s="83">
        <v>53302</v>
      </c>
      <c r="J10" s="2" t="s">
        <v>1631</v>
      </c>
      <c r="K10" s="2" t="s">
        <v>126</v>
      </c>
      <c r="L10" s="2" t="s">
        <v>854</v>
      </c>
      <c r="M10" s="134">
        <v>46069</v>
      </c>
      <c r="N10" s="56" t="s">
        <v>4441</v>
      </c>
      <c r="Q10" s="67">
        <f t="shared" si="0"/>
        <v>16</v>
      </c>
      <c r="R10" s="133">
        <f t="shared" ca="1" si="1"/>
        <v>28</v>
      </c>
      <c r="S10" s="15">
        <f t="shared" ca="1" si="2"/>
        <v>2520</v>
      </c>
      <c r="U10" s="1" t="s">
        <v>3874</v>
      </c>
      <c r="V10" s="1" t="s">
        <v>844</v>
      </c>
      <c r="W10" s="2" t="s">
        <v>380</v>
      </c>
      <c r="X10" s="2">
        <v>20265017079</v>
      </c>
      <c r="Y10" s="14">
        <v>46064</v>
      </c>
      <c r="Z10" s="14">
        <v>46071</v>
      </c>
      <c r="AA10" s="14">
        <v>46055</v>
      </c>
      <c r="AB10" s="14">
        <v>46069</v>
      </c>
      <c r="AC10" s="14">
        <v>46085</v>
      </c>
      <c r="AD10" s="2" t="s">
        <v>3899</v>
      </c>
      <c r="AE10" s="2">
        <v>76030165540</v>
      </c>
      <c r="AF10" s="2">
        <v>2</v>
      </c>
      <c r="AG10" s="2">
        <v>2.99</v>
      </c>
      <c r="AI10" s="2" t="s">
        <v>629</v>
      </c>
      <c r="AK10" s="14">
        <v>46066</v>
      </c>
      <c r="AL10" s="14">
        <v>46067</v>
      </c>
      <c r="AM10" s="14">
        <v>46067</v>
      </c>
      <c r="AO10" s="2">
        <v>7603744</v>
      </c>
      <c r="AP10" s="14">
        <v>46071</v>
      </c>
      <c r="AQ10" s="14">
        <v>46085</v>
      </c>
      <c r="AR10" s="15" t="s">
        <v>4013</v>
      </c>
      <c r="AT10" s="44">
        <v>53373</v>
      </c>
      <c r="AV10" s="14">
        <v>46074</v>
      </c>
      <c r="AW10" s="14">
        <v>46075</v>
      </c>
      <c r="AY10" s="2">
        <v>8370976</v>
      </c>
      <c r="AZ10" s="5">
        <v>46111</v>
      </c>
      <c r="BA10" s="1">
        <v>4893931</v>
      </c>
      <c r="BB10" s="2">
        <v>880908</v>
      </c>
      <c r="BC10" s="5">
        <v>46111</v>
      </c>
      <c r="BQ10" s="14">
        <v>46075</v>
      </c>
      <c r="BR10" s="5">
        <v>46108</v>
      </c>
    </row>
    <row r="11" spans="1:70" ht="18" hidden="1" customHeight="1" x14ac:dyDescent="0.3">
      <c r="A11" s="2">
        <v>10</v>
      </c>
      <c r="B11" s="7">
        <v>7103322</v>
      </c>
      <c r="C11" s="111">
        <v>46081</v>
      </c>
      <c r="D11" s="2">
        <v>20770</v>
      </c>
      <c r="E11" s="2" t="s">
        <v>840</v>
      </c>
      <c r="F11" s="8" t="s">
        <v>219</v>
      </c>
      <c r="G11" s="8" t="s">
        <v>1361</v>
      </c>
      <c r="H11" s="8" t="s">
        <v>770</v>
      </c>
      <c r="I11" s="83">
        <v>53644</v>
      </c>
      <c r="J11" s="2" t="s">
        <v>1631</v>
      </c>
      <c r="K11" s="2" t="s">
        <v>126</v>
      </c>
      <c r="L11" s="2" t="s">
        <v>854</v>
      </c>
      <c r="M11" s="134">
        <v>46095</v>
      </c>
      <c r="N11" s="56" t="s">
        <v>4440</v>
      </c>
      <c r="Q11" s="67">
        <f t="shared" si="0"/>
        <v>3</v>
      </c>
      <c r="R11" s="133">
        <f t="shared" ca="1" si="1"/>
        <v>15</v>
      </c>
      <c r="S11" s="15">
        <f t="shared" ca="1" si="2"/>
        <v>675</v>
      </c>
      <c r="U11" s="1" t="s">
        <v>3874</v>
      </c>
      <c r="V11" s="1" t="s">
        <v>844</v>
      </c>
      <c r="W11" s="2" t="s">
        <v>380</v>
      </c>
      <c r="X11" s="2">
        <v>20265026761</v>
      </c>
      <c r="Y11" s="14">
        <v>46090</v>
      </c>
      <c r="Z11" s="14">
        <v>46097</v>
      </c>
      <c r="AA11" s="14">
        <v>46083</v>
      </c>
      <c r="AB11" s="14">
        <v>46095</v>
      </c>
      <c r="AC11" s="14">
        <v>46098</v>
      </c>
      <c r="AE11" s="2" t="s">
        <v>4103</v>
      </c>
      <c r="AF11" s="2">
        <v>1</v>
      </c>
      <c r="AG11" s="2">
        <v>1.24</v>
      </c>
      <c r="AI11" s="2" t="s">
        <v>180</v>
      </c>
      <c r="AK11" s="14">
        <v>46093</v>
      </c>
      <c r="AL11" s="14">
        <v>46094</v>
      </c>
      <c r="AM11" s="14">
        <v>46094</v>
      </c>
      <c r="AO11" s="2">
        <v>8072744</v>
      </c>
      <c r="AP11" s="14">
        <v>46095</v>
      </c>
      <c r="AQ11" s="14">
        <v>46098</v>
      </c>
      <c r="AT11" s="44">
        <v>53711</v>
      </c>
      <c r="AV11" s="14">
        <v>46098</v>
      </c>
      <c r="AW11" s="14">
        <v>46101</v>
      </c>
      <c r="AY11" s="2">
        <v>8370977</v>
      </c>
      <c r="AZ11" s="5">
        <v>46111</v>
      </c>
      <c r="BA11" s="1">
        <v>1957573</v>
      </c>
      <c r="BB11" s="2">
        <v>352363</v>
      </c>
      <c r="BC11" s="5">
        <v>46111</v>
      </c>
      <c r="BD11" s="5">
        <v>46111</v>
      </c>
      <c r="BQ11" s="14">
        <v>46101</v>
      </c>
      <c r="BR11" s="5">
        <v>46108</v>
      </c>
    </row>
    <row r="12" spans="1:70" ht="18" hidden="1" customHeight="1" x14ac:dyDescent="0.3">
      <c r="A12" s="2">
        <v>11</v>
      </c>
      <c r="B12" s="7">
        <v>7103362</v>
      </c>
      <c r="C12" s="111">
        <v>46081</v>
      </c>
      <c r="D12" s="2">
        <v>34905</v>
      </c>
      <c r="E12" s="2" t="s">
        <v>840</v>
      </c>
      <c r="F12" s="8" t="s">
        <v>224</v>
      </c>
      <c r="G12" s="8" t="s">
        <v>1775</v>
      </c>
      <c r="H12" s="8" t="s">
        <v>520</v>
      </c>
      <c r="I12" s="83">
        <v>53649</v>
      </c>
      <c r="J12" s="2" t="s">
        <v>1631</v>
      </c>
      <c r="K12" s="2" t="s">
        <v>126</v>
      </c>
      <c r="L12" s="2" t="s">
        <v>854</v>
      </c>
      <c r="M12" s="134">
        <v>46095</v>
      </c>
      <c r="N12" s="56" t="s">
        <v>4317</v>
      </c>
      <c r="Q12" s="67">
        <f t="shared" si="0"/>
        <v>3</v>
      </c>
      <c r="R12" s="133">
        <f t="shared" ca="1" si="1"/>
        <v>15</v>
      </c>
      <c r="S12" s="15">
        <f t="shared" ca="1" si="2"/>
        <v>675</v>
      </c>
      <c r="U12" s="1" t="s">
        <v>4101</v>
      </c>
      <c r="V12" s="1" t="s">
        <v>384</v>
      </c>
      <c r="W12" s="1" t="s">
        <v>421</v>
      </c>
      <c r="X12" s="2">
        <v>20265026766</v>
      </c>
      <c r="Y12" s="14">
        <v>46090</v>
      </c>
      <c r="Z12" s="14">
        <v>46097</v>
      </c>
      <c r="AA12" s="14">
        <v>46083</v>
      </c>
      <c r="AB12" s="14">
        <v>46095</v>
      </c>
      <c r="AC12" s="14">
        <v>46098</v>
      </c>
      <c r="AE12" s="2" t="s">
        <v>4102</v>
      </c>
      <c r="AF12" s="2">
        <v>1</v>
      </c>
      <c r="AG12" s="2">
        <v>1.78</v>
      </c>
      <c r="AI12" s="2" t="s">
        <v>180</v>
      </c>
      <c r="AK12" s="14">
        <v>46093</v>
      </c>
      <c r="AL12" s="14">
        <v>46094</v>
      </c>
      <c r="AM12" s="14">
        <v>46094</v>
      </c>
      <c r="AO12" s="2">
        <v>8072746</v>
      </c>
      <c r="AP12" s="14">
        <v>46095</v>
      </c>
      <c r="AQ12" s="14">
        <v>46098</v>
      </c>
      <c r="AT12" s="44">
        <v>53706</v>
      </c>
      <c r="AV12" s="14">
        <v>46098</v>
      </c>
      <c r="AW12" s="14">
        <v>46098</v>
      </c>
      <c r="AY12" s="2">
        <v>8228613</v>
      </c>
      <c r="AZ12" s="5">
        <v>46104</v>
      </c>
      <c r="BA12" s="1">
        <v>3289796</v>
      </c>
      <c r="BB12" s="2">
        <v>592163</v>
      </c>
      <c r="BC12" s="5">
        <v>46104</v>
      </c>
      <c r="BD12" s="5">
        <v>46104</v>
      </c>
      <c r="BF12" s="5">
        <v>46105</v>
      </c>
      <c r="BQ12" s="14">
        <v>46098</v>
      </c>
      <c r="BR12" s="5">
        <v>46101</v>
      </c>
    </row>
    <row r="13" spans="1:70" ht="18" hidden="1" customHeight="1" x14ac:dyDescent="0.3">
      <c r="A13" s="2">
        <v>12</v>
      </c>
      <c r="B13" s="8" t="s">
        <v>4120</v>
      </c>
      <c r="C13" s="75" t="s">
        <v>4107</v>
      </c>
      <c r="D13" s="8" t="s">
        <v>4121</v>
      </c>
      <c r="E13" s="2" t="s">
        <v>840</v>
      </c>
      <c r="F13" s="8" t="s">
        <v>4122</v>
      </c>
      <c r="G13" s="8" t="s">
        <v>4123</v>
      </c>
      <c r="H13" s="8" t="s">
        <v>4124</v>
      </c>
      <c r="I13" s="83">
        <v>53654</v>
      </c>
      <c r="J13" s="2" t="s">
        <v>1631</v>
      </c>
      <c r="K13" s="2" t="s">
        <v>126</v>
      </c>
      <c r="L13" s="2" t="s">
        <v>854</v>
      </c>
      <c r="M13" s="134">
        <v>46095</v>
      </c>
      <c r="N13" s="56" t="s">
        <v>4449</v>
      </c>
      <c r="Q13" s="67">
        <f t="shared" si="0"/>
        <v>3</v>
      </c>
      <c r="R13" s="133">
        <f t="shared" ca="1" si="1"/>
        <v>12</v>
      </c>
      <c r="S13" s="15">
        <f t="shared" ca="1" si="2"/>
        <v>1080</v>
      </c>
      <c r="U13" s="8" t="s">
        <v>3736</v>
      </c>
      <c r="V13" s="1" t="s">
        <v>239</v>
      </c>
      <c r="W13" s="1" t="s">
        <v>454</v>
      </c>
      <c r="X13" s="2">
        <v>20265026831</v>
      </c>
      <c r="Y13" s="14">
        <v>46090</v>
      </c>
      <c r="Z13" s="14">
        <v>46097</v>
      </c>
      <c r="AA13" s="14">
        <v>46083</v>
      </c>
      <c r="AB13" s="14">
        <v>46098</v>
      </c>
      <c r="AC13" s="14">
        <v>46101</v>
      </c>
      <c r="AD13" s="2" t="s">
        <v>4186</v>
      </c>
      <c r="AE13" s="2" t="s">
        <v>4125</v>
      </c>
      <c r="AF13" s="2">
        <v>2</v>
      </c>
      <c r="AG13" s="2">
        <v>0.85</v>
      </c>
      <c r="AI13" s="2" t="s">
        <v>180</v>
      </c>
      <c r="AK13" s="14">
        <v>46093</v>
      </c>
      <c r="AL13" s="14">
        <v>46094</v>
      </c>
      <c r="AM13" s="14">
        <v>46094</v>
      </c>
      <c r="AO13" s="2">
        <v>8131179</v>
      </c>
      <c r="AP13" s="14">
        <v>46098</v>
      </c>
      <c r="AQ13" s="14">
        <v>46101</v>
      </c>
      <c r="AT13" s="44">
        <v>53767</v>
      </c>
      <c r="AV13" s="14">
        <v>46099</v>
      </c>
      <c r="AW13" s="14">
        <v>46099</v>
      </c>
      <c r="AY13" s="2">
        <v>8370983</v>
      </c>
      <c r="AZ13" s="5">
        <v>46111</v>
      </c>
      <c r="BA13" s="1">
        <v>1370301</v>
      </c>
      <c r="BB13" s="2">
        <v>246654</v>
      </c>
      <c r="BC13" s="5">
        <v>46111</v>
      </c>
      <c r="BQ13" s="14">
        <v>46099</v>
      </c>
    </row>
    <row r="14" spans="1:70" ht="18" hidden="1" customHeight="1" x14ac:dyDescent="0.3">
      <c r="A14" s="2">
        <v>13</v>
      </c>
      <c r="B14" s="7">
        <v>7100576</v>
      </c>
      <c r="C14" s="111">
        <v>46078</v>
      </c>
      <c r="D14" s="2">
        <v>2077</v>
      </c>
      <c r="E14" s="2" t="s">
        <v>840</v>
      </c>
      <c r="F14" s="8" t="s">
        <v>219</v>
      </c>
      <c r="G14" s="8" t="s">
        <v>1361</v>
      </c>
      <c r="H14" s="8" t="s">
        <v>615</v>
      </c>
      <c r="I14" s="83">
        <v>53734</v>
      </c>
      <c r="J14" s="2" t="s">
        <v>142</v>
      </c>
      <c r="K14" s="2" t="s">
        <v>126</v>
      </c>
      <c r="L14" s="2" t="s">
        <v>854</v>
      </c>
      <c r="M14" s="134">
        <v>46108</v>
      </c>
      <c r="N14" s="56" t="s">
        <v>4463</v>
      </c>
      <c r="Q14" s="67">
        <f t="shared" si="0"/>
        <v>-46108</v>
      </c>
      <c r="R14" s="133">
        <f t="shared" ca="1" si="1"/>
        <v>46113</v>
      </c>
      <c r="S14" s="15">
        <f t="shared" ca="1" si="2"/>
        <v>4150170</v>
      </c>
      <c r="U14" s="1" t="s">
        <v>4189</v>
      </c>
      <c r="V14" s="2" t="s">
        <v>239</v>
      </c>
      <c r="W14" s="2" t="s">
        <v>454</v>
      </c>
      <c r="X14" s="2">
        <v>20265029696</v>
      </c>
      <c r="Y14" s="14">
        <v>46094</v>
      </c>
      <c r="Z14" s="14">
        <v>46101</v>
      </c>
      <c r="AA14" s="14">
        <v>46108</v>
      </c>
      <c r="AB14" s="14">
        <v>46108</v>
      </c>
      <c r="AD14" s="2">
        <v>61851663393</v>
      </c>
      <c r="AE14" s="2" t="s">
        <v>4190</v>
      </c>
      <c r="AF14" s="2">
        <v>2</v>
      </c>
      <c r="AG14" s="2">
        <v>18</v>
      </c>
      <c r="AI14" s="2" t="s">
        <v>180</v>
      </c>
      <c r="AK14" s="14">
        <v>46098</v>
      </c>
      <c r="AL14" s="14">
        <v>46098</v>
      </c>
      <c r="AM14" s="14">
        <v>46099</v>
      </c>
      <c r="AO14" s="2">
        <v>8348487</v>
      </c>
      <c r="AP14" s="14">
        <v>46109</v>
      </c>
      <c r="AT14" s="44">
        <v>53948</v>
      </c>
      <c r="AV14" s="14">
        <v>46111</v>
      </c>
      <c r="AW14" s="14">
        <v>46111</v>
      </c>
      <c r="BQ14" s="14">
        <v>46111</v>
      </c>
    </row>
    <row r="15" spans="1:70" ht="18" hidden="1" customHeight="1" x14ac:dyDescent="0.3">
      <c r="A15" s="2">
        <v>14</v>
      </c>
      <c r="B15" s="7">
        <v>7103402</v>
      </c>
      <c r="C15" s="111">
        <v>46086</v>
      </c>
      <c r="D15" s="2">
        <v>46540</v>
      </c>
      <c r="E15" s="2" t="s">
        <v>840</v>
      </c>
      <c r="F15" s="8" t="s">
        <v>760</v>
      </c>
      <c r="G15" s="8" t="s">
        <v>2000</v>
      </c>
      <c r="H15" s="8" t="s">
        <v>201</v>
      </c>
      <c r="I15" s="83">
        <v>53753</v>
      </c>
      <c r="J15" s="2" t="s">
        <v>1631</v>
      </c>
      <c r="K15" s="2" t="s">
        <v>126</v>
      </c>
      <c r="L15" s="2" t="s">
        <v>854</v>
      </c>
      <c r="M15" s="134">
        <v>46102</v>
      </c>
      <c r="N15" s="56" t="s">
        <v>4439</v>
      </c>
      <c r="Q15" s="67">
        <f t="shared" si="0"/>
        <v>2</v>
      </c>
      <c r="R15" s="133">
        <f t="shared" ca="1" si="1"/>
        <v>8</v>
      </c>
      <c r="S15" s="15">
        <f t="shared" ca="1" si="2"/>
        <v>720</v>
      </c>
      <c r="U15" s="1" t="s">
        <v>4194</v>
      </c>
      <c r="V15" s="2" t="s">
        <v>239</v>
      </c>
      <c r="W15" s="2" t="s">
        <v>454</v>
      </c>
      <c r="X15" s="2">
        <v>20265030300</v>
      </c>
      <c r="Y15" s="14">
        <v>46097</v>
      </c>
      <c r="Z15" s="14">
        <v>46101</v>
      </c>
      <c r="AA15" s="14">
        <v>46091</v>
      </c>
      <c r="AB15" s="14">
        <v>46103</v>
      </c>
      <c r="AC15" s="14">
        <v>46105</v>
      </c>
      <c r="AD15" s="2" t="s">
        <v>4192</v>
      </c>
      <c r="AE15" s="2" t="s">
        <v>4195</v>
      </c>
      <c r="AF15" s="2">
        <v>2</v>
      </c>
      <c r="AG15" s="2">
        <v>2.46</v>
      </c>
      <c r="AI15" s="2" t="s">
        <v>180</v>
      </c>
      <c r="AK15" s="14">
        <v>46098</v>
      </c>
      <c r="AL15" s="14">
        <v>46099</v>
      </c>
      <c r="AM15" s="14">
        <v>46099</v>
      </c>
      <c r="AO15" s="2">
        <v>8238074</v>
      </c>
      <c r="AP15" s="14">
        <v>46104</v>
      </c>
      <c r="AQ15" s="14">
        <v>46105</v>
      </c>
      <c r="AT15" s="44">
        <v>53847</v>
      </c>
      <c r="AV15" s="14">
        <v>46105</v>
      </c>
      <c r="AW15" s="14">
        <v>46106</v>
      </c>
      <c r="AY15" s="2">
        <v>8392766</v>
      </c>
      <c r="AZ15" s="5">
        <v>46112</v>
      </c>
      <c r="BA15" s="1">
        <v>4386395</v>
      </c>
      <c r="BB15" s="2">
        <v>789551</v>
      </c>
      <c r="BC15" s="5">
        <v>46112</v>
      </c>
      <c r="BQ15" s="14">
        <v>46106</v>
      </c>
      <c r="BR15" s="5">
        <v>46111</v>
      </c>
    </row>
    <row r="16" spans="1:70" ht="18" hidden="1" customHeight="1" x14ac:dyDescent="0.3">
      <c r="A16" s="2">
        <v>15</v>
      </c>
      <c r="B16" s="7">
        <v>7105332</v>
      </c>
      <c r="C16" s="111">
        <v>46090</v>
      </c>
      <c r="D16" s="2">
        <v>155775</v>
      </c>
      <c r="E16" s="2" t="s">
        <v>840</v>
      </c>
      <c r="F16" s="8" t="s">
        <v>642</v>
      </c>
      <c r="G16" s="8" t="s">
        <v>1798</v>
      </c>
      <c r="H16" s="8" t="s">
        <v>525</v>
      </c>
      <c r="I16" s="83">
        <v>53754</v>
      </c>
      <c r="J16" s="2" t="s">
        <v>1631</v>
      </c>
      <c r="K16" s="2" t="s">
        <v>126</v>
      </c>
      <c r="L16" s="2" t="s">
        <v>854</v>
      </c>
      <c r="M16" s="134">
        <v>46102</v>
      </c>
      <c r="N16" s="56" t="s">
        <v>4450</v>
      </c>
      <c r="Q16" s="67">
        <f t="shared" si="0"/>
        <v>2</v>
      </c>
      <c r="R16" s="133">
        <f t="shared" ca="1" si="1"/>
        <v>8</v>
      </c>
      <c r="S16" s="15">
        <f t="shared" ca="1" si="2"/>
        <v>1800</v>
      </c>
      <c r="U16" s="2" t="s">
        <v>4042</v>
      </c>
      <c r="V16" s="1" t="s">
        <v>645</v>
      </c>
      <c r="W16" s="79" t="s">
        <v>426</v>
      </c>
      <c r="X16" s="2">
        <v>20265030262</v>
      </c>
      <c r="Y16" s="14">
        <v>46097</v>
      </c>
      <c r="Z16" s="14">
        <v>46101</v>
      </c>
      <c r="AA16" s="14">
        <v>46091</v>
      </c>
      <c r="AB16" s="14">
        <v>46103</v>
      </c>
      <c r="AC16" s="14">
        <v>46105</v>
      </c>
      <c r="AD16" s="2" t="s">
        <v>4192</v>
      </c>
      <c r="AE16" s="2" t="s">
        <v>4196</v>
      </c>
      <c r="AF16" s="2">
        <v>5</v>
      </c>
      <c r="AG16" s="2">
        <v>8.64</v>
      </c>
      <c r="AI16" s="2" t="s">
        <v>180</v>
      </c>
      <c r="AK16" s="14">
        <v>46098</v>
      </c>
      <c r="AL16" s="14">
        <v>46099</v>
      </c>
      <c r="AM16" s="14">
        <v>46099</v>
      </c>
      <c r="AO16" s="2">
        <v>8238304</v>
      </c>
      <c r="AP16" s="14">
        <v>46104</v>
      </c>
      <c r="AQ16" s="14">
        <v>46105</v>
      </c>
      <c r="AS16" s="14"/>
      <c r="AT16" s="44">
        <v>53846</v>
      </c>
      <c r="AV16" s="14">
        <v>46105</v>
      </c>
      <c r="AW16" s="14">
        <v>46106</v>
      </c>
      <c r="AY16" s="2">
        <v>8370980</v>
      </c>
      <c r="AZ16" s="5">
        <v>46111</v>
      </c>
      <c r="BA16" s="1">
        <v>14681794</v>
      </c>
      <c r="BB16" s="2">
        <v>2642723</v>
      </c>
      <c r="BC16" s="5">
        <v>46111</v>
      </c>
      <c r="BD16" s="5">
        <v>46111</v>
      </c>
      <c r="BQ16" s="14">
        <v>46106</v>
      </c>
    </row>
    <row r="17" spans="1:70" ht="18" hidden="1" customHeight="1" x14ac:dyDescent="0.3">
      <c r="A17" s="2">
        <v>16</v>
      </c>
      <c r="B17" s="7">
        <v>7104074</v>
      </c>
      <c r="C17" s="111">
        <v>46084</v>
      </c>
      <c r="D17" s="2">
        <v>81918</v>
      </c>
      <c r="E17" s="2" t="s">
        <v>840</v>
      </c>
      <c r="F17" s="8" t="s">
        <v>2525</v>
      </c>
      <c r="G17" s="8" t="s">
        <v>3241</v>
      </c>
      <c r="H17" s="8" t="s">
        <v>443</v>
      </c>
      <c r="I17" s="83">
        <v>53790</v>
      </c>
      <c r="J17" s="2" t="s">
        <v>142</v>
      </c>
      <c r="K17" s="2" t="s">
        <v>126</v>
      </c>
      <c r="L17" s="2" t="s">
        <v>854</v>
      </c>
      <c r="M17" s="134">
        <v>46100</v>
      </c>
      <c r="N17" s="56" t="s">
        <v>4340</v>
      </c>
      <c r="Q17" s="67">
        <f t="shared" si="0"/>
        <v>5</v>
      </c>
      <c r="R17" s="133">
        <f t="shared" ca="1" si="1"/>
        <v>8</v>
      </c>
      <c r="S17" s="15">
        <f t="shared" ca="1" si="2"/>
        <v>360</v>
      </c>
      <c r="U17" s="2" t="s">
        <v>3209</v>
      </c>
      <c r="V17" s="1" t="s">
        <v>626</v>
      </c>
      <c r="W17" s="1" t="s">
        <v>627</v>
      </c>
      <c r="X17" s="2" t="s">
        <v>4249</v>
      </c>
      <c r="Y17" s="14">
        <v>46100</v>
      </c>
      <c r="Z17" s="14">
        <v>46104</v>
      </c>
      <c r="AA17" s="14">
        <v>46100</v>
      </c>
      <c r="AB17" s="14">
        <v>46100</v>
      </c>
      <c r="AC17" s="14">
        <v>46105</v>
      </c>
      <c r="AD17" s="2" t="s">
        <v>4244</v>
      </c>
      <c r="AE17" s="2" t="s">
        <v>4250</v>
      </c>
      <c r="AF17" s="2">
        <v>1</v>
      </c>
      <c r="AG17" s="2">
        <v>205</v>
      </c>
      <c r="AI17" s="2" t="s">
        <v>629</v>
      </c>
      <c r="AK17" s="14">
        <v>46100</v>
      </c>
      <c r="AL17" s="14">
        <v>46101</v>
      </c>
      <c r="AM17" s="14">
        <v>46102</v>
      </c>
      <c r="AO17" s="2">
        <v>8195360</v>
      </c>
      <c r="AP17" s="14">
        <v>46101</v>
      </c>
      <c r="AQ17" s="14">
        <v>46105</v>
      </c>
      <c r="AT17" s="44">
        <v>53820</v>
      </c>
      <c r="AV17" s="14">
        <v>46105</v>
      </c>
      <c r="AW17" s="14">
        <v>46105</v>
      </c>
      <c r="BQ17" s="14">
        <v>46105</v>
      </c>
      <c r="BR17" s="14">
        <v>46106</v>
      </c>
    </row>
    <row r="18" spans="1:70" ht="18" hidden="1" customHeight="1" x14ac:dyDescent="0.3">
      <c r="A18" s="2">
        <v>17</v>
      </c>
      <c r="B18" s="7">
        <v>7104073</v>
      </c>
      <c r="C18" s="111">
        <v>46084</v>
      </c>
      <c r="D18" s="2">
        <v>179006</v>
      </c>
      <c r="E18" s="2" t="s">
        <v>840</v>
      </c>
      <c r="F18" s="8" t="s">
        <v>2525</v>
      </c>
      <c r="G18" s="8" t="s">
        <v>3241</v>
      </c>
      <c r="H18" s="8" t="s">
        <v>1088</v>
      </c>
      <c r="I18" s="83">
        <v>53792</v>
      </c>
      <c r="J18" s="2" t="s">
        <v>142</v>
      </c>
      <c r="K18" s="2" t="s">
        <v>126</v>
      </c>
      <c r="L18" s="2" t="s">
        <v>854</v>
      </c>
      <c r="M18" s="134">
        <v>46100</v>
      </c>
      <c r="N18" s="56" t="s">
        <v>4339</v>
      </c>
      <c r="Q18" s="67">
        <f t="shared" ref="Q18:Q51" si="3">AQ18-AB18</f>
        <v>5</v>
      </c>
      <c r="R18" s="133">
        <f t="shared" ref="R18:R51" ca="1" si="4">TODAY()-AC18</f>
        <v>8</v>
      </c>
      <c r="S18" s="15">
        <f t="shared" ref="S18:S51" ca="1" si="5">AF18*45*R18</f>
        <v>720</v>
      </c>
      <c r="U18" s="1" t="s">
        <v>4251</v>
      </c>
      <c r="V18" s="2" t="s">
        <v>161</v>
      </c>
      <c r="W18" s="2" t="s">
        <v>454</v>
      </c>
      <c r="X18" s="2" t="s">
        <v>4252</v>
      </c>
      <c r="Y18" s="14">
        <v>46100</v>
      </c>
      <c r="Z18" s="14">
        <v>46104</v>
      </c>
      <c r="AA18" s="14">
        <v>46100</v>
      </c>
      <c r="AB18" s="14">
        <v>46100</v>
      </c>
      <c r="AC18" s="14">
        <v>46105</v>
      </c>
      <c r="AD18" s="2" t="s">
        <v>4244</v>
      </c>
      <c r="AE18" s="2" t="s">
        <v>4253</v>
      </c>
      <c r="AF18" s="2">
        <v>2</v>
      </c>
      <c r="AG18" s="2">
        <v>461</v>
      </c>
      <c r="AI18" s="2" t="s">
        <v>629</v>
      </c>
      <c r="AK18" s="14">
        <v>46100</v>
      </c>
      <c r="AL18" s="14">
        <v>46101</v>
      </c>
      <c r="AM18" s="14">
        <v>46102</v>
      </c>
      <c r="AO18" s="2">
        <v>8195786</v>
      </c>
      <c r="AP18" s="14">
        <v>46101</v>
      </c>
      <c r="AQ18" s="14">
        <v>46105</v>
      </c>
      <c r="AT18" s="44">
        <v>53821</v>
      </c>
      <c r="AV18" s="14">
        <v>46105</v>
      </c>
      <c r="AW18" s="14">
        <v>46105</v>
      </c>
      <c r="BQ18" s="14">
        <v>46105</v>
      </c>
      <c r="BR18" s="5">
        <v>46105</v>
      </c>
    </row>
    <row r="19" spans="1:70" ht="18" hidden="1" customHeight="1" x14ac:dyDescent="0.3">
      <c r="A19" s="2">
        <v>18</v>
      </c>
      <c r="B19" s="7">
        <v>7104072</v>
      </c>
      <c r="C19" s="111">
        <v>46084</v>
      </c>
      <c r="D19" s="2">
        <v>203278</v>
      </c>
      <c r="E19" s="2" t="s">
        <v>840</v>
      </c>
      <c r="F19" s="8" t="s">
        <v>2525</v>
      </c>
      <c r="G19" s="8" t="s">
        <v>3241</v>
      </c>
      <c r="H19" s="8" t="s">
        <v>1146</v>
      </c>
      <c r="I19" s="83">
        <v>53793</v>
      </c>
      <c r="J19" s="2" t="s">
        <v>142</v>
      </c>
      <c r="K19" s="2" t="s">
        <v>126</v>
      </c>
      <c r="L19" s="2" t="s">
        <v>854</v>
      </c>
      <c r="M19" s="134">
        <v>46100</v>
      </c>
      <c r="N19" s="56" t="s">
        <v>4338</v>
      </c>
      <c r="Q19" s="67">
        <f t="shared" si="3"/>
        <v>5</v>
      </c>
      <c r="R19" s="133">
        <f t="shared" ca="1" si="4"/>
        <v>8</v>
      </c>
      <c r="S19" s="15">
        <f t="shared" ca="1" si="5"/>
        <v>1080</v>
      </c>
      <c r="U19" s="1" t="s">
        <v>4254</v>
      </c>
      <c r="V19" s="2" t="s">
        <v>239</v>
      </c>
      <c r="W19" s="2" t="s">
        <v>454</v>
      </c>
      <c r="X19" s="2" t="s">
        <v>4255</v>
      </c>
      <c r="Y19" s="14">
        <v>46100</v>
      </c>
      <c r="Z19" s="14">
        <v>46104</v>
      </c>
      <c r="AA19" s="14">
        <v>46100</v>
      </c>
      <c r="AB19" s="14">
        <v>46100</v>
      </c>
      <c r="AC19" s="14">
        <v>46105</v>
      </c>
      <c r="AD19" s="2" t="s">
        <v>4244</v>
      </c>
      <c r="AE19" s="2" t="s">
        <v>4256</v>
      </c>
      <c r="AF19" s="2">
        <v>3</v>
      </c>
      <c r="AG19" s="2">
        <v>510</v>
      </c>
      <c r="AI19" s="2" t="s">
        <v>629</v>
      </c>
      <c r="AK19" s="14">
        <v>46100</v>
      </c>
      <c r="AL19" s="14">
        <v>46101</v>
      </c>
      <c r="AM19" s="14">
        <v>46102</v>
      </c>
      <c r="AO19" s="2">
        <v>8195263</v>
      </c>
      <c r="AP19" s="14">
        <v>46101</v>
      </c>
      <c r="AQ19" s="14">
        <v>46105</v>
      </c>
      <c r="AT19" s="44">
        <v>53824</v>
      </c>
      <c r="AV19" s="14">
        <v>46105</v>
      </c>
      <c r="AW19" s="14">
        <v>46105</v>
      </c>
      <c r="BQ19" s="14">
        <v>46105</v>
      </c>
      <c r="BR19" s="5">
        <v>46105</v>
      </c>
    </row>
    <row r="20" spans="1:70" ht="18" hidden="1" customHeight="1" x14ac:dyDescent="0.3">
      <c r="A20" s="2">
        <v>19</v>
      </c>
      <c r="B20" s="7" t="s">
        <v>4275</v>
      </c>
      <c r="C20" s="111" t="s">
        <v>4276</v>
      </c>
      <c r="D20" s="2" t="s">
        <v>4220</v>
      </c>
      <c r="E20" s="2" t="s">
        <v>679</v>
      </c>
      <c r="F20" s="2" t="s">
        <v>4221</v>
      </c>
      <c r="G20" s="2" t="s">
        <v>3082</v>
      </c>
      <c r="H20" s="2" t="s">
        <v>4277</v>
      </c>
      <c r="I20" s="83" t="s">
        <v>4278</v>
      </c>
      <c r="J20" s="2" t="s">
        <v>142</v>
      </c>
      <c r="K20" s="2" t="s">
        <v>126</v>
      </c>
      <c r="L20" s="2" t="s">
        <v>854</v>
      </c>
      <c r="M20" s="134">
        <v>46106</v>
      </c>
      <c r="N20" s="56" t="s">
        <v>4436</v>
      </c>
      <c r="Q20" s="67">
        <f t="shared" si="3"/>
        <v>2</v>
      </c>
      <c r="R20" s="133">
        <f t="shared" ca="1" si="4"/>
        <v>5</v>
      </c>
      <c r="S20" s="15">
        <f t="shared" ca="1" si="5"/>
        <v>675</v>
      </c>
      <c r="U20" s="1" t="s">
        <v>4050</v>
      </c>
      <c r="V20" s="2" t="s">
        <v>755</v>
      </c>
      <c r="W20" s="1" t="s">
        <v>827</v>
      </c>
      <c r="X20" s="2" t="s">
        <v>4310</v>
      </c>
      <c r="Y20" s="14">
        <v>46104</v>
      </c>
      <c r="Z20" s="14">
        <v>46107</v>
      </c>
      <c r="AA20" s="14">
        <v>46106</v>
      </c>
      <c r="AB20" s="14">
        <v>46106</v>
      </c>
      <c r="AC20" s="14">
        <v>46108</v>
      </c>
      <c r="AD20" s="107" t="s">
        <v>4279</v>
      </c>
      <c r="AE20" s="183" t="s">
        <v>4280</v>
      </c>
      <c r="AF20" s="2">
        <v>3</v>
      </c>
      <c r="AG20" s="2">
        <v>766</v>
      </c>
      <c r="AI20" s="2" t="s">
        <v>3116</v>
      </c>
      <c r="AK20" s="14">
        <v>46103</v>
      </c>
      <c r="AL20" s="14">
        <v>46104</v>
      </c>
      <c r="AM20" s="14">
        <v>46104</v>
      </c>
      <c r="AO20" s="2">
        <v>8279076</v>
      </c>
      <c r="AP20" s="14">
        <v>46106</v>
      </c>
      <c r="AQ20" s="14">
        <v>46108</v>
      </c>
      <c r="AT20" s="44">
        <v>53877</v>
      </c>
      <c r="AV20" s="14">
        <v>46108</v>
      </c>
      <c r="AW20" s="14">
        <v>46109</v>
      </c>
      <c r="AY20" s="2">
        <v>8392769</v>
      </c>
      <c r="AZ20" s="5">
        <v>46112</v>
      </c>
      <c r="BA20" s="1">
        <v>19523511</v>
      </c>
      <c r="BB20" s="2">
        <v>3514232</v>
      </c>
      <c r="BC20" s="5">
        <v>46112</v>
      </c>
      <c r="BQ20" s="14">
        <v>46109</v>
      </c>
    </row>
    <row r="21" spans="1:70" ht="18" hidden="1" customHeight="1" x14ac:dyDescent="0.3">
      <c r="A21" s="2">
        <v>20</v>
      </c>
      <c r="B21" s="7" t="s">
        <v>4281</v>
      </c>
      <c r="C21" s="111" t="s">
        <v>4282</v>
      </c>
      <c r="D21" s="2" t="s">
        <v>4220</v>
      </c>
      <c r="E21" s="2" t="s">
        <v>681</v>
      </c>
      <c r="F21" s="2" t="s">
        <v>4221</v>
      </c>
      <c r="G21" s="2" t="s">
        <v>3082</v>
      </c>
      <c r="H21" s="2" t="s">
        <v>4277</v>
      </c>
      <c r="I21" s="83" t="s">
        <v>4283</v>
      </c>
      <c r="J21" s="2" t="s">
        <v>142</v>
      </c>
      <c r="K21" s="2" t="s">
        <v>126</v>
      </c>
      <c r="L21" s="2" t="s">
        <v>854</v>
      </c>
      <c r="M21" s="134">
        <v>46106</v>
      </c>
      <c r="N21" s="56" t="s">
        <v>4437</v>
      </c>
      <c r="Q21" s="67">
        <f t="shared" si="3"/>
        <v>3</v>
      </c>
      <c r="R21" s="133">
        <f t="shared" ca="1" si="4"/>
        <v>4</v>
      </c>
      <c r="S21" s="15">
        <f t="shared" ca="1" si="5"/>
        <v>540</v>
      </c>
      <c r="U21" s="1" t="s">
        <v>4050</v>
      </c>
      <c r="V21" s="2" t="s">
        <v>755</v>
      </c>
      <c r="W21" s="1" t="s">
        <v>827</v>
      </c>
      <c r="X21" s="2" t="s">
        <v>4309</v>
      </c>
      <c r="Y21" s="14">
        <v>46104</v>
      </c>
      <c r="Z21" s="14">
        <v>46107</v>
      </c>
      <c r="AA21" s="14">
        <v>46106</v>
      </c>
      <c r="AB21" s="14">
        <v>46106</v>
      </c>
      <c r="AC21" s="14">
        <v>46109</v>
      </c>
      <c r="AD21" s="2" t="s">
        <v>4284</v>
      </c>
      <c r="AE21" s="2" t="s">
        <v>4285</v>
      </c>
      <c r="AF21" s="2">
        <v>3</v>
      </c>
      <c r="AG21" s="2">
        <v>765</v>
      </c>
      <c r="AI21" s="2" t="s">
        <v>3116</v>
      </c>
      <c r="AK21" s="14">
        <v>46103</v>
      </c>
      <c r="AL21" s="14">
        <v>46104</v>
      </c>
      <c r="AM21" s="14">
        <v>46104</v>
      </c>
      <c r="AO21" s="2">
        <v>8304797</v>
      </c>
      <c r="AP21" s="14">
        <v>46107</v>
      </c>
      <c r="AQ21" s="14">
        <v>46109</v>
      </c>
      <c r="AT21" s="44">
        <v>53896</v>
      </c>
      <c r="AV21" s="14">
        <v>46108</v>
      </c>
      <c r="AW21" s="14">
        <v>46109</v>
      </c>
      <c r="AY21" s="2">
        <v>8392770</v>
      </c>
      <c r="AZ21" s="5">
        <v>46112</v>
      </c>
      <c r="BA21" s="1">
        <v>19523511</v>
      </c>
      <c r="BB21" s="2">
        <v>3514232</v>
      </c>
      <c r="BC21" s="5">
        <v>46112</v>
      </c>
      <c r="BQ21" s="14">
        <v>46109</v>
      </c>
    </row>
    <row r="22" spans="1:70" ht="18" hidden="1" customHeight="1" x14ac:dyDescent="0.3">
      <c r="A22" s="2">
        <v>21</v>
      </c>
      <c r="B22" s="7" t="s">
        <v>4286</v>
      </c>
      <c r="C22" s="111" t="s">
        <v>4227</v>
      </c>
      <c r="D22" s="2" t="s">
        <v>4220</v>
      </c>
      <c r="E22" s="2" t="s">
        <v>681</v>
      </c>
      <c r="F22" s="2" t="s">
        <v>4221</v>
      </c>
      <c r="G22" s="2" t="s">
        <v>3082</v>
      </c>
      <c r="H22" s="2" t="s">
        <v>4277</v>
      </c>
      <c r="I22" s="83" t="s">
        <v>4287</v>
      </c>
      <c r="J22" s="2" t="s">
        <v>142</v>
      </c>
      <c r="K22" s="2" t="s">
        <v>126</v>
      </c>
      <c r="L22" s="2" t="s">
        <v>854</v>
      </c>
      <c r="M22" s="134">
        <v>46106</v>
      </c>
      <c r="N22" s="56" t="s">
        <v>4438</v>
      </c>
      <c r="Q22" s="67">
        <f t="shared" si="3"/>
        <v>3</v>
      </c>
      <c r="R22" s="133">
        <f t="shared" ca="1" si="4"/>
        <v>4</v>
      </c>
      <c r="S22" s="15">
        <f t="shared" ca="1" si="5"/>
        <v>540</v>
      </c>
      <c r="U22" s="1" t="s">
        <v>4050</v>
      </c>
      <c r="V22" s="2" t="s">
        <v>755</v>
      </c>
      <c r="W22" s="1" t="s">
        <v>827</v>
      </c>
      <c r="X22" s="2" t="s">
        <v>4322</v>
      </c>
      <c r="Y22" s="14">
        <v>46106</v>
      </c>
      <c r="Z22" s="14">
        <v>46109</v>
      </c>
      <c r="AA22" s="14">
        <v>46106</v>
      </c>
      <c r="AB22" s="14">
        <v>46106</v>
      </c>
      <c r="AC22" s="14">
        <v>46109</v>
      </c>
      <c r="AD22" s="2" t="s">
        <v>4290</v>
      </c>
      <c r="AE22" s="2" t="s">
        <v>4291</v>
      </c>
      <c r="AF22" s="2">
        <v>3</v>
      </c>
      <c r="AG22" s="2">
        <v>752</v>
      </c>
      <c r="AI22" s="2" t="s">
        <v>3116</v>
      </c>
      <c r="AK22" s="14">
        <v>46103</v>
      </c>
      <c r="AL22" s="14">
        <v>46104</v>
      </c>
      <c r="AM22" s="14">
        <v>46104</v>
      </c>
      <c r="AO22" s="2">
        <v>8304270</v>
      </c>
      <c r="AP22" s="14">
        <v>46107</v>
      </c>
      <c r="AQ22" s="14">
        <v>46109</v>
      </c>
      <c r="AT22" s="44">
        <v>53899</v>
      </c>
      <c r="AV22" s="14">
        <v>46108</v>
      </c>
      <c r="AW22" s="14">
        <v>46109</v>
      </c>
      <c r="AY22" s="2">
        <v>8392771</v>
      </c>
      <c r="AZ22" s="5">
        <v>46112</v>
      </c>
      <c r="BA22" s="1">
        <v>19523511</v>
      </c>
      <c r="BB22" s="2">
        <v>3514232</v>
      </c>
      <c r="BC22" s="5">
        <v>46112</v>
      </c>
      <c r="BQ22" s="14">
        <v>46109</v>
      </c>
    </row>
    <row r="23" spans="1:70" ht="18" hidden="1" customHeight="1" x14ac:dyDescent="0.3">
      <c r="A23" s="2">
        <v>22</v>
      </c>
      <c r="B23" s="7" t="s">
        <v>4288</v>
      </c>
      <c r="C23" s="111" t="s">
        <v>4227</v>
      </c>
      <c r="D23" s="2" t="s">
        <v>4220</v>
      </c>
      <c r="E23" s="2" t="s">
        <v>681</v>
      </c>
      <c r="F23" s="2" t="s">
        <v>4221</v>
      </c>
      <c r="G23" s="2" t="s">
        <v>3082</v>
      </c>
      <c r="H23" s="2" t="s">
        <v>4277</v>
      </c>
      <c r="I23" s="83" t="s">
        <v>4289</v>
      </c>
      <c r="J23" s="2" t="s">
        <v>142</v>
      </c>
      <c r="K23" s="2" t="s">
        <v>126</v>
      </c>
      <c r="L23" s="2" t="s">
        <v>854</v>
      </c>
      <c r="M23" s="134">
        <v>46106</v>
      </c>
      <c r="N23" s="56" t="s">
        <v>4436</v>
      </c>
      <c r="Q23" s="67">
        <f t="shared" si="3"/>
        <v>2</v>
      </c>
      <c r="R23" s="133">
        <f t="shared" ca="1" si="4"/>
        <v>5</v>
      </c>
      <c r="S23" s="15">
        <f t="shared" ca="1" si="5"/>
        <v>675</v>
      </c>
      <c r="U23" s="1" t="s">
        <v>4050</v>
      </c>
      <c r="V23" s="2" t="s">
        <v>755</v>
      </c>
      <c r="W23" s="1" t="s">
        <v>827</v>
      </c>
      <c r="X23" s="2" t="s">
        <v>4323</v>
      </c>
      <c r="Y23" s="14">
        <v>46106</v>
      </c>
      <c r="Z23" s="14">
        <v>46109</v>
      </c>
      <c r="AA23" s="14">
        <v>46106</v>
      </c>
      <c r="AB23" s="14">
        <v>46106</v>
      </c>
      <c r="AC23" s="14">
        <v>46108</v>
      </c>
      <c r="AD23" s="2" t="s">
        <v>4292</v>
      </c>
      <c r="AE23" s="2" t="s">
        <v>4293</v>
      </c>
      <c r="AF23" s="2">
        <v>3</v>
      </c>
      <c r="AG23" s="2">
        <v>779</v>
      </c>
      <c r="AI23" s="2" t="s">
        <v>3116</v>
      </c>
      <c r="AK23" s="14">
        <v>46103</v>
      </c>
      <c r="AL23" s="14">
        <v>46104</v>
      </c>
      <c r="AM23" s="14">
        <v>46104</v>
      </c>
      <c r="AO23" s="2">
        <v>8279078</v>
      </c>
      <c r="AP23" s="14">
        <v>46106</v>
      </c>
      <c r="AQ23" s="14">
        <v>46108</v>
      </c>
      <c r="AT23" s="44">
        <v>53878</v>
      </c>
      <c r="AV23" s="14">
        <v>46108</v>
      </c>
      <c r="AW23" s="14">
        <v>46109</v>
      </c>
      <c r="AY23" s="2">
        <v>8392772</v>
      </c>
      <c r="AZ23" s="5">
        <v>46112</v>
      </c>
      <c r="BA23" s="1">
        <v>19523511</v>
      </c>
      <c r="BB23" s="2">
        <v>3514232</v>
      </c>
      <c r="BC23" s="5">
        <v>46112</v>
      </c>
      <c r="BQ23" s="14">
        <v>46109</v>
      </c>
    </row>
    <row r="24" spans="1:70" ht="18" hidden="1" customHeight="1" x14ac:dyDescent="0.3">
      <c r="A24" s="2">
        <v>23</v>
      </c>
      <c r="B24" s="7" t="s">
        <v>4294</v>
      </c>
      <c r="C24" s="111" t="s">
        <v>4295</v>
      </c>
      <c r="D24" s="2" t="s">
        <v>4296</v>
      </c>
      <c r="E24" s="2" t="s">
        <v>680</v>
      </c>
      <c r="F24" s="2" t="s">
        <v>345</v>
      </c>
      <c r="G24" s="2" t="s">
        <v>346</v>
      </c>
      <c r="H24" s="2" t="s">
        <v>4297</v>
      </c>
      <c r="I24" s="83" t="s">
        <v>4298</v>
      </c>
      <c r="J24" s="2" t="s">
        <v>142</v>
      </c>
      <c r="K24" s="2" t="s">
        <v>126</v>
      </c>
      <c r="L24" s="2" t="s">
        <v>854</v>
      </c>
      <c r="M24" s="134">
        <v>46106</v>
      </c>
      <c r="N24" s="56" t="s">
        <v>4399</v>
      </c>
      <c r="Q24" s="67">
        <f t="shared" si="3"/>
        <v>3</v>
      </c>
      <c r="R24" s="133">
        <f t="shared" ca="1" si="4"/>
        <v>4</v>
      </c>
      <c r="S24" s="15">
        <f t="shared" ca="1" si="5"/>
        <v>180</v>
      </c>
      <c r="U24" s="1" t="s">
        <v>4302</v>
      </c>
      <c r="V24" s="2" t="s">
        <v>755</v>
      </c>
      <c r="W24" s="1" t="s">
        <v>827</v>
      </c>
      <c r="X24" s="2" t="s">
        <v>4161</v>
      </c>
      <c r="Y24" s="2" t="s">
        <v>4161</v>
      </c>
      <c r="Z24" s="2" t="s">
        <v>4161</v>
      </c>
      <c r="AA24" s="14">
        <v>46106</v>
      </c>
      <c r="AB24" s="14">
        <v>46106</v>
      </c>
      <c r="AC24" s="14">
        <v>46109</v>
      </c>
      <c r="AD24" s="2" t="s">
        <v>4304</v>
      </c>
      <c r="AE24" s="2" t="s">
        <v>4305</v>
      </c>
      <c r="AF24" s="2">
        <v>1</v>
      </c>
      <c r="AG24" s="2">
        <v>8</v>
      </c>
      <c r="AI24" s="2" t="s">
        <v>179</v>
      </c>
      <c r="AK24" s="14">
        <v>46104</v>
      </c>
      <c r="AL24" s="14">
        <v>46104</v>
      </c>
      <c r="AM24" s="14">
        <v>46104</v>
      </c>
      <c r="AO24" s="2">
        <v>8299815</v>
      </c>
      <c r="AP24" s="14">
        <v>46107</v>
      </c>
      <c r="AQ24" s="14">
        <v>46109</v>
      </c>
    </row>
    <row r="25" spans="1:70" ht="18" hidden="1" customHeight="1" x14ac:dyDescent="0.3">
      <c r="A25" s="2">
        <v>24</v>
      </c>
      <c r="B25" s="7" t="s">
        <v>4299</v>
      </c>
      <c r="C25" s="111" t="s">
        <v>4295</v>
      </c>
      <c r="D25" s="2" t="s">
        <v>4300</v>
      </c>
      <c r="E25" s="2" t="s">
        <v>680</v>
      </c>
      <c r="F25" s="2" t="s">
        <v>345</v>
      </c>
      <c r="G25" s="2" t="s">
        <v>346</v>
      </c>
      <c r="H25" s="2" t="s">
        <v>4277</v>
      </c>
      <c r="I25" s="83" t="s">
        <v>4301</v>
      </c>
      <c r="J25" s="2" t="s">
        <v>142</v>
      </c>
      <c r="K25" s="2" t="s">
        <v>126</v>
      </c>
      <c r="L25" s="2" t="s">
        <v>854</v>
      </c>
      <c r="M25" s="134">
        <v>46106</v>
      </c>
      <c r="N25" s="56" t="s">
        <v>4399</v>
      </c>
      <c r="Q25" s="67">
        <f t="shared" si="3"/>
        <v>3</v>
      </c>
      <c r="R25" s="133">
        <f t="shared" ca="1" si="4"/>
        <v>4</v>
      </c>
      <c r="S25" s="15">
        <f t="shared" ca="1" si="5"/>
        <v>180</v>
      </c>
      <c r="U25" s="1" t="s">
        <v>4303</v>
      </c>
      <c r="V25" s="2" t="s">
        <v>755</v>
      </c>
      <c r="W25" s="1" t="s">
        <v>827</v>
      </c>
      <c r="X25" s="2" t="s">
        <v>4161</v>
      </c>
      <c r="Y25" s="2" t="s">
        <v>4161</v>
      </c>
      <c r="Z25" s="2" t="s">
        <v>4161</v>
      </c>
      <c r="AA25" s="14">
        <v>46106</v>
      </c>
      <c r="AB25" s="14">
        <v>46106</v>
      </c>
      <c r="AC25" s="14">
        <v>46109</v>
      </c>
      <c r="AD25" s="2" t="s">
        <v>4304</v>
      </c>
      <c r="AE25" s="2" t="s">
        <v>4306</v>
      </c>
      <c r="AF25" s="2">
        <v>1</v>
      </c>
      <c r="AG25" s="2">
        <v>11</v>
      </c>
      <c r="AI25" s="2" t="s">
        <v>179</v>
      </c>
      <c r="AK25" s="14">
        <v>46104</v>
      </c>
      <c r="AL25" s="14">
        <v>46104</v>
      </c>
      <c r="AM25" s="14">
        <v>46104</v>
      </c>
      <c r="AO25" s="2">
        <v>8299818</v>
      </c>
      <c r="AP25" s="14">
        <v>46107</v>
      </c>
      <c r="AQ25" s="14">
        <v>46109</v>
      </c>
    </row>
    <row r="26" spans="1:70" ht="18" customHeight="1" x14ac:dyDescent="0.3">
      <c r="A26" s="2">
        <v>25</v>
      </c>
      <c r="B26" s="7">
        <v>7103320</v>
      </c>
      <c r="C26" s="111">
        <v>46086</v>
      </c>
      <c r="D26" s="2">
        <v>116350</v>
      </c>
      <c r="E26" s="2" t="s">
        <v>840</v>
      </c>
      <c r="F26" s="8" t="s">
        <v>760</v>
      </c>
      <c r="G26" s="8" t="s">
        <v>982</v>
      </c>
      <c r="H26" s="8" t="s">
        <v>749</v>
      </c>
      <c r="I26" s="83">
        <v>54023</v>
      </c>
      <c r="J26" s="2" t="s">
        <v>1631</v>
      </c>
      <c r="K26" s="2" t="s">
        <v>126</v>
      </c>
      <c r="L26" s="2" t="s">
        <v>854</v>
      </c>
      <c r="M26" s="134">
        <v>46114</v>
      </c>
      <c r="N26" s="56" t="s">
        <v>4349</v>
      </c>
      <c r="Q26" s="67">
        <f t="shared" si="3"/>
        <v>0</v>
      </c>
      <c r="R26" s="133">
        <f t="shared" ca="1" si="4"/>
        <v>46113</v>
      </c>
      <c r="S26" s="15">
        <f t="shared" ca="1" si="5"/>
        <v>8300340</v>
      </c>
      <c r="U26" s="1" t="s">
        <v>4097</v>
      </c>
      <c r="V26" s="1" t="s">
        <v>645</v>
      </c>
      <c r="W26" s="79" t="s">
        <v>426</v>
      </c>
      <c r="X26" s="2">
        <v>20265034855</v>
      </c>
      <c r="Y26" s="14">
        <v>46106</v>
      </c>
      <c r="Z26" s="14">
        <v>46111</v>
      </c>
      <c r="AD26" s="2" t="s">
        <v>4350</v>
      </c>
      <c r="AF26" s="2">
        <v>4</v>
      </c>
      <c r="AG26" s="2">
        <v>6.02</v>
      </c>
      <c r="AI26" s="2" t="s">
        <v>180</v>
      </c>
      <c r="AK26" s="14">
        <v>46109</v>
      </c>
      <c r="AL26" s="14">
        <v>46109</v>
      </c>
      <c r="AM26" s="14">
        <v>46111</v>
      </c>
    </row>
    <row r="27" spans="1:70" ht="18" customHeight="1" x14ac:dyDescent="0.3">
      <c r="A27" s="2">
        <v>26</v>
      </c>
      <c r="B27" s="8" t="s">
        <v>4351</v>
      </c>
      <c r="C27" s="75" t="s">
        <v>4352</v>
      </c>
      <c r="D27" s="8" t="s">
        <v>4353</v>
      </c>
      <c r="E27" s="2" t="s">
        <v>840</v>
      </c>
      <c r="F27" s="8" t="s">
        <v>1802</v>
      </c>
      <c r="G27" s="8" t="s">
        <v>4354</v>
      </c>
      <c r="H27" s="8" t="s">
        <v>4355</v>
      </c>
      <c r="I27" s="83">
        <v>54022</v>
      </c>
      <c r="J27" s="2" t="s">
        <v>1631</v>
      </c>
      <c r="K27" s="2" t="s">
        <v>126</v>
      </c>
      <c r="L27" s="2" t="s">
        <v>854</v>
      </c>
      <c r="M27" s="134">
        <v>46114</v>
      </c>
      <c r="N27" s="56" t="s">
        <v>4349</v>
      </c>
      <c r="Q27" s="67">
        <f t="shared" si="3"/>
        <v>0</v>
      </c>
      <c r="R27" s="133">
        <f t="shared" ca="1" si="4"/>
        <v>46113</v>
      </c>
      <c r="S27" s="15">
        <f t="shared" ca="1" si="5"/>
        <v>16600680</v>
      </c>
      <c r="U27" s="8" t="s">
        <v>4059</v>
      </c>
      <c r="V27" s="1" t="s">
        <v>645</v>
      </c>
      <c r="W27" s="79" t="s">
        <v>426</v>
      </c>
      <c r="X27" s="2">
        <v>20265034863</v>
      </c>
      <c r="Y27" s="14">
        <v>46106</v>
      </c>
      <c r="Z27" s="14">
        <v>46111</v>
      </c>
      <c r="AD27" s="2" t="s">
        <v>4356</v>
      </c>
      <c r="AF27" s="2">
        <v>8</v>
      </c>
      <c r="AG27" s="2">
        <v>13.62</v>
      </c>
      <c r="AI27" s="2" t="s">
        <v>180</v>
      </c>
      <c r="AK27" s="14">
        <v>46109</v>
      </c>
      <c r="AL27" s="14">
        <v>46109</v>
      </c>
      <c r="AM27" s="14">
        <v>46111</v>
      </c>
    </row>
    <row r="28" spans="1:70" ht="18" customHeight="1" x14ac:dyDescent="0.3">
      <c r="A28" s="2">
        <v>27</v>
      </c>
      <c r="B28" s="7">
        <v>7106205</v>
      </c>
      <c r="C28" s="111">
        <v>46094</v>
      </c>
      <c r="D28" s="2">
        <v>20770</v>
      </c>
      <c r="E28" s="2" t="s">
        <v>840</v>
      </c>
      <c r="F28" s="8" t="s">
        <v>642</v>
      </c>
      <c r="G28" s="8" t="s">
        <v>4357</v>
      </c>
      <c r="H28" s="8" t="s">
        <v>770</v>
      </c>
      <c r="I28" s="83">
        <v>54024</v>
      </c>
      <c r="J28" s="2" t="s">
        <v>1631</v>
      </c>
      <c r="K28" s="2" t="s">
        <v>126</v>
      </c>
      <c r="L28" s="2" t="s">
        <v>854</v>
      </c>
      <c r="M28" s="134">
        <v>46114</v>
      </c>
      <c r="N28" s="56" t="s">
        <v>4349</v>
      </c>
      <c r="Q28" s="67">
        <f t="shared" si="3"/>
        <v>0</v>
      </c>
      <c r="R28" s="133">
        <f t="shared" ca="1" si="4"/>
        <v>46113</v>
      </c>
      <c r="S28" s="15">
        <f t="shared" ca="1" si="5"/>
        <v>2075085</v>
      </c>
      <c r="U28" s="1" t="s">
        <v>4042</v>
      </c>
      <c r="V28" s="1" t="s">
        <v>645</v>
      </c>
      <c r="W28" s="79" t="s">
        <v>426</v>
      </c>
      <c r="X28" s="2">
        <v>20265034849</v>
      </c>
      <c r="Y28" s="14">
        <v>46106</v>
      </c>
      <c r="Z28" s="14">
        <v>46111</v>
      </c>
      <c r="AD28" s="2" t="s">
        <v>4359</v>
      </c>
      <c r="AF28" s="2">
        <v>1</v>
      </c>
      <c r="AG28" s="2">
        <v>1.24</v>
      </c>
      <c r="AI28" s="2" t="s">
        <v>180</v>
      </c>
      <c r="AK28" s="14">
        <v>46109</v>
      </c>
      <c r="AL28" s="14">
        <v>46109</v>
      </c>
      <c r="AM28" s="14">
        <v>46111</v>
      </c>
    </row>
    <row r="29" spans="1:70" ht="18" customHeight="1" x14ac:dyDescent="0.3">
      <c r="A29" s="2">
        <v>28</v>
      </c>
      <c r="B29" s="7">
        <v>7105322</v>
      </c>
      <c r="C29" s="111">
        <v>46091</v>
      </c>
      <c r="D29" s="2">
        <v>106050</v>
      </c>
      <c r="E29" s="2" t="s">
        <v>840</v>
      </c>
      <c r="F29" s="8" t="s">
        <v>540</v>
      </c>
      <c r="G29" s="8" t="s">
        <v>4360</v>
      </c>
      <c r="H29" s="8" t="s">
        <v>749</v>
      </c>
      <c r="I29" s="83">
        <v>54025</v>
      </c>
      <c r="J29" s="2" t="s">
        <v>1631</v>
      </c>
      <c r="K29" s="2" t="s">
        <v>126</v>
      </c>
      <c r="L29" s="2" t="s">
        <v>854</v>
      </c>
      <c r="M29" s="134">
        <v>46114</v>
      </c>
      <c r="N29" s="56" t="s">
        <v>4349</v>
      </c>
      <c r="Q29" s="67">
        <f t="shared" si="3"/>
        <v>0</v>
      </c>
      <c r="R29" s="133">
        <f t="shared" ca="1" si="4"/>
        <v>46113</v>
      </c>
      <c r="S29" s="15">
        <f t="shared" ca="1" si="5"/>
        <v>8300340</v>
      </c>
      <c r="U29" s="1" t="s">
        <v>4358</v>
      </c>
      <c r="V29" s="1" t="s">
        <v>645</v>
      </c>
      <c r="W29" s="79" t="s">
        <v>426</v>
      </c>
      <c r="X29" s="2">
        <v>20265034852</v>
      </c>
      <c r="Y29" s="14">
        <v>46106</v>
      </c>
      <c r="Z29" s="14">
        <v>46111</v>
      </c>
      <c r="AD29" s="2" t="s">
        <v>4361</v>
      </c>
      <c r="AF29" s="2">
        <v>4</v>
      </c>
      <c r="AG29" s="2">
        <v>6.02</v>
      </c>
      <c r="AI29" s="2" t="s">
        <v>180</v>
      </c>
      <c r="AK29" s="14">
        <v>46109</v>
      </c>
      <c r="AL29" s="14">
        <v>46109</v>
      </c>
      <c r="AM29" s="14">
        <v>46111</v>
      </c>
    </row>
    <row r="30" spans="1:70" ht="18" customHeight="1" x14ac:dyDescent="0.3">
      <c r="A30" s="2">
        <v>29</v>
      </c>
      <c r="B30" s="7">
        <v>7109178</v>
      </c>
      <c r="C30" s="111">
        <v>46094</v>
      </c>
      <c r="D30" s="2">
        <v>2077</v>
      </c>
      <c r="E30" s="2" t="s">
        <v>840</v>
      </c>
      <c r="F30" s="8" t="s">
        <v>222</v>
      </c>
      <c r="G30" s="8" t="s">
        <v>4362</v>
      </c>
      <c r="H30" s="8" t="s">
        <v>615</v>
      </c>
      <c r="I30" s="83">
        <v>53918</v>
      </c>
      <c r="J30" s="2" t="s">
        <v>1631</v>
      </c>
      <c r="K30" s="2" t="s">
        <v>126</v>
      </c>
      <c r="L30" s="2" t="s">
        <v>854</v>
      </c>
      <c r="M30" s="134">
        <v>46114</v>
      </c>
      <c r="N30" s="56" t="s">
        <v>4349</v>
      </c>
      <c r="Q30" s="67">
        <f t="shared" si="3"/>
        <v>0</v>
      </c>
      <c r="R30" s="133">
        <f t="shared" ca="1" si="4"/>
        <v>46113</v>
      </c>
      <c r="S30" s="15">
        <f t="shared" ca="1" si="5"/>
        <v>4150170</v>
      </c>
      <c r="U30" s="1" t="s">
        <v>4239</v>
      </c>
      <c r="V30" s="2" t="s">
        <v>2970</v>
      </c>
      <c r="W30" s="2" t="s">
        <v>2971</v>
      </c>
      <c r="X30" s="2">
        <v>20265034846</v>
      </c>
      <c r="Y30" s="14">
        <v>46106</v>
      </c>
      <c r="Z30" s="14">
        <v>46111</v>
      </c>
      <c r="AD30" s="2" t="s">
        <v>4363</v>
      </c>
      <c r="AF30" s="2">
        <v>2</v>
      </c>
      <c r="AG30" s="2">
        <v>0.11</v>
      </c>
      <c r="AI30" s="2" t="s">
        <v>180</v>
      </c>
      <c r="AK30" s="14">
        <v>46109</v>
      </c>
      <c r="AL30" s="14">
        <v>46109</v>
      </c>
      <c r="AM30" s="14">
        <v>46111</v>
      </c>
    </row>
    <row r="31" spans="1:70" ht="18" hidden="1" customHeight="1" x14ac:dyDescent="0.3">
      <c r="A31" s="2">
        <v>30</v>
      </c>
      <c r="B31" s="7">
        <v>7105590</v>
      </c>
      <c r="C31" s="111">
        <v>46094</v>
      </c>
      <c r="D31" s="2">
        <v>136530</v>
      </c>
      <c r="E31" s="2" t="s">
        <v>840</v>
      </c>
      <c r="F31" s="8" t="s">
        <v>2525</v>
      </c>
      <c r="G31" s="8" t="s">
        <v>4364</v>
      </c>
      <c r="H31" s="8" t="s">
        <v>653</v>
      </c>
      <c r="I31" s="83">
        <v>53924</v>
      </c>
      <c r="J31" s="2" t="s">
        <v>142</v>
      </c>
      <c r="K31" s="2" t="s">
        <v>126</v>
      </c>
      <c r="L31" s="2" t="s">
        <v>854</v>
      </c>
      <c r="M31" s="134">
        <v>46110</v>
      </c>
      <c r="N31" s="56" t="s">
        <v>4462</v>
      </c>
      <c r="Q31" s="67">
        <f t="shared" si="3"/>
        <v>-46110</v>
      </c>
      <c r="R31" s="133">
        <f t="shared" ca="1" si="4"/>
        <v>46113</v>
      </c>
      <c r="S31" s="15">
        <f t="shared" ca="1" si="5"/>
        <v>4150170</v>
      </c>
      <c r="U31" s="1" t="s">
        <v>4365</v>
      </c>
      <c r="V31" s="2" t="s">
        <v>2975</v>
      </c>
      <c r="W31" s="2" t="s">
        <v>2976</v>
      </c>
      <c r="X31" s="2" t="s">
        <v>4366</v>
      </c>
      <c r="Y31" s="14">
        <v>46107</v>
      </c>
      <c r="Z31" s="14">
        <v>46111</v>
      </c>
      <c r="AA31" s="14">
        <v>46110</v>
      </c>
      <c r="AB31" s="14">
        <v>46110</v>
      </c>
      <c r="AD31" s="2">
        <v>60750658963</v>
      </c>
      <c r="AE31" s="2" t="s">
        <v>4367</v>
      </c>
      <c r="AF31" s="2">
        <v>2</v>
      </c>
      <c r="AG31" s="2">
        <v>359</v>
      </c>
      <c r="AI31" s="2" t="s">
        <v>629</v>
      </c>
      <c r="AK31" s="14">
        <v>46109</v>
      </c>
      <c r="AL31" s="14">
        <v>46109</v>
      </c>
      <c r="AM31" s="14">
        <v>46111</v>
      </c>
      <c r="AO31" s="2">
        <v>8380962</v>
      </c>
      <c r="AP31" s="14">
        <v>46111</v>
      </c>
    </row>
    <row r="32" spans="1:70" ht="18" hidden="1" customHeight="1" x14ac:dyDescent="0.3">
      <c r="A32" s="2">
        <v>31</v>
      </c>
      <c r="B32" s="7">
        <v>7105583</v>
      </c>
      <c r="C32" s="111">
        <v>46094</v>
      </c>
      <c r="D32" s="2">
        <v>106190</v>
      </c>
      <c r="E32" s="2" t="s">
        <v>840</v>
      </c>
      <c r="F32" s="8" t="s">
        <v>2525</v>
      </c>
      <c r="G32" s="8" t="s">
        <v>4364</v>
      </c>
      <c r="H32" s="8" t="s">
        <v>651</v>
      </c>
      <c r="I32" s="83">
        <v>53926</v>
      </c>
      <c r="J32" s="2" t="s">
        <v>142</v>
      </c>
      <c r="K32" s="2" t="s">
        <v>126</v>
      </c>
      <c r="L32" s="2" t="s">
        <v>854</v>
      </c>
      <c r="M32" s="134">
        <v>46110</v>
      </c>
      <c r="N32" s="56" t="s">
        <v>4462</v>
      </c>
      <c r="Q32" s="67">
        <f t="shared" si="3"/>
        <v>-46110</v>
      </c>
      <c r="R32" s="133">
        <f t="shared" ca="1" si="4"/>
        <v>46113</v>
      </c>
      <c r="S32" s="15">
        <f t="shared" ca="1" si="5"/>
        <v>4150170</v>
      </c>
      <c r="U32" s="1" t="s">
        <v>4239</v>
      </c>
      <c r="V32" s="2" t="s">
        <v>2970</v>
      </c>
      <c r="W32" s="2" t="s">
        <v>2971</v>
      </c>
      <c r="X32" s="2" t="s">
        <v>4368</v>
      </c>
      <c r="Y32" s="14">
        <v>46107</v>
      </c>
      <c r="Z32" s="14">
        <v>46111</v>
      </c>
      <c r="AA32" s="14">
        <v>46110</v>
      </c>
      <c r="AB32" s="14">
        <v>46110</v>
      </c>
      <c r="AD32" s="2">
        <v>60750658963</v>
      </c>
      <c r="AE32" s="2" t="s">
        <v>4371</v>
      </c>
      <c r="AF32" s="2">
        <v>2</v>
      </c>
      <c r="AG32" s="2">
        <v>307</v>
      </c>
      <c r="AI32" s="2" t="s">
        <v>629</v>
      </c>
      <c r="AK32" s="14">
        <v>46109</v>
      </c>
      <c r="AL32" s="14">
        <v>46109</v>
      </c>
      <c r="AM32" s="14">
        <v>46111</v>
      </c>
      <c r="AO32" s="2">
        <v>8380066</v>
      </c>
      <c r="AP32" s="14">
        <v>46111</v>
      </c>
    </row>
    <row r="33" spans="1:42" ht="18" hidden="1" customHeight="1" x14ac:dyDescent="0.3">
      <c r="A33" s="2">
        <v>32</v>
      </c>
      <c r="B33" s="7">
        <v>7110257</v>
      </c>
      <c r="C33" s="111">
        <v>46097</v>
      </c>
      <c r="D33" s="2">
        <v>227550</v>
      </c>
      <c r="E33" s="2" t="s">
        <v>840</v>
      </c>
      <c r="F33" s="8" t="s">
        <v>2525</v>
      </c>
      <c r="G33" s="8" t="s">
        <v>4364</v>
      </c>
      <c r="H33" s="8" t="s">
        <v>525</v>
      </c>
      <c r="I33" s="83">
        <v>53927</v>
      </c>
      <c r="J33" s="2" t="s">
        <v>142</v>
      </c>
      <c r="K33" s="2" t="s">
        <v>126</v>
      </c>
      <c r="L33" s="2" t="s">
        <v>854</v>
      </c>
      <c r="M33" s="134">
        <v>46110</v>
      </c>
      <c r="N33" s="56" t="s">
        <v>4462</v>
      </c>
      <c r="Q33" s="67">
        <f t="shared" si="3"/>
        <v>-46110</v>
      </c>
      <c r="R33" s="133">
        <f t="shared" ca="1" si="4"/>
        <v>46113</v>
      </c>
      <c r="S33" s="15">
        <f t="shared" ca="1" si="5"/>
        <v>6225255</v>
      </c>
      <c r="U33" s="1" t="s">
        <v>4365</v>
      </c>
      <c r="V33" s="2" t="s">
        <v>2975</v>
      </c>
      <c r="W33" s="2" t="s">
        <v>2976</v>
      </c>
      <c r="X33" s="2" t="s">
        <v>4370</v>
      </c>
      <c r="Y33" s="14">
        <v>46107</v>
      </c>
      <c r="Z33" s="14">
        <v>46111</v>
      </c>
      <c r="AA33" s="14">
        <v>46111</v>
      </c>
      <c r="AB33" s="14">
        <v>46110</v>
      </c>
      <c r="AD33" s="2">
        <v>17622924904</v>
      </c>
      <c r="AE33" s="2" t="s">
        <v>4369</v>
      </c>
      <c r="AF33" s="2">
        <v>3</v>
      </c>
      <c r="AG33" s="2">
        <v>545</v>
      </c>
      <c r="AI33" s="2" t="s">
        <v>629</v>
      </c>
      <c r="AK33" s="14">
        <v>46109</v>
      </c>
      <c r="AL33" s="14">
        <v>46109</v>
      </c>
      <c r="AM33" s="14">
        <v>46111</v>
      </c>
      <c r="AO33" s="2">
        <v>8381856</v>
      </c>
      <c r="AP33" s="14">
        <v>46111</v>
      </c>
    </row>
    <row r="34" spans="1:42" ht="18" hidden="1" customHeight="1" x14ac:dyDescent="0.3">
      <c r="A34" s="2">
        <v>33</v>
      </c>
      <c r="B34" s="7">
        <v>7110268</v>
      </c>
      <c r="C34" s="111">
        <v>46097</v>
      </c>
      <c r="D34" s="2">
        <v>182040</v>
      </c>
      <c r="E34" s="2" t="s">
        <v>840</v>
      </c>
      <c r="F34" s="8" t="s">
        <v>2525</v>
      </c>
      <c r="G34" s="8" t="s">
        <v>4364</v>
      </c>
      <c r="H34" s="8" t="s">
        <v>582</v>
      </c>
      <c r="I34" s="83">
        <v>53930</v>
      </c>
      <c r="J34" s="2" t="s">
        <v>142</v>
      </c>
      <c r="K34" s="2" t="s">
        <v>126</v>
      </c>
      <c r="L34" s="2" t="s">
        <v>854</v>
      </c>
      <c r="M34" s="134">
        <v>46110</v>
      </c>
      <c r="N34" s="56" t="s">
        <v>4462</v>
      </c>
      <c r="Q34" s="67">
        <f t="shared" si="3"/>
        <v>-46110</v>
      </c>
      <c r="R34" s="133">
        <f t="shared" ca="1" si="4"/>
        <v>46113</v>
      </c>
      <c r="S34" s="15">
        <f t="shared" ca="1" si="5"/>
        <v>4150170</v>
      </c>
      <c r="U34" s="1" t="s">
        <v>4251</v>
      </c>
      <c r="V34" s="2" t="s">
        <v>161</v>
      </c>
      <c r="W34" s="2" t="s">
        <v>454</v>
      </c>
      <c r="X34" s="2" t="s">
        <v>4372</v>
      </c>
      <c r="Y34" s="14">
        <v>46107</v>
      </c>
      <c r="Z34" s="14">
        <v>46111</v>
      </c>
      <c r="AA34" s="14">
        <v>46111</v>
      </c>
      <c r="AB34" s="14">
        <v>46110</v>
      </c>
      <c r="AD34" s="2">
        <v>17622924904</v>
      </c>
      <c r="AE34" s="2" t="s">
        <v>4373</v>
      </c>
      <c r="AF34" s="2">
        <v>2</v>
      </c>
      <c r="AG34" s="2">
        <v>458</v>
      </c>
      <c r="AI34" s="2" t="s">
        <v>629</v>
      </c>
      <c r="AK34" s="14">
        <v>46109</v>
      </c>
      <c r="AL34" s="14">
        <v>46109</v>
      </c>
      <c r="AM34" s="14">
        <v>46111</v>
      </c>
      <c r="AO34" s="2">
        <v>8385024</v>
      </c>
      <c r="AP34" s="14">
        <v>46111</v>
      </c>
    </row>
    <row r="35" spans="1:42" ht="18" hidden="1" customHeight="1" x14ac:dyDescent="0.3">
      <c r="A35" s="2">
        <v>34</v>
      </c>
      <c r="B35" s="7">
        <v>7110220</v>
      </c>
      <c r="C35" s="111">
        <v>46097</v>
      </c>
      <c r="D35" s="2">
        <v>106190</v>
      </c>
      <c r="E35" s="2" t="s">
        <v>840</v>
      </c>
      <c r="F35" s="8" t="s">
        <v>2525</v>
      </c>
      <c r="G35" s="8" t="s">
        <v>4364</v>
      </c>
      <c r="H35" s="8" t="s">
        <v>651</v>
      </c>
      <c r="I35" s="83">
        <v>53931</v>
      </c>
      <c r="J35" s="2" t="s">
        <v>142</v>
      </c>
      <c r="K35" s="2" t="s">
        <v>126</v>
      </c>
      <c r="L35" s="2" t="s">
        <v>854</v>
      </c>
      <c r="M35" s="134">
        <v>46110</v>
      </c>
      <c r="N35" s="56" t="s">
        <v>4462</v>
      </c>
      <c r="Q35" s="67">
        <f t="shared" si="3"/>
        <v>-46110</v>
      </c>
      <c r="R35" s="133">
        <f t="shared" ca="1" si="4"/>
        <v>46113</v>
      </c>
      <c r="S35" s="15">
        <f t="shared" ca="1" si="5"/>
        <v>4150170</v>
      </c>
      <c r="U35" s="1" t="s">
        <v>4398</v>
      </c>
      <c r="V35" s="2" t="s">
        <v>1179</v>
      </c>
      <c r="W35" s="2" t="s">
        <v>948</v>
      </c>
      <c r="X35" s="2" t="s">
        <v>4374</v>
      </c>
      <c r="Y35" s="14">
        <v>46107</v>
      </c>
      <c r="Z35" s="14">
        <v>46111</v>
      </c>
      <c r="AA35" s="14">
        <v>46111</v>
      </c>
      <c r="AB35" s="14">
        <v>46110</v>
      </c>
      <c r="AD35" s="2">
        <v>17622924904</v>
      </c>
      <c r="AE35" s="2" t="s">
        <v>4375</v>
      </c>
      <c r="AF35" s="2">
        <v>2</v>
      </c>
      <c r="AG35" s="2">
        <v>310</v>
      </c>
      <c r="AI35" s="2" t="s">
        <v>629</v>
      </c>
      <c r="AK35" s="14">
        <v>46109</v>
      </c>
      <c r="AL35" s="14">
        <v>46109</v>
      </c>
      <c r="AM35" s="14">
        <v>46111</v>
      </c>
      <c r="AO35" s="2">
        <v>8387550</v>
      </c>
      <c r="AP35" s="14">
        <v>46111</v>
      </c>
    </row>
    <row r="36" spans="1:42" ht="18" hidden="1" customHeight="1" x14ac:dyDescent="0.3">
      <c r="A36" s="2">
        <v>35</v>
      </c>
      <c r="B36" s="7">
        <v>7110221</v>
      </c>
      <c r="C36" s="111">
        <v>46097</v>
      </c>
      <c r="D36" s="2">
        <v>151700</v>
      </c>
      <c r="E36" s="2" t="s">
        <v>840</v>
      </c>
      <c r="F36" s="8" t="s">
        <v>2525</v>
      </c>
      <c r="G36" s="8" t="s">
        <v>4364</v>
      </c>
      <c r="H36" s="8" t="s">
        <v>749</v>
      </c>
      <c r="I36" s="83">
        <v>53932</v>
      </c>
      <c r="J36" s="2" t="s">
        <v>142</v>
      </c>
      <c r="K36" s="2" t="s">
        <v>126</v>
      </c>
      <c r="L36" s="2" t="s">
        <v>854</v>
      </c>
      <c r="M36" s="134">
        <v>46110</v>
      </c>
      <c r="N36" s="56" t="s">
        <v>4462</v>
      </c>
      <c r="Q36" s="67">
        <f t="shared" si="3"/>
        <v>-46110</v>
      </c>
      <c r="R36" s="133">
        <f t="shared" ca="1" si="4"/>
        <v>46113</v>
      </c>
      <c r="S36" s="15">
        <f t="shared" ca="1" si="5"/>
        <v>4150170</v>
      </c>
      <c r="U36" s="1" t="s">
        <v>3559</v>
      </c>
      <c r="V36" s="2" t="s">
        <v>3037</v>
      </c>
      <c r="W36" s="2" t="s">
        <v>3038</v>
      </c>
      <c r="X36" s="2" t="s">
        <v>4376</v>
      </c>
      <c r="Y36" s="14">
        <v>46107</v>
      </c>
      <c r="Z36" s="14">
        <v>46111</v>
      </c>
      <c r="AA36" s="14">
        <v>46111</v>
      </c>
      <c r="AB36" s="14">
        <v>46110</v>
      </c>
      <c r="AD36" s="2">
        <v>17622924904</v>
      </c>
      <c r="AE36" s="2" t="s">
        <v>4377</v>
      </c>
      <c r="AF36" s="2">
        <v>2</v>
      </c>
      <c r="AG36" s="2">
        <v>406</v>
      </c>
      <c r="AI36" s="2" t="s">
        <v>629</v>
      </c>
      <c r="AK36" s="14">
        <v>46109</v>
      </c>
      <c r="AL36" s="14">
        <v>46109</v>
      </c>
      <c r="AM36" s="14">
        <v>46111</v>
      </c>
      <c r="AO36" s="2">
        <v>8385027</v>
      </c>
      <c r="AP36" s="14">
        <v>46111</v>
      </c>
    </row>
    <row r="37" spans="1:42" ht="18" hidden="1" customHeight="1" x14ac:dyDescent="0.3">
      <c r="A37" s="2">
        <v>36</v>
      </c>
      <c r="B37" s="8" t="s">
        <v>4378</v>
      </c>
      <c r="C37" s="75" t="s">
        <v>4379</v>
      </c>
      <c r="D37" s="8" t="s">
        <v>4380</v>
      </c>
      <c r="E37" s="2" t="s">
        <v>840</v>
      </c>
      <c r="F37" s="8" t="s">
        <v>4260</v>
      </c>
      <c r="G37" s="8" t="s">
        <v>4381</v>
      </c>
      <c r="H37" s="8" t="s">
        <v>4382</v>
      </c>
      <c r="I37" s="83">
        <v>53933</v>
      </c>
      <c r="J37" s="2" t="s">
        <v>142</v>
      </c>
      <c r="K37" s="2" t="s">
        <v>126</v>
      </c>
      <c r="L37" s="2" t="s">
        <v>854</v>
      </c>
      <c r="M37" s="134">
        <v>46110</v>
      </c>
      <c r="N37" s="56" t="s">
        <v>4462</v>
      </c>
      <c r="Q37" s="67">
        <f t="shared" si="3"/>
        <v>-46110</v>
      </c>
      <c r="R37" s="133">
        <f t="shared" ca="1" si="4"/>
        <v>46113</v>
      </c>
      <c r="S37" s="15">
        <f t="shared" ca="1" si="5"/>
        <v>10375425</v>
      </c>
      <c r="U37" s="8" t="s">
        <v>4389</v>
      </c>
      <c r="V37" s="1" t="s">
        <v>2087</v>
      </c>
      <c r="W37" s="79" t="s">
        <v>948</v>
      </c>
      <c r="X37" s="2" t="s">
        <v>4383</v>
      </c>
      <c r="Y37" s="14">
        <v>46107</v>
      </c>
      <c r="Z37" s="14">
        <v>46111</v>
      </c>
      <c r="AA37" s="14">
        <v>46111</v>
      </c>
      <c r="AB37" s="14">
        <v>46110</v>
      </c>
      <c r="AD37" s="2">
        <v>17622924904</v>
      </c>
      <c r="AE37" s="2" t="s">
        <v>4384</v>
      </c>
      <c r="AF37" s="2">
        <v>5</v>
      </c>
      <c r="AG37" s="2">
        <v>712</v>
      </c>
      <c r="AI37" s="2" t="s">
        <v>629</v>
      </c>
      <c r="AK37" s="14">
        <v>46109</v>
      </c>
      <c r="AL37" s="14">
        <v>46109</v>
      </c>
      <c r="AM37" s="14">
        <v>46111</v>
      </c>
      <c r="AO37" s="2">
        <v>8385030</v>
      </c>
      <c r="AP37" s="14">
        <v>46111</v>
      </c>
    </row>
    <row r="38" spans="1:42" ht="18" hidden="1" customHeight="1" x14ac:dyDescent="0.3">
      <c r="A38" s="2">
        <v>37</v>
      </c>
      <c r="B38" s="8" t="s">
        <v>4385</v>
      </c>
      <c r="C38" s="75" t="s">
        <v>4386</v>
      </c>
      <c r="D38" s="8" t="s">
        <v>4387</v>
      </c>
      <c r="E38" s="2" t="s">
        <v>840</v>
      </c>
      <c r="F38" s="8" t="s">
        <v>4260</v>
      </c>
      <c r="G38" s="8" t="s">
        <v>4381</v>
      </c>
      <c r="H38" s="8" t="s">
        <v>4388</v>
      </c>
      <c r="I38" s="83">
        <v>53935</v>
      </c>
      <c r="J38" s="2" t="s">
        <v>142</v>
      </c>
      <c r="K38" s="2" t="s">
        <v>126</v>
      </c>
      <c r="L38" s="2" t="s">
        <v>854</v>
      </c>
      <c r="M38" s="134">
        <v>46110</v>
      </c>
      <c r="N38" s="56" t="s">
        <v>4462</v>
      </c>
      <c r="Q38" s="67">
        <f t="shared" si="3"/>
        <v>-46110</v>
      </c>
      <c r="R38" s="133">
        <f t="shared" ca="1" si="4"/>
        <v>46113</v>
      </c>
      <c r="S38" s="15">
        <f t="shared" ca="1" si="5"/>
        <v>10375425</v>
      </c>
      <c r="U38" s="8" t="s">
        <v>4390</v>
      </c>
      <c r="V38" s="1" t="s">
        <v>626</v>
      </c>
      <c r="W38" s="1" t="s">
        <v>627</v>
      </c>
      <c r="X38" s="2" t="s">
        <v>4391</v>
      </c>
      <c r="Y38" s="14">
        <v>46107</v>
      </c>
      <c r="Z38" s="14">
        <v>46111</v>
      </c>
      <c r="AA38" s="14">
        <v>46111</v>
      </c>
      <c r="AB38" s="14">
        <v>46110</v>
      </c>
      <c r="AD38" s="2">
        <v>17622924904</v>
      </c>
      <c r="AE38" s="2" t="s">
        <v>4392</v>
      </c>
      <c r="AF38" s="2">
        <v>5</v>
      </c>
      <c r="AG38" s="2">
        <v>725</v>
      </c>
      <c r="AI38" s="2" t="s">
        <v>629</v>
      </c>
      <c r="AK38" s="14">
        <v>46109</v>
      </c>
      <c r="AL38" s="14">
        <v>46109</v>
      </c>
      <c r="AM38" s="14">
        <v>46111</v>
      </c>
      <c r="AO38" s="2">
        <v>8387339</v>
      </c>
      <c r="AP38" s="14">
        <v>46111</v>
      </c>
    </row>
    <row r="39" spans="1:42" ht="18" hidden="1" customHeight="1" x14ac:dyDescent="0.3">
      <c r="A39" s="2">
        <v>38</v>
      </c>
      <c r="B39" s="8" t="s">
        <v>4403</v>
      </c>
      <c r="C39" s="75" t="s">
        <v>4404</v>
      </c>
      <c r="D39" s="8" t="s">
        <v>4405</v>
      </c>
      <c r="E39" s="2" t="s">
        <v>840</v>
      </c>
      <c r="F39" s="8" t="s">
        <v>4260</v>
      </c>
      <c r="G39" s="8" t="s">
        <v>4381</v>
      </c>
      <c r="H39" s="8" t="s">
        <v>4406</v>
      </c>
      <c r="I39" s="83">
        <v>53942</v>
      </c>
      <c r="J39" s="2" t="s">
        <v>142</v>
      </c>
      <c r="K39" s="2" t="s">
        <v>126</v>
      </c>
      <c r="L39" s="2" t="s">
        <v>854</v>
      </c>
      <c r="M39" s="134">
        <v>46111</v>
      </c>
      <c r="N39" s="56" t="s">
        <v>4462</v>
      </c>
      <c r="Q39" s="67">
        <f t="shared" si="3"/>
        <v>-46111</v>
      </c>
      <c r="R39" s="133">
        <f t="shared" ca="1" si="4"/>
        <v>46113</v>
      </c>
      <c r="S39" s="15">
        <f t="shared" ca="1" si="5"/>
        <v>6225255</v>
      </c>
      <c r="U39" s="8" t="s">
        <v>4408</v>
      </c>
      <c r="V39" s="1" t="s">
        <v>239</v>
      </c>
      <c r="W39" s="1" t="s">
        <v>454</v>
      </c>
      <c r="X39" s="2" t="s">
        <v>4409</v>
      </c>
      <c r="Y39" s="14">
        <v>46108</v>
      </c>
      <c r="Z39" s="14">
        <v>46111</v>
      </c>
      <c r="AA39" s="14">
        <v>46111</v>
      </c>
      <c r="AB39" s="14">
        <v>46111</v>
      </c>
      <c r="AD39" s="2">
        <v>17622924930</v>
      </c>
      <c r="AE39" s="2" t="s">
        <v>4407</v>
      </c>
      <c r="AF39" s="2">
        <v>3</v>
      </c>
      <c r="AG39" s="2">
        <v>646</v>
      </c>
      <c r="AI39" s="2" t="s">
        <v>629</v>
      </c>
      <c r="AK39" s="14">
        <v>46110</v>
      </c>
      <c r="AL39" s="14">
        <v>46111</v>
      </c>
      <c r="AM39" s="14">
        <v>46111</v>
      </c>
      <c r="AO39" s="2">
        <v>8387936</v>
      </c>
      <c r="AP39" s="14">
        <v>46111</v>
      </c>
    </row>
    <row r="40" spans="1:42" ht="18" hidden="1" customHeight="1" x14ac:dyDescent="0.3">
      <c r="A40" s="2">
        <v>39</v>
      </c>
      <c r="B40" s="7">
        <v>7111658</v>
      </c>
      <c r="C40" s="111">
        <v>46100</v>
      </c>
      <c r="D40" s="2">
        <v>84952</v>
      </c>
      <c r="E40" s="2" t="s">
        <v>840</v>
      </c>
      <c r="F40" s="8" t="s">
        <v>2525</v>
      </c>
      <c r="G40" s="8" t="s">
        <v>4364</v>
      </c>
      <c r="H40" s="8" t="s">
        <v>3122</v>
      </c>
      <c r="I40" s="83">
        <v>53943</v>
      </c>
      <c r="J40" s="2" t="s">
        <v>142</v>
      </c>
      <c r="K40" s="2" t="s">
        <v>126</v>
      </c>
      <c r="L40" s="2" t="s">
        <v>854</v>
      </c>
      <c r="M40" s="134">
        <v>46111</v>
      </c>
      <c r="N40" s="56" t="s">
        <v>4462</v>
      </c>
      <c r="Q40" s="67">
        <f t="shared" si="3"/>
        <v>-46111</v>
      </c>
      <c r="R40" s="133">
        <f t="shared" ca="1" si="4"/>
        <v>46113</v>
      </c>
      <c r="S40" s="15">
        <f t="shared" ca="1" si="5"/>
        <v>2075085</v>
      </c>
      <c r="U40" s="1" t="s">
        <v>4410</v>
      </c>
      <c r="V40" s="1" t="s">
        <v>2087</v>
      </c>
      <c r="W40" s="79" t="s">
        <v>948</v>
      </c>
      <c r="X40" s="2" t="s">
        <v>4411</v>
      </c>
      <c r="Y40" s="14">
        <v>46108</v>
      </c>
      <c r="Z40" s="14">
        <v>46111</v>
      </c>
      <c r="AA40" s="14">
        <v>46111</v>
      </c>
      <c r="AB40" s="14">
        <v>46111</v>
      </c>
      <c r="AD40" s="2" t="s">
        <v>4412</v>
      </c>
      <c r="AE40" s="2" t="s">
        <v>4413</v>
      </c>
      <c r="AF40" s="2">
        <v>1</v>
      </c>
      <c r="AG40" s="2">
        <v>205</v>
      </c>
      <c r="AI40" s="2" t="s">
        <v>629</v>
      </c>
      <c r="AK40" s="14">
        <v>46110</v>
      </c>
      <c r="AL40" s="14">
        <v>46111</v>
      </c>
      <c r="AM40" s="14">
        <v>46111</v>
      </c>
      <c r="AO40" s="2">
        <v>8387338</v>
      </c>
      <c r="AP40" s="14">
        <v>46111</v>
      </c>
    </row>
    <row r="41" spans="1:42" ht="18" hidden="1" customHeight="1" x14ac:dyDescent="0.3">
      <c r="A41" s="2">
        <v>40</v>
      </c>
      <c r="B41" s="7">
        <v>7114628</v>
      </c>
      <c r="C41" s="111">
        <v>46101</v>
      </c>
      <c r="D41" s="2">
        <v>151700</v>
      </c>
      <c r="E41" s="2" t="s">
        <v>840</v>
      </c>
      <c r="F41" s="8" t="s">
        <v>2525</v>
      </c>
      <c r="G41" s="8" t="s">
        <v>4364</v>
      </c>
      <c r="H41" s="8" t="s">
        <v>749</v>
      </c>
      <c r="I41" s="83">
        <v>53944</v>
      </c>
      <c r="J41" s="2" t="s">
        <v>142</v>
      </c>
      <c r="K41" s="2" t="s">
        <v>126</v>
      </c>
      <c r="L41" s="2" t="s">
        <v>854</v>
      </c>
      <c r="M41" s="134">
        <v>46111</v>
      </c>
      <c r="N41" s="56" t="s">
        <v>4462</v>
      </c>
      <c r="Q41" s="67">
        <f t="shared" si="3"/>
        <v>-46111</v>
      </c>
      <c r="R41" s="133">
        <f t="shared" ca="1" si="4"/>
        <v>46113</v>
      </c>
      <c r="S41" s="15">
        <f t="shared" ca="1" si="5"/>
        <v>4150170</v>
      </c>
      <c r="U41" s="1" t="s">
        <v>4410</v>
      </c>
      <c r="V41" s="1" t="s">
        <v>2087</v>
      </c>
      <c r="W41" s="79" t="s">
        <v>948</v>
      </c>
      <c r="X41" s="2" t="s">
        <v>4414</v>
      </c>
      <c r="Y41" s="14">
        <v>46108</v>
      </c>
      <c r="Z41" s="14">
        <v>46111</v>
      </c>
      <c r="AA41" s="14">
        <v>46111</v>
      </c>
      <c r="AB41" s="14">
        <v>46111</v>
      </c>
      <c r="AD41" s="2" t="s">
        <v>4412</v>
      </c>
      <c r="AE41" s="2" t="s">
        <v>4415</v>
      </c>
      <c r="AF41" s="2">
        <v>2</v>
      </c>
      <c r="AG41" s="2">
        <v>365</v>
      </c>
      <c r="AI41" s="2" t="s">
        <v>629</v>
      </c>
      <c r="AK41" s="14">
        <v>46110</v>
      </c>
      <c r="AL41" s="14">
        <v>46111</v>
      </c>
      <c r="AM41" s="14">
        <v>46111</v>
      </c>
      <c r="AO41" s="2">
        <v>8387552</v>
      </c>
      <c r="AP41" s="14">
        <v>46111</v>
      </c>
    </row>
    <row r="42" spans="1:42" ht="18" hidden="1" customHeight="1" x14ac:dyDescent="0.3">
      <c r="A42" s="2">
        <v>41</v>
      </c>
      <c r="B42" s="7">
        <v>7114630</v>
      </c>
      <c r="C42" s="111">
        <v>46102</v>
      </c>
      <c r="D42" s="2">
        <v>75850</v>
      </c>
      <c r="E42" s="2" t="s">
        <v>840</v>
      </c>
      <c r="F42" s="8" t="s">
        <v>2525</v>
      </c>
      <c r="G42" s="8" t="s">
        <v>4364</v>
      </c>
      <c r="H42" s="8" t="s">
        <v>446</v>
      </c>
      <c r="I42" s="83">
        <v>53945</v>
      </c>
      <c r="J42" s="2" t="s">
        <v>142</v>
      </c>
      <c r="K42" s="2" t="s">
        <v>126</v>
      </c>
      <c r="L42" s="2" t="s">
        <v>854</v>
      </c>
      <c r="M42" s="134">
        <v>46111</v>
      </c>
      <c r="N42" s="56" t="s">
        <v>4462</v>
      </c>
      <c r="Q42" s="67">
        <f t="shared" si="3"/>
        <v>-46111</v>
      </c>
      <c r="R42" s="133">
        <f t="shared" ca="1" si="4"/>
        <v>46113</v>
      </c>
      <c r="S42" s="15">
        <f t="shared" ca="1" si="5"/>
        <v>2075085</v>
      </c>
      <c r="U42" s="1" t="s">
        <v>4416</v>
      </c>
      <c r="V42" s="2" t="s">
        <v>4417</v>
      </c>
      <c r="W42" s="2" t="s">
        <v>4418</v>
      </c>
      <c r="X42" s="2" t="s">
        <v>4419</v>
      </c>
      <c r="Y42" s="14">
        <v>46108</v>
      </c>
      <c r="Z42" s="14">
        <v>46111</v>
      </c>
      <c r="AA42" s="14">
        <v>46111</v>
      </c>
      <c r="AB42" s="14">
        <v>46111</v>
      </c>
      <c r="AD42" s="2">
        <v>17622924930</v>
      </c>
      <c r="AE42" s="2" t="s">
        <v>4420</v>
      </c>
      <c r="AF42" s="2">
        <v>1</v>
      </c>
      <c r="AG42" s="2">
        <v>181</v>
      </c>
      <c r="AI42" s="2" t="s">
        <v>629</v>
      </c>
      <c r="AK42" s="14">
        <v>46110</v>
      </c>
      <c r="AL42" s="14">
        <v>46111</v>
      </c>
      <c r="AM42" s="14">
        <v>46111</v>
      </c>
      <c r="AO42" s="2">
        <v>8387934</v>
      </c>
      <c r="AP42" s="14">
        <v>46111</v>
      </c>
    </row>
    <row r="43" spans="1:42" ht="18" hidden="1" customHeight="1" x14ac:dyDescent="0.3">
      <c r="A43" s="2">
        <v>42</v>
      </c>
      <c r="B43" s="7">
        <v>7114629</v>
      </c>
      <c r="C43" s="111">
        <v>46101</v>
      </c>
      <c r="D43" s="2">
        <v>75850</v>
      </c>
      <c r="E43" s="2" t="s">
        <v>840</v>
      </c>
      <c r="F43" s="8" t="s">
        <v>2525</v>
      </c>
      <c r="G43" s="8" t="s">
        <v>4364</v>
      </c>
      <c r="H43" s="8" t="s">
        <v>446</v>
      </c>
      <c r="I43" s="83">
        <v>53947</v>
      </c>
      <c r="J43" s="2" t="s">
        <v>142</v>
      </c>
      <c r="K43" s="2" t="s">
        <v>126</v>
      </c>
      <c r="L43" s="2" t="s">
        <v>854</v>
      </c>
      <c r="M43" s="134">
        <v>46111</v>
      </c>
      <c r="N43" s="56" t="s">
        <v>4462</v>
      </c>
      <c r="Q43" s="67">
        <f t="shared" si="3"/>
        <v>-46111</v>
      </c>
      <c r="R43" s="133">
        <f t="shared" ca="1" si="4"/>
        <v>46113</v>
      </c>
      <c r="S43" s="15">
        <f t="shared" ca="1" si="5"/>
        <v>2075085</v>
      </c>
      <c r="U43" s="1" t="s">
        <v>4421</v>
      </c>
      <c r="V43" s="2" t="s">
        <v>4422</v>
      </c>
      <c r="W43" s="1" t="s">
        <v>454</v>
      </c>
      <c r="X43" s="2" t="s">
        <v>4423</v>
      </c>
      <c r="Y43" s="14">
        <v>46108</v>
      </c>
      <c r="Z43" s="14">
        <v>46111</v>
      </c>
      <c r="AA43" s="14">
        <v>46111</v>
      </c>
      <c r="AB43" s="14">
        <v>46111</v>
      </c>
      <c r="AD43" s="2">
        <v>17622924930</v>
      </c>
      <c r="AE43" s="2" t="s">
        <v>4424</v>
      </c>
      <c r="AF43" s="2">
        <v>1</v>
      </c>
      <c r="AG43" s="2">
        <v>205</v>
      </c>
      <c r="AI43" s="2" t="s">
        <v>629</v>
      </c>
      <c r="AK43" s="14">
        <v>46110</v>
      </c>
      <c r="AL43" s="14">
        <v>46111</v>
      </c>
      <c r="AM43" s="14">
        <v>46111</v>
      </c>
      <c r="AO43" s="2">
        <v>8388252</v>
      </c>
      <c r="AP43" s="14">
        <v>46111</v>
      </c>
    </row>
    <row r="44" spans="1:42" ht="18" hidden="1" customHeight="1" x14ac:dyDescent="0.3">
      <c r="A44" s="2">
        <v>43</v>
      </c>
      <c r="B44" s="7">
        <v>1041071</v>
      </c>
      <c r="C44" s="111">
        <v>46100</v>
      </c>
      <c r="D44" s="2">
        <v>207146</v>
      </c>
      <c r="E44" s="2" t="s">
        <v>681</v>
      </c>
      <c r="F44" s="2" t="s">
        <v>4221</v>
      </c>
      <c r="G44" s="2" t="s">
        <v>3082</v>
      </c>
      <c r="H44" s="2">
        <v>100</v>
      </c>
      <c r="I44" s="83">
        <v>54001</v>
      </c>
      <c r="J44" s="2" t="s">
        <v>142</v>
      </c>
      <c r="K44" s="2" t="s">
        <v>126</v>
      </c>
      <c r="L44" s="2" t="s">
        <v>854</v>
      </c>
      <c r="M44" s="134">
        <v>46112</v>
      </c>
      <c r="Q44" s="67">
        <f t="shared" si="3"/>
        <v>-46113</v>
      </c>
      <c r="R44" s="133">
        <f t="shared" ca="1" si="4"/>
        <v>46113</v>
      </c>
      <c r="S44" s="15">
        <f t="shared" ca="1" si="5"/>
        <v>6225255</v>
      </c>
      <c r="U44" s="1" t="s">
        <v>4050</v>
      </c>
      <c r="V44" s="2" t="s">
        <v>755</v>
      </c>
      <c r="W44" s="1" t="s">
        <v>827</v>
      </c>
      <c r="X44" s="2" t="s">
        <v>4426</v>
      </c>
      <c r="Y44" s="14">
        <v>46108</v>
      </c>
      <c r="Z44" s="14">
        <v>46111</v>
      </c>
      <c r="AA44" s="14">
        <v>46112</v>
      </c>
      <c r="AB44" s="14">
        <v>46113</v>
      </c>
      <c r="AD44" s="2">
        <v>60753185160</v>
      </c>
      <c r="AE44" s="2" t="s">
        <v>4427</v>
      </c>
      <c r="AF44" s="2">
        <v>3</v>
      </c>
      <c r="AG44" s="2">
        <v>788.5</v>
      </c>
      <c r="AI44" s="2" t="s">
        <v>3116</v>
      </c>
      <c r="AK44" s="14">
        <v>46111</v>
      </c>
      <c r="AL44" s="14">
        <v>46111</v>
      </c>
      <c r="AM44" s="14">
        <v>46111</v>
      </c>
    </row>
    <row r="45" spans="1:42" ht="18" hidden="1" customHeight="1" x14ac:dyDescent="0.3">
      <c r="A45" s="2">
        <v>44</v>
      </c>
      <c r="B45" s="7">
        <v>1041072</v>
      </c>
      <c r="C45" s="111">
        <v>46100</v>
      </c>
      <c r="D45" s="2">
        <v>207146</v>
      </c>
      <c r="E45" s="2" t="s">
        <v>681</v>
      </c>
      <c r="F45" s="2" t="s">
        <v>4221</v>
      </c>
      <c r="G45" s="2" t="s">
        <v>3082</v>
      </c>
      <c r="H45" s="2">
        <v>100</v>
      </c>
      <c r="I45" s="83">
        <v>54003</v>
      </c>
      <c r="J45" s="2" t="s">
        <v>142</v>
      </c>
      <c r="K45" s="2" t="s">
        <v>126</v>
      </c>
      <c r="L45" s="2" t="s">
        <v>854</v>
      </c>
      <c r="M45" s="134">
        <v>46112</v>
      </c>
      <c r="N45" s="56" t="s">
        <v>4486</v>
      </c>
      <c r="Q45" s="67">
        <f t="shared" si="3"/>
        <v>-46112</v>
      </c>
      <c r="R45" s="133">
        <f t="shared" ca="1" si="4"/>
        <v>46113</v>
      </c>
      <c r="S45" s="15">
        <f t="shared" ca="1" si="5"/>
        <v>6225255</v>
      </c>
      <c r="U45" s="1" t="s">
        <v>4050</v>
      </c>
      <c r="V45" s="2" t="s">
        <v>755</v>
      </c>
      <c r="W45" s="1" t="s">
        <v>827</v>
      </c>
      <c r="X45" s="2" t="s">
        <v>4428</v>
      </c>
      <c r="Y45" s="14">
        <v>46108</v>
      </c>
      <c r="Z45" s="14">
        <v>46111</v>
      </c>
      <c r="AA45" s="14">
        <v>46112</v>
      </c>
      <c r="AB45" s="14">
        <v>46112</v>
      </c>
      <c r="AD45" s="2">
        <v>60753185171</v>
      </c>
      <c r="AE45" s="2" t="s">
        <v>4429</v>
      </c>
      <c r="AF45" s="2">
        <v>3</v>
      </c>
      <c r="AG45" s="2">
        <v>720</v>
      </c>
      <c r="AI45" s="2" t="s">
        <v>3116</v>
      </c>
      <c r="AK45" s="14">
        <v>46111</v>
      </c>
      <c r="AL45" s="14">
        <v>46111</v>
      </c>
      <c r="AM45" s="14">
        <v>46111</v>
      </c>
    </row>
    <row r="46" spans="1:42" ht="18" hidden="1" customHeight="1" x14ac:dyDescent="0.3">
      <c r="A46" s="2">
        <v>45</v>
      </c>
      <c r="B46" s="7">
        <v>1042589</v>
      </c>
      <c r="C46" s="111">
        <v>46105</v>
      </c>
      <c r="D46" s="2">
        <v>36030</v>
      </c>
      <c r="E46" s="2" t="s">
        <v>681</v>
      </c>
      <c r="F46" s="2" t="s">
        <v>4158</v>
      </c>
      <c r="G46" s="2" t="s">
        <v>3306</v>
      </c>
      <c r="H46" s="2">
        <v>2</v>
      </c>
      <c r="I46" s="83">
        <v>53954</v>
      </c>
      <c r="J46" s="2" t="s">
        <v>142</v>
      </c>
      <c r="K46" s="2" t="s">
        <v>126</v>
      </c>
      <c r="L46" s="2" t="s">
        <v>854</v>
      </c>
      <c r="M46" s="134">
        <v>46112</v>
      </c>
      <c r="N46" s="56" t="s">
        <v>4400</v>
      </c>
      <c r="Q46" s="67">
        <f t="shared" si="3"/>
        <v>-46112</v>
      </c>
      <c r="R46" s="133">
        <f t="shared" ca="1" si="4"/>
        <v>46113</v>
      </c>
      <c r="S46" s="15">
        <f t="shared" ca="1" si="5"/>
        <v>2075085</v>
      </c>
      <c r="U46" s="1" t="s">
        <v>4159</v>
      </c>
      <c r="V46" s="2" t="s">
        <v>755</v>
      </c>
      <c r="W46" s="1" t="s">
        <v>827</v>
      </c>
      <c r="X46" s="2" t="s">
        <v>4464</v>
      </c>
      <c r="Y46" s="14">
        <v>46112</v>
      </c>
      <c r="Z46" s="2" t="s">
        <v>4161</v>
      </c>
      <c r="AA46" s="14">
        <v>46112</v>
      </c>
      <c r="AB46" s="14">
        <v>46112</v>
      </c>
      <c r="AD46" s="2">
        <v>31293170663</v>
      </c>
      <c r="AE46" s="2" t="s">
        <v>4435</v>
      </c>
      <c r="AF46" s="2">
        <v>1</v>
      </c>
      <c r="AG46" s="2">
        <v>45</v>
      </c>
      <c r="AI46" s="2" t="s">
        <v>3116</v>
      </c>
      <c r="AK46" s="14">
        <v>46112</v>
      </c>
      <c r="AL46" s="14">
        <v>46112</v>
      </c>
      <c r="AM46" s="14">
        <v>46112</v>
      </c>
      <c r="AO46" s="2">
        <v>8402580</v>
      </c>
      <c r="AP46" s="14">
        <v>46112</v>
      </c>
    </row>
    <row r="47" spans="1:42" ht="18" hidden="1" customHeight="1" x14ac:dyDescent="0.3">
      <c r="A47" s="2">
        <v>46</v>
      </c>
      <c r="B47" s="7">
        <v>1041613</v>
      </c>
      <c r="C47" s="111">
        <v>46105</v>
      </c>
      <c r="D47" s="2">
        <v>207146</v>
      </c>
      <c r="E47" s="2" t="s">
        <v>681</v>
      </c>
      <c r="F47" s="2" t="s">
        <v>4221</v>
      </c>
      <c r="G47" s="2" t="s">
        <v>3082</v>
      </c>
      <c r="H47" s="2">
        <v>100</v>
      </c>
      <c r="I47" s="83">
        <v>53998</v>
      </c>
      <c r="J47" s="2" t="s">
        <v>142</v>
      </c>
      <c r="K47" s="2" t="s">
        <v>126</v>
      </c>
      <c r="L47" s="2" t="s">
        <v>854</v>
      </c>
      <c r="M47" s="134">
        <v>46112</v>
      </c>
      <c r="N47" s="56" t="s">
        <v>4486</v>
      </c>
      <c r="Q47" s="67">
        <f t="shared" si="3"/>
        <v>-46112</v>
      </c>
      <c r="R47" s="133">
        <f t="shared" ca="1" si="4"/>
        <v>46113</v>
      </c>
      <c r="S47" s="15">
        <f t="shared" ca="1" si="5"/>
        <v>6225255</v>
      </c>
      <c r="U47" s="1" t="s">
        <v>4050</v>
      </c>
      <c r="V47" s="2" t="s">
        <v>755</v>
      </c>
      <c r="W47" s="1" t="s">
        <v>827</v>
      </c>
      <c r="X47" s="2" t="s">
        <v>4465</v>
      </c>
      <c r="Y47" s="14">
        <v>46112</v>
      </c>
      <c r="Z47" s="2" t="s">
        <v>4161</v>
      </c>
      <c r="AA47" s="14">
        <v>46112</v>
      </c>
      <c r="AB47" s="14">
        <v>46112</v>
      </c>
      <c r="AD47" s="2">
        <v>21708941085</v>
      </c>
      <c r="AE47" s="2" t="s">
        <v>4466</v>
      </c>
      <c r="AF47" s="2">
        <v>3</v>
      </c>
      <c r="AG47" s="2">
        <v>714</v>
      </c>
      <c r="AI47" s="2" t="s">
        <v>3116</v>
      </c>
      <c r="AK47" s="14">
        <v>46112</v>
      </c>
      <c r="AL47" s="14">
        <v>46112</v>
      </c>
      <c r="AM47" s="14">
        <v>46112</v>
      </c>
    </row>
    <row r="48" spans="1:42" ht="18" hidden="1" customHeight="1" x14ac:dyDescent="0.3">
      <c r="A48" s="2">
        <v>47</v>
      </c>
      <c r="B48" s="7">
        <v>1041073</v>
      </c>
      <c r="C48" s="111">
        <v>46105</v>
      </c>
      <c r="D48" s="2">
        <v>207146</v>
      </c>
      <c r="E48" s="2" t="s">
        <v>681</v>
      </c>
      <c r="F48" s="2" t="s">
        <v>4221</v>
      </c>
      <c r="G48" s="2" t="s">
        <v>3082</v>
      </c>
      <c r="H48" s="2">
        <v>100</v>
      </c>
      <c r="I48" s="83">
        <v>53995</v>
      </c>
      <c r="J48" s="2" t="s">
        <v>142</v>
      </c>
      <c r="K48" s="2" t="s">
        <v>126</v>
      </c>
      <c r="L48" s="2" t="s">
        <v>854</v>
      </c>
      <c r="M48" s="134">
        <v>46112</v>
      </c>
      <c r="N48" s="56" t="s">
        <v>4486</v>
      </c>
      <c r="Q48" s="67">
        <f t="shared" si="3"/>
        <v>-46112</v>
      </c>
      <c r="R48" s="133">
        <f t="shared" ca="1" si="4"/>
        <v>46113</v>
      </c>
      <c r="S48" s="15">
        <f t="shared" ca="1" si="5"/>
        <v>6225255</v>
      </c>
      <c r="U48" s="1" t="s">
        <v>4050</v>
      </c>
      <c r="V48" s="2" t="s">
        <v>755</v>
      </c>
      <c r="W48" s="1" t="s">
        <v>827</v>
      </c>
      <c r="X48" s="2" t="s">
        <v>4467</v>
      </c>
      <c r="Y48" s="14">
        <v>46112</v>
      </c>
      <c r="Z48" s="2" t="s">
        <v>4161</v>
      </c>
      <c r="AA48" s="14">
        <v>46112</v>
      </c>
      <c r="AB48" s="14">
        <v>46112</v>
      </c>
      <c r="AD48" s="2">
        <v>21708941063</v>
      </c>
      <c r="AE48" s="2" t="s">
        <v>4468</v>
      </c>
      <c r="AF48" s="2">
        <v>3</v>
      </c>
      <c r="AG48" s="2">
        <v>714</v>
      </c>
      <c r="AI48" s="2" t="s">
        <v>3116</v>
      </c>
      <c r="AK48" s="14">
        <v>46112</v>
      </c>
      <c r="AL48" s="14">
        <v>46112</v>
      </c>
      <c r="AM48" s="14">
        <v>46112</v>
      </c>
    </row>
    <row r="49" spans="1:42" ht="18" hidden="1" customHeight="1" x14ac:dyDescent="0.3">
      <c r="A49" s="2">
        <v>48</v>
      </c>
      <c r="B49" s="7">
        <v>260312334</v>
      </c>
      <c r="C49" s="111">
        <v>46106</v>
      </c>
      <c r="D49" s="2">
        <v>54367</v>
      </c>
      <c r="E49" s="2" t="s">
        <v>840</v>
      </c>
      <c r="F49" s="2" t="s">
        <v>1198</v>
      </c>
      <c r="G49" s="2" t="s">
        <v>1884</v>
      </c>
      <c r="H49" s="2">
        <v>1</v>
      </c>
      <c r="I49" s="83">
        <v>53958</v>
      </c>
      <c r="J49" s="2" t="s">
        <v>142</v>
      </c>
      <c r="K49" s="2" t="s">
        <v>126</v>
      </c>
      <c r="L49" s="2" t="s">
        <v>854</v>
      </c>
      <c r="M49" s="134">
        <v>46112</v>
      </c>
      <c r="N49" s="56" t="s">
        <v>4400</v>
      </c>
      <c r="Q49" s="67">
        <f t="shared" si="3"/>
        <v>-46112</v>
      </c>
      <c r="R49" s="133">
        <f t="shared" ca="1" si="4"/>
        <v>46113</v>
      </c>
      <c r="S49" s="15">
        <f t="shared" ca="1" si="5"/>
        <v>2075085</v>
      </c>
      <c r="U49" s="1" t="s">
        <v>4469</v>
      </c>
      <c r="V49" s="2" t="s">
        <v>755</v>
      </c>
      <c r="W49" s="1" t="s">
        <v>827</v>
      </c>
      <c r="X49" s="2" t="s">
        <v>4471</v>
      </c>
      <c r="Y49" s="14">
        <v>46108</v>
      </c>
      <c r="Z49" s="14">
        <v>46112</v>
      </c>
      <c r="AA49" s="14">
        <v>46112</v>
      </c>
      <c r="AB49" s="14">
        <v>46112</v>
      </c>
      <c r="AD49" s="2" t="s">
        <v>4474</v>
      </c>
      <c r="AE49" s="2">
        <v>4840764773</v>
      </c>
      <c r="AF49" s="2">
        <v>1</v>
      </c>
      <c r="AG49" s="2">
        <v>2.5</v>
      </c>
      <c r="AI49" s="2" t="s">
        <v>179</v>
      </c>
      <c r="AK49" s="14">
        <v>46112</v>
      </c>
      <c r="AL49" s="14">
        <v>46112</v>
      </c>
      <c r="AM49" s="14">
        <v>46112</v>
      </c>
      <c r="AO49" s="2">
        <v>8403137</v>
      </c>
      <c r="AP49" s="14">
        <v>46112</v>
      </c>
    </row>
    <row r="50" spans="1:42" ht="18" hidden="1" customHeight="1" x14ac:dyDescent="0.3">
      <c r="A50" s="2">
        <v>49</v>
      </c>
      <c r="B50" s="7">
        <v>260312292</v>
      </c>
      <c r="C50" s="111">
        <v>46106</v>
      </c>
      <c r="D50" s="2">
        <v>163103</v>
      </c>
      <c r="E50" s="2" t="s">
        <v>840</v>
      </c>
      <c r="F50" s="2" t="s">
        <v>1198</v>
      </c>
      <c r="G50" s="2" t="s">
        <v>1884</v>
      </c>
      <c r="H50" s="2">
        <v>3</v>
      </c>
      <c r="I50" s="83">
        <v>53959</v>
      </c>
      <c r="J50" s="2" t="s">
        <v>142</v>
      </c>
      <c r="K50" s="2" t="s">
        <v>126</v>
      </c>
      <c r="L50" s="2" t="s">
        <v>854</v>
      </c>
      <c r="M50" s="134">
        <v>46112</v>
      </c>
      <c r="N50" s="56" t="s">
        <v>4400</v>
      </c>
      <c r="Q50" s="67">
        <f t="shared" si="3"/>
        <v>-46112</v>
      </c>
      <c r="R50" s="133">
        <f t="shared" ca="1" si="4"/>
        <v>46113</v>
      </c>
      <c r="S50" s="15">
        <f t="shared" ca="1" si="5"/>
        <v>6225255</v>
      </c>
      <c r="U50" s="1" t="s">
        <v>4470</v>
      </c>
      <c r="V50" s="2" t="s">
        <v>755</v>
      </c>
      <c r="W50" s="1" t="s">
        <v>827</v>
      </c>
      <c r="X50" s="2" t="s">
        <v>4472</v>
      </c>
      <c r="Y50" s="14">
        <v>46108</v>
      </c>
      <c r="Z50" s="14">
        <v>46112</v>
      </c>
      <c r="AA50" s="14">
        <v>46112</v>
      </c>
      <c r="AB50" s="14">
        <v>46112</v>
      </c>
      <c r="AD50" s="2" t="s">
        <v>4474</v>
      </c>
      <c r="AE50" s="2">
        <v>4840764774</v>
      </c>
      <c r="AF50" s="2">
        <v>3</v>
      </c>
      <c r="AG50" s="2">
        <v>9</v>
      </c>
      <c r="AI50" s="2" t="s">
        <v>179</v>
      </c>
      <c r="AK50" s="14">
        <v>46112</v>
      </c>
      <c r="AL50" s="14">
        <v>46112</v>
      </c>
      <c r="AM50" s="14">
        <v>46112</v>
      </c>
      <c r="AO50" s="2">
        <v>8403131</v>
      </c>
      <c r="AP50" s="14">
        <v>46112</v>
      </c>
    </row>
    <row r="51" spans="1:42" ht="18" hidden="1" customHeight="1" x14ac:dyDescent="0.3">
      <c r="A51" s="2">
        <v>50</v>
      </c>
      <c r="B51" s="7">
        <v>260312338</v>
      </c>
      <c r="C51" s="111">
        <v>46106</v>
      </c>
      <c r="D51" s="2">
        <v>234513</v>
      </c>
      <c r="E51" s="2" t="s">
        <v>840</v>
      </c>
      <c r="F51" s="2" t="s">
        <v>1816</v>
      </c>
      <c r="G51" s="2" t="s">
        <v>1815</v>
      </c>
      <c r="H51" s="2">
        <v>5</v>
      </c>
      <c r="I51" s="83">
        <v>53961</v>
      </c>
      <c r="J51" s="2" t="s">
        <v>142</v>
      </c>
      <c r="K51" s="2" t="s">
        <v>126</v>
      </c>
      <c r="L51" s="2" t="s">
        <v>854</v>
      </c>
      <c r="M51" s="134">
        <v>46112</v>
      </c>
      <c r="N51" s="56" t="s">
        <v>4400</v>
      </c>
      <c r="Q51" s="67">
        <f t="shared" si="3"/>
        <v>-46112</v>
      </c>
      <c r="R51" s="133">
        <f t="shared" ca="1" si="4"/>
        <v>46113</v>
      </c>
      <c r="S51" s="15">
        <f t="shared" ca="1" si="5"/>
        <v>10375425</v>
      </c>
      <c r="U51" s="1" t="s">
        <v>4470</v>
      </c>
      <c r="V51" s="2" t="s">
        <v>755</v>
      </c>
      <c r="W51" s="1" t="s">
        <v>827</v>
      </c>
      <c r="X51" s="2" t="s">
        <v>4473</v>
      </c>
      <c r="Y51" s="14">
        <v>46108</v>
      </c>
      <c r="Z51" s="14">
        <v>46112</v>
      </c>
      <c r="AA51" s="14">
        <v>46112</v>
      </c>
      <c r="AB51" s="14">
        <v>46112</v>
      </c>
      <c r="AD51" s="2" t="s">
        <v>4474</v>
      </c>
      <c r="AE51" s="2">
        <v>4840764771</v>
      </c>
      <c r="AF51" s="2">
        <v>5</v>
      </c>
      <c r="AG51" s="2">
        <v>15</v>
      </c>
      <c r="AI51" s="2" t="s">
        <v>179</v>
      </c>
      <c r="AK51" s="14">
        <v>46112</v>
      </c>
      <c r="AL51" s="14">
        <v>46112</v>
      </c>
      <c r="AM51" s="14">
        <v>46112</v>
      </c>
      <c r="AO51" s="2">
        <v>8403136</v>
      </c>
      <c r="AP51" s="14">
        <v>46112</v>
      </c>
    </row>
    <row r="52" spans="1:42" ht="18" hidden="1" customHeight="1" x14ac:dyDescent="0.3">
      <c r="A52" s="2">
        <v>51</v>
      </c>
      <c r="B52" s="7">
        <v>260314252</v>
      </c>
      <c r="C52" s="111">
        <v>46108</v>
      </c>
      <c r="D52" s="2">
        <v>955046.40000000002</v>
      </c>
      <c r="E52" s="2" t="s">
        <v>677</v>
      </c>
      <c r="F52" s="2" t="s">
        <v>4481</v>
      </c>
      <c r="G52" s="2" t="s">
        <v>4482</v>
      </c>
      <c r="H52" s="2">
        <v>16</v>
      </c>
      <c r="I52" s="83">
        <v>54016</v>
      </c>
      <c r="J52" s="2" t="s">
        <v>142</v>
      </c>
      <c r="K52" s="2" t="s">
        <v>126</v>
      </c>
      <c r="L52" s="2" t="s">
        <v>854</v>
      </c>
      <c r="M52" s="134">
        <v>46113</v>
      </c>
      <c r="N52" s="56" t="s">
        <v>4425</v>
      </c>
      <c r="U52" s="1" t="s">
        <v>4483</v>
      </c>
      <c r="V52" s="2" t="s">
        <v>335</v>
      </c>
      <c r="W52" s="1" t="s">
        <v>163</v>
      </c>
      <c r="X52" s="2" t="s">
        <v>4484</v>
      </c>
      <c r="Y52" s="14">
        <v>46111</v>
      </c>
      <c r="Z52" s="2" t="s">
        <v>4161</v>
      </c>
      <c r="AD52" s="50" t="s">
        <v>4485</v>
      </c>
      <c r="AE52" s="2">
        <v>4840765723</v>
      </c>
      <c r="AF52" s="2">
        <v>1</v>
      </c>
      <c r="AG52" s="2">
        <v>63.5</v>
      </c>
      <c r="AI52" s="2" t="s">
        <v>179</v>
      </c>
      <c r="AK52" s="14">
        <v>46113</v>
      </c>
      <c r="AL52" s="14">
        <v>46113</v>
      </c>
    </row>
  </sheetData>
  <autoFilter ref="A1:BR52" xr:uid="{9A12DD0F-28E3-464F-96C6-AF26AE318AE0}">
    <filterColumn colId="8">
      <filters>
        <filter val="53909"/>
        <filter val="53912"/>
        <filter val="53913"/>
        <filter val="53914"/>
        <filter val="53918"/>
      </filters>
    </filterColumn>
  </autoFilter>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648"/>
  <sheetViews>
    <sheetView zoomScale="85" zoomScaleNormal="85" workbookViewId="0">
      <selection activeCell="BL6" sqref="BL6"/>
    </sheetView>
  </sheetViews>
  <sheetFormatPr defaultColWidth="9.109375" defaultRowHeight="14.4" x14ac:dyDescent="0.3"/>
  <cols>
    <col min="1" max="1" width="9.109375" style="15"/>
    <col min="2" max="2" width="12.6640625" style="1" bestFit="1" customWidth="1"/>
    <col min="3" max="3" width="10.44140625" style="15" bestFit="1" customWidth="1"/>
    <col min="4" max="4" width="16.5546875" style="15" bestFit="1" customWidth="1"/>
    <col min="5" max="5" width="16" style="15" bestFit="1" customWidth="1"/>
    <col min="6" max="6" width="13.44140625" style="15" bestFit="1" customWidth="1"/>
    <col min="7" max="7" width="176.109375" style="15" bestFit="1" customWidth="1"/>
    <col min="8" max="8" width="9.109375" style="15"/>
    <col min="9" max="9" width="14.6640625" style="1" bestFit="1" customWidth="1"/>
    <col min="10" max="10" width="10.88671875" style="1" bestFit="1" customWidth="1"/>
    <col min="11" max="11" width="12.44140625" style="15" bestFit="1" customWidth="1"/>
    <col min="12" max="12" width="16.88671875" style="15" bestFit="1" customWidth="1"/>
    <col min="13" max="13" width="10.44140625" style="15" bestFit="1" customWidth="1"/>
    <col min="14" max="14" width="255.6640625" style="15" bestFit="1" customWidth="1"/>
    <col min="15" max="15" width="23.109375" style="1" bestFit="1" customWidth="1"/>
    <col min="16" max="16" width="21.44140625" style="15" bestFit="1" customWidth="1"/>
    <col min="17" max="17" width="16.33203125" style="15" bestFit="1" customWidth="1"/>
    <col min="18" max="18" width="18" style="15" bestFit="1" customWidth="1"/>
    <col min="19" max="19" width="21" style="15" bestFit="1" customWidth="1"/>
    <col min="20" max="20" width="12.5546875" style="2" bestFit="1" customWidth="1"/>
    <col min="21" max="21" width="46.6640625" style="15" bestFit="1" customWidth="1"/>
    <col min="22" max="22" width="17.6640625" style="1" bestFit="1" customWidth="1"/>
    <col min="23" max="23" width="17.33203125" style="1" bestFit="1" customWidth="1"/>
    <col min="24" max="24" width="19.88671875" style="1" bestFit="1" customWidth="1"/>
    <col min="25" max="25" width="14.88671875" style="1" bestFit="1" customWidth="1"/>
    <col min="26" max="26" width="25.33203125" style="15" bestFit="1" customWidth="1"/>
    <col min="27" max="27" width="11.88671875" style="15" bestFit="1" customWidth="1"/>
    <col min="28" max="28" width="16.33203125" style="15" bestFit="1" customWidth="1"/>
    <col min="29" max="29" width="21" style="15" bestFit="1" customWidth="1"/>
    <col min="30" max="30" width="15.109375" style="15" bestFit="1" customWidth="1"/>
    <col min="31" max="31" width="12.33203125" style="15" bestFit="1" customWidth="1"/>
    <col min="32" max="32" width="9.5546875" style="15" bestFit="1" customWidth="1"/>
    <col min="33" max="33" width="12.109375" style="15" bestFit="1" customWidth="1"/>
    <col min="34" max="34" width="15" style="15" bestFit="1" customWidth="1"/>
    <col min="35" max="35" width="17.6640625" style="15" bestFit="1" customWidth="1"/>
    <col min="36" max="36" width="15.88671875" style="15" bestFit="1" customWidth="1"/>
    <col min="37" max="37" width="21" style="15" bestFit="1" customWidth="1"/>
    <col min="38" max="38" width="22.109375" style="15" bestFit="1" customWidth="1"/>
    <col min="39" max="39" width="26.6640625" style="15" bestFit="1" customWidth="1"/>
    <col min="40" max="40" width="15.88671875" style="15" bestFit="1" customWidth="1"/>
    <col min="41" max="41" width="12.109375" style="15" bestFit="1" customWidth="1"/>
    <col min="42" max="42" width="13.6640625" style="15" bestFit="1" customWidth="1"/>
    <col min="43" max="43" width="24.6640625" style="2" bestFit="1" customWidth="1"/>
    <col min="44" max="44" width="49.109375" style="15" bestFit="1" customWidth="1"/>
    <col min="45" max="45" width="20.109375" style="1" bestFit="1" customWidth="1"/>
    <col min="46" max="46" width="14.33203125" style="1" bestFit="1" customWidth="1"/>
    <col min="47" max="47" width="10.5546875" style="15" bestFit="1" customWidth="1"/>
    <col min="48" max="48" width="22.109375" style="15" bestFit="1" customWidth="1"/>
    <col min="49" max="49" width="27" style="15" bestFit="1" customWidth="1"/>
    <col min="50" max="50" width="12" style="15" bestFit="1" customWidth="1"/>
    <col min="51" max="51" width="12.109375" style="1" bestFit="1" customWidth="1"/>
    <col min="52" max="52" width="13.6640625" style="15" bestFit="1" customWidth="1"/>
    <col min="53" max="53" width="9.5546875" style="15" bestFit="1" customWidth="1"/>
    <col min="54" max="54" width="17.6640625" style="15" customWidth="1"/>
    <col min="55" max="55" width="22.6640625" style="15" bestFit="1" customWidth="1"/>
    <col min="56" max="56" width="18" style="15" bestFit="1" customWidth="1"/>
    <col min="57" max="57" width="14.33203125" style="15" bestFit="1" customWidth="1"/>
    <col min="58" max="58" width="16.109375" style="2" bestFit="1" customWidth="1"/>
    <col min="59" max="59" width="25" style="2" bestFit="1" customWidth="1"/>
    <col min="60" max="60" width="20.88671875" style="2" bestFit="1" customWidth="1"/>
    <col min="61" max="61" width="13.109375" style="2" bestFit="1" customWidth="1"/>
    <col min="62" max="62" width="17.6640625" style="15" bestFit="1" customWidth="1"/>
    <col min="63" max="63" width="14.44140625" style="15" bestFit="1" customWidth="1"/>
    <col min="64" max="64" width="17.44140625" style="15" bestFit="1" customWidth="1"/>
    <col min="65" max="65" width="56.88671875" style="15" bestFit="1" customWidth="1"/>
    <col min="66" max="66" width="15.44140625" style="15" bestFit="1" customWidth="1"/>
    <col min="67" max="67" width="30.109375" style="15" bestFit="1" customWidth="1"/>
    <col min="68" max="68" width="30.6640625" style="15" bestFit="1" customWidth="1"/>
    <col min="69" max="69" width="19.109375" style="15" bestFit="1" customWidth="1"/>
    <col min="70" max="70" width="17.88671875" style="15" bestFit="1" customWidth="1"/>
    <col min="71" max="71" width="10.5546875" style="15" bestFit="1" customWidth="1"/>
    <col min="72" max="72" width="12.44140625" style="15" bestFit="1" customWidth="1"/>
    <col min="73" max="16384" width="9.109375" style="15"/>
  </cols>
  <sheetData>
    <row r="1" spans="1:77" x14ac:dyDescent="0.3">
      <c r="A1" s="19" t="s">
        <v>64</v>
      </c>
      <c r="B1" s="21" t="s">
        <v>1</v>
      </c>
      <c r="C1" s="20" t="s">
        <v>2</v>
      </c>
      <c r="D1" s="20" t="s">
        <v>65</v>
      </c>
      <c r="E1" s="20" t="s">
        <v>4</v>
      </c>
      <c r="F1" s="20" t="s">
        <v>5</v>
      </c>
      <c r="G1" s="20" t="s">
        <v>6</v>
      </c>
      <c r="H1" s="21" t="s">
        <v>7</v>
      </c>
      <c r="I1" s="85" t="s">
        <v>8</v>
      </c>
      <c r="J1" s="21" t="s">
        <v>9</v>
      </c>
      <c r="K1" s="21" t="s">
        <v>10</v>
      </c>
      <c r="L1" s="20" t="s">
        <v>11</v>
      </c>
      <c r="M1" s="21" t="s">
        <v>25</v>
      </c>
      <c r="N1" s="20" t="s">
        <v>12</v>
      </c>
      <c r="O1" s="21" t="s">
        <v>66</v>
      </c>
      <c r="P1" s="23" t="s">
        <v>14</v>
      </c>
      <c r="Q1" s="24" t="s">
        <v>15</v>
      </c>
      <c r="R1" s="33" t="s">
        <v>16</v>
      </c>
      <c r="S1" s="22" t="s">
        <v>17</v>
      </c>
      <c r="T1" s="87" t="s">
        <v>18</v>
      </c>
      <c r="U1" s="21" t="s">
        <v>19</v>
      </c>
      <c r="V1" s="21" t="s">
        <v>20</v>
      </c>
      <c r="W1" s="21" t="s">
        <v>21</v>
      </c>
      <c r="X1" s="21" t="s">
        <v>22</v>
      </c>
      <c r="Y1" s="21" t="s">
        <v>23</v>
      </c>
      <c r="Z1" s="21" t="s">
        <v>24</v>
      </c>
      <c r="AA1" s="21" t="s">
        <v>26</v>
      </c>
      <c r="AB1" s="21" t="s">
        <v>27</v>
      </c>
      <c r="AC1" s="21" t="s">
        <v>67</v>
      </c>
      <c r="AD1" s="20" t="s">
        <v>29</v>
      </c>
      <c r="AE1" s="20" t="s">
        <v>30</v>
      </c>
      <c r="AF1" s="21" t="s">
        <v>31</v>
      </c>
      <c r="AG1" s="21" t="s">
        <v>68</v>
      </c>
      <c r="AH1" s="20" t="s">
        <v>33</v>
      </c>
      <c r="AI1" s="20" t="s">
        <v>34</v>
      </c>
      <c r="AJ1" s="21" t="s">
        <v>35</v>
      </c>
      <c r="AK1" s="21" t="s">
        <v>36</v>
      </c>
      <c r="AL1" s="21" t="s">
        <v>37</v>
      </c>
      <c r="AM1" s="21" t="s">
        <v>38</v>
      </c>
      <c r="AN1" s="20" t="s">
        <v>39</v>
      </c>
      <c r="AO1" s="21" t="s">
        <v>40</v>
      </c>
      <c r="AP1" s="21" t="s">
        <v>41</v>
      </c>
      <c r="AQ1" s="100" t="s">
        <v>42</v>
      </c>
      <c r="AR1" s="20" t="s">
        <v>4492</v>
      </c>
      <c r="AS1" s="33" t="s">
        <v>43</v>
      </c>
      <c r="AT1" s="25" t="s">
        <v>8</v>
      </c>
      <c r="AU1" s="26" t="s">
        <v>44</v>
      </c>
      <c r="AV1" s="25" t="s">
        <v>37</v>
      </c>
      <c r="AW1" s="25" t="s">
        <v>45</v>
      </c>
      <c r="AX1" s="26" t="s">
        <v>46</v>
      </c>
      <c r="AY1" s="25" t="s">
        <v>40</v>
      </c>
      <c r="AZ1" s="25" t="s">
        <v>41</v>
      </c>
      <c r="BA1" s="27" t="s">
        <v>47</v>
      </c>
      <c r="BB1" s="27" t="s">
        <v>48</v>
      </c>
      <c r="BC1" s="25" t="s">
        <v>49</v>
      </c>
      <c r="BD1" s="25" t="s">
        <v>69</v>
      </c>
      <c r="BE1" s="25" t="s">
        <v>51</v>
      </c>
      <c r="BF1" s="87" t="s">
        <v>52</v>
      </c>
      <c r="BG1" s="87" t="s">
        <v>53</v>
      </c>
      <c r="BH1" s="87" t="s">
        <v>54</v>
      </c>
      <c r="BI1" s="87" t="s">
        <v>70</v>
      </c>
      <c r="BJ1" s="25" t="s">
        <v>55</v>
      </c>
      <c r="BK1" s="25" t="s">
        <v>56</v>
      </c>
      <c r="BL1" s="25" t="s">
        <v>57</v>
      </c>
      <c r="BM1" s="26" t="s">
        <v>4493</v>
      </c>
      <c r="BN1" s="26" t="s">
        <v>59</v>
      </c>
      <c r="BO1" s="25" t="s">
        <v>71</v>
      </c>
      <c r="BP1" s="25" t="s">
        <v>72</v>
      </c>
      <c r="BQ1" s="25" t="s">
        <v>62</v>
      </c>
      <c r="BR1" s="25" t="s">
        <v>63</v>
      </c>
      <c r="BS1" s="26" t="s">
        <v>73</v>
      </c>
      <c r="BT1" s="26" t="s">
        <v>74</v>
      </c>
      <c r="BU1" s="34"/>
      <c r="BV1" s="34"/>
      <c r="BW1" s="34"/>
      <c r="BX1" s="34"/>
      <c r="BY1" s="34"/>
    </row>
    <row r="2" spans="1:77" ht="28.8" x14ac:dyDescent="0.3">
      <c r="A2" s="1">
        <v>1</v>
      </c>
      <c r="B2" s="2">
        <v>6676774</v>
      </c>
      <c r="C2" s="4">
        <v>45539</v>
      </c>
      <c r="D2" s="2">
        <v>42420</v>
      </c>
      <c r="E2" s="2" t="s">
        <v>678</v>
      </c>
      <c r="F2" s="7" t="s">
        <v>219</v>
      </c>
      <c r="H2" s="7">
        <v>40</v>
      </c>
      <c r="I2" s="1">
        <v>47996</v>
      </c>
      <c r="J2" s="2" t="s">
        <v>142</v>
      </c>
      <c r="K2" s="2" t="s">
        <v>229</v>
      </c>
      <c r="L2" s="2" t="s">
        <v>143</v>
      </c>
      <c r="M2" s="4">
        <v>45547</v>
      </c>
      <c r="N2" s="7" t="s">
        <v>491</v>
      </c>
      <c r="O2" s="15"/>
      <c r="Q2" s="28">
        <f t="shared" ref="Q2:Q4" si="0">AQ2-AB2</f>
        <v>4</v>
      </c>
      <c r="R2" s="29">
        <f t="shared" ref="R2:R4" si="1">BG2-AC2</f>
        <v>21</v>
      </c>
      <c r="S2" s="16"/>
      <c r="U2" s="12" t="s">
        <v>231</v>
      </c>
      <c r="V2" s="2" t="s">
        <v>161</v>
      </c>
      <c r="W2" s="12" t="s">
        <v>240</v>
      </c>
      <c r="X2" s="1" t="s">
        <v>499</v>
      </c>
      <c r="Y2" s="3">
        <v>45544</v>
      </c>
      <c r="Z2" s="4">
        <v>45563</v>
      </c>
      <c r="AA2" s="2">
        <v>2592541</v>
      </c>
      <c r="AB2" s="4">
        <v>45547</v>
      </c>
      <c r="AC2" s="4">
        <v>45551</v>
      </c>
      <c r="AD2" s="2" t="s">
        <v>241</v>
      </c>
      <c r="AE2" s="2" t="s">
        <v>247</v>
      </c>
      <c r="AF2" s="2">
        <v>2</v>
      </c>
      <c r="AG2" s="2">
        <v>422</v>
      </c>
      <c r="AI2" s="2" t="s">
        <v>260</v>
      </c>
      <c r="AK2" s="4">
        <v>45545</v>
      </c>
      <c r="AL2" s="4">
        <v>45546</v>
      </c>
      <c r="AM2" s="4">
        <v>45546</v>
      </c>
      <c r="AO2" s="2">
        <v>5588943</v>
      </c>
      <c r="AP2" s="14">
        <v>45548</v>
      </c>
      <c r="AQ2" s="14">
        <v>45551</v>
      </c>
      <c r="AS2" s="4">
        <v>45559</v>
      </c>
      <c r="AT2" s="17">
        <v>48089</v>
      </c>
      <c r="AU2" s="15" t="s">
        <v>74</v>
      </c>
      <c r="AV2" s="14">
        <v>45559</v>
      </c>
      <c r="AW2" s="14">
        <v>45559</v>
      </c>
      <c r="AY2" s="2">
        <v>5787815</v>
      </c>
      <c r="AZ2" s="14">
        <v>45560</v>
      </c>
      <c r="BA2" s="2">
        <v>3588732</v>
      </c>
      <c r="BB2" s="2">
        <v>645972</v>
      </c>
      <c r="BC2" s="14">
        <v>45560</v>
      </c>
      <c r="BD2" s="14">
        <v>45562</v>
      </c>
      <c r="BF2" s="14">
        <v>45563</v>
      </c>
      <c r="BG2" s="14">
        <v>45572</v>
      </c>
      <c r="BH2" s="2" t="s">
        <v>272</v>
      </c>
      <c r="BI2" s="2" t="s">
        <v>273</v>
      </c>
    </row>
    <row r="3" spans="1:77" ht="28.8" x14ac:dyDescent="0.3">
      <c r="A3" s="1">
        <v>2</v>
      </c>
      <c r="B3" s="2">
        <v>6672202</v>
      </c>
      <c r="C3" s="4">
        <v>45538</v>
      </c>
      <c r="D3" s="2">
        <v>23710</v>
      </c>
      <c r="E3" s="2" t="s">
        <v>678</v>
      </c>
      <c r="F3" s="7" t="s">
        <v>220</v>
      </c>
      <c r="H3" s="7">
        <v>20</v>
      </c>
      <c r="I3" s="1">
        <v>48000</v>
      </c>
      <c r="J3" s="2" t="s">
        <v>142</v>
      </c>
      <c r="K3" s="2" t="s">
        <v>229</v>
      </c>
      <c r="L3" s="2" t="s">
        <v>143</v>
      </c>
      <c r="M3" s="4">
        <v>45547</v>
      </c>
      <c r="N3" s="7" t="s">
        <v>491</v>
      </c>
      <c r="O3" s="15"/>
      <c r="Q3" s="28">
        <f t="shared" si="0"/>
        <v>4</v>
      </c>
      <c r="R3" s="29">
        <f t="shared" si="1"/>
        <v>21</v>
      </c>
      <c r="S3" s="16"/>
      <c r="U3" s="12" t="s">
        <v>232</v>
      </c>
      <c r="V3" s="2" t="s">
        <v>161</v>
      </c>
      <c r="W3" s="12" t="s">
        <v>240</v>
      </c>
      <c r="X3" s="1">
        <v>20245111046</v>
      </c>
      <c r="Y3" s="3">
        <v>45545</v>
      </c>
      <c r="Z3" s="4">
        <v>45563</v>
      </c>
      <c r="AA3" s="2">
        <v>2592906</v>
      </c>
      <c r="AB3" s="4">
        <v>45547</v>
      </c>
      <c r="AC3" s="4">
        <v>45551</v>
      </c>
      <c r="AD3" s="2" t="s">
        <v>242</v>
      </c>
      <c r="AE3" s="2" t="s">
        <v>248</v>
      </c>
      <c r="AF3" s="2">
        <v>1</v>
      </c>
      <c r="AG3" s="2">
        <v>210</v>
      </c>
      <c r="AI3" s="2" t="s">
        <v>261</v>
      </c>
      <c r="AK3" s="4">
        <v>45546</v>
      </c>
      <c r="AL3" s="4">
        <v>45547</v>
      </c>
      <c r="AM3" s="4">
        <v>45547</v>
      </c>
      <c r="AO3" s="2">
        <v>5598499</v>
      </c>
      <c r="AP3" s="14">
        <v>45549</v>
      </c>
      <c r="AQ3" s="14">
        <v>45551</v>
      </c>
      <c r="AS3" s="4">
        <v>45559</v>
      </c>
      <c r="AT3" s="17">
        <v>48091</v>
      </c>
      <c r="AU3" s="15" t="s">
        <v>74</v>
      </c>
      <c r="AV3" s="14">
        <v>45559</v>
      </c>
      <c r="AW3" s="14">
        <v>45559</v>
      </c>
      <c r="AY3" s="2">
        <v>5786466</v>
      </c>
      <c r="AZ3" s="14">
        <v>45560</v>
      </c>
      <c r="BA3" s="2">
        <v>2005866</v>
      </c>
      <c r="BB3" s="2">
        <v>361056</v>
      </c>
      <c r="BC3" s="14">
        <v>45560</v>
      </c>
      <c r="BD3" s="14">
        <v>45562</v>
      </c>
      <c r="BF3" s="14">
        <v>45563</v>
      </c>
      <c r="BG3" s="14">
        <v>45572</v>
      </c>
      <c r="BH3" s="2" t="s">
        <v>272</v>
      </c>
      <c r="BI3" s="2" t="s">
        <v>273</v>
      </c>
    </row>
    <row r="4" spans="1:77" x14ac:dyDescent="0.3">
      <c r="A4" s="1">
        <v>3</v>
      </c>
      <c r="B4" s="2">
        <v>6672232</v>
      </c>
      <c r="C4" s="4">
        <v>45539</v>
      </c>
      <c r="D4" s="2">
        <v>1520</v>
      </c>
      <c r="E4" s="2" t="s">
        <v>678</v>
      </c>
      <c r="F4" s="2" t="s">
        <v>221</v>
      </c>
      <c r="H4" s="2">
        <v>76</v>
      </c>
      <c r="I4" s="1">
        <v>48016</v>
      </c>
      <c r="J4" s="2" t="s">
        <v>142</v>
      </c>
      <c r="K4" s="2" t="s">
        <v>229</v>
      </c>
      <c r="L4" s="2" t="s">
        <v>143</v>
      </c>
      <c r="M4" s="4">
        <v>45550</v>
      </c>
      <c r="N4" s="7" t="s">
        <v>491</v>
      </c>
      <c r="O4" s="15"/>
      <c r="Q4" s="28">
        <f t="shared" si="0"/>
        <v>2</v>
      </c>
      <c r="R4" s="29">
        <f t="shared" si="1"/>
        <v>20</v>
      </c>
      <c r="S4" s="16"/>
      <c r="U4" s="12" t="s">
        <v>233</v>
      </c>
      <c r="V4" s="2" t="s">
        <v>161</v>
      </c>
      <c r="W4" s="12" t="s">
        <v>240</v>
      </c>
      <c r="X4" s="1" t="s">
        <v>127</v>
      </c>
      <c r="Y4" s="1" t="s">
        <v>127</v>
      </c>
      <c r="Z4" s="4" t="s">
        <v>127</v>
      </c>
      <c r="AA4" s="2">
        <v>2595140</v>
      </c>
      <c r="AB4" s="4">
        <v>45550</v>
      </c>
      <c r="AC4" s="4">
        <v>45552</v>
      </c>
      <c r="AD4" s="2" t="s">
        <v>243</v>
      </c>
      <c r="AE4" s="2" t="s">
        <v>249</v>
      </c>
      <c r="AF4" s="2">
        <v>1</v>
      </c>
      <c r="AG4" s="2">
        <v>5</v>
      </c>
      <c r="AI4" s="2" t="s">
        <v>261</v>
      </c>
      <c r="AK4" s="4">
        <v>45548</v>
      </c>
      <c r="AL4" s="4">
        <v>45551</v>
      </c>
      <c r="AM4" s="4">
        <v>45551</v>
      </c>
      <c r="AO4" s="2">
        <v>5624135</v>
      </c>
      <c r="AP4" s="14">
        <v>45551</v>
      </c>
      <c r="AQ4" s="14">
        <v>45552</v>
      </c>
      <c r="AS4" s="4">
        <v>45559</v>
      </c>
      <c r="AT4" s="17">
        <v>48093</v>
      </c>
      <c r="AU4" s="15" t="s">
        <v>74</v>
      </c>
      <c r="AV4" s="14">
        <v>45559</v>
      </c>
      <c r="AW4" s="14">
        <v>45559</v>
      </c>
      <c r="AY4" s="2">
        <v>5788555</v>
      </c>
      <c r="AZ4" s="14">
        <v>45560</v>
      </c>
      <c r="BA4" s="2">
        <v>128592</v>
      </c>
      <c r="BB4" s="2">
        <v>56529</v>
      </c>
      <c r="BC4" s="14">
        <v>45560</v>
      </c>
      <c r="BD4" s="14">
        <v>45562</v>
      </c>
      <c r="BF4" s="14">
        <v>45563</v>
      </c>
      <c r="BG4" s="14">
        <v>45572</v>
      </c>
      <c r="BH4" s="2" t="s">
        <v>272</v>
      </c>
      <c r="BI4" s="2" t="s">
        <v>273</v>
      </c>
    </row>
    <row r="5" spans="1:77" ht="28.8" x14ac:dyDescent="0.3">
      <c r="A5" s="1">
        <v>4</v>
      </c>
      <c r="B5" s="2">
        <v>6681900</v>
      </c>
      <c r="C5" s="4">
        <v>45540</v>
      </c>
      <c r="D5" s="2">
        <v>53025</v>
      </c>
      <c r="E5" s="2" t="s">
        <v>678</v>
      </c>
      <c r="F5" s="7" t="s">
        <v>222</v>
      </c>
      <c r="H5" s="7">
        <v>50</v>
      </c>
      <c r="I5" s="1">
        <v>48001</v>
      </c>
      <c r="J5" s="2" t="s">
        <v>142</v>
      </c>
      <c r="K5" s="2" t="s">
        <v>229</v>
      </c>
      <c r="L5" s="2" t="s">
        <v>143</v>
      </c>
      <c r="M5" s="4">
        <v>45549</v>
      </c>
      <c r="N5" s="7" t="s">
        <v>492</v>
      </c>
      <c r="O5" s="15"/>
      <c r="Q5" s="28">
        <f t="shared" ref="Q5:Q36" si="2">AQ5-AB5</f>
        <v>5</v>
      </c>
      <c r="R5" s="29">
        <f t="shared" ref="R5:R36" si="3">BG5-AC5</f>
        <v>29</v>
      </c>
      <c r="S5" s="16"/>
      <c r="U5" s="13" t="s">
        <v>234</v>
      </c>
      <c r="V5" s="2" t="s">
        <v>239</v>
      </c>
      <c r="W5" s="12" t="s">
        <v>240</v>
      </c>
      <c r="X5" s="1">
        <v>20245111042</v>
      </c>
      <c r="Y5" s="3">
        <v>45545</v>
      </c>
      <c r="Z5" s="4">
        <v>45563</v>
      </c>
      <c r="AA5" s="2">
        <v>2594525</v>
      </c>
      <c r="AB5" s="4">
        <v>45549</v>
      </c>
      <c r="AC5" s="4">
        <v>45552</v>
      </c>
      <c r="AD5" s="2" t="s">
        <v>244</v>
      </c>
      <c r="AE5" s="2" t="s">
        <v>250</v>
      </c>
      <c r="AF5" s="2">
        <v>2</v>
      </c>
      <c r="AG5" s="2">
        <v>506.5</v>
      </c>
      <c r="AI5" s="2" t="s">
        <v>261</v>
      </c>
      <c r="AK5" s="4">
        <v>45547</v>
      </c>
      <c r="AL5" s="4">
        <v>45547</v>
      </c>
      <c r="AM5" s="4">
        <v>45547</v>
      </c>
      <c r="AO5" s="2">
        <v>5622205</v>
      </c>
      <c r="AP5" s="14">
        <v>45551</v>
      </c>
      <c r="AQ5" s="14">
        <v>45554</v>
      </c>
      <c r="AS5" s="4">
        <v>45559</v>
      </c>
      <c r="AT5" s="17">
        <v>48092</v>
      </c>
      <c r="AU5" s="15" t="s">
        <v>74</v>
      </c>
      <c r="AV5" s="14">
        <v>45559</v>
      </c>
      <c r="AW5" s="14">
        <v>45559</v>
      </c>
      <c r="AY5" s="2">
        <v>5787348</v>
      </c>
      <c r="AZ5" s="14">
        <v>45560</v>
      </c>
      <c r="BA5" s="2">
        <v>4485915</v>
      </c>
      <c r="BB5" s="2">
        <v>807465</v>
      </c>
      <c r="BC5" s="14">
        <v>45560</v>
      </c>
      <c r="BD5" s="14">
        <v>45562</v>
      </c>
      <c r="BF5" s="14">
        <v>45563</v>
      </c>
      <c r="BG5" s="14">
        <v>45581</v>
      </c>
      <c r="BH5" s="2" t="s">
        <v>274</v>
      </c>
      <c r="BI5" s="2" t="s">
        <v>273</v>
      </c>
    </row>
    <row r="6" spans="1:77" ht="28.8" x14ac:dyDescent="0.3">
      <c r="A6" s="1">
        <v>5</v>
      </c>
      <c r="B6" s="1">
        <v>6693936</v>
      </c>
      <c r="C6" s="5">
        <v>45559</v>
      </c>
      <c r="D6" s="1">
        <v>101808</v>
      </c>
      <c r="E6" s="1" t="s">
        <v>678</v>
      </c>
      <c r="F6" s="8" t="s">
        <v>223</v>
      </c>
      <c r="H6" s="2">
        <v>96</v>
      </c>
      <c r="I6" s="1">
        <v>48137</v>
      </c>
      <c r="J6" s="2" t="s">
        <v>142</v>
      </c>
      <c r="K6" s="2" t="s">
        <v>229</v>
      </c>
      <c r="L6" s="2" t="s">
        <v>143</v>
      </c>
      <c r="M6" s="14">
        <v>45566</v>
      </c>
      <c r="N6" s="7" t="s">
        <v>492</v>
      </c>
      <c r="O6" s="15"/>
      <c r="Q6" s="28">
        <f t="shared" si="2"/>
        <v>3</v>
      </c>
      <c r="R6" s="29">
        <f t="shared" si="3"/>
        <v>13</v>
      </c>
      <c r="S6" s="17"/>
      <c r="U6" s="1" t="s">
        <v>234</v>
      </c>
      <c r="V6" s="2" t="s">
        <v>239</v>
      </c>
      <c r="W6" s="2" t="s">
        <v>240</v>
      </c>
      <c r="X6" s="1">
        <v>20245117691</v>
      </c>
      <c r="Y6" s="3">
        <v>45561</v>
      </c>
      <c r="Z6" s="4">
        <v>45574</v>
      </c>
      <c r="AA6" s="2">
        <v>2606944</v>
      </c>
      <c r="AB6" s="4">
        <v>45566</v>
      </c>
      <c r="AC6" s="14">
        <v>45568</v>
      </c>
      <c r="AD6" s="1">
        <v>61836187605</v>
      </c>
      <c r="AE6" s="1" t="s">
        <v>251</v>
      </c>
      <c r="AF6" s="1">
        <v>4</v>
      </c>
      <c r="AG6" s="1">
        <v>1032.5</v>
      </c>
      <c r="AI6" s="1" t="s">
        <v>261</v>
      </c>
      <c r="AK6" s="5">
        <v>45564</v>
      </c>
      <c r="AL6" s="5">
        <v>45565</v>
      </c>
      <c r="AM6" s="5">
        <v>45565</v>
      </c>
      <c r="AO6" s="15">
        <v>5895969</v>
      </c>
      <c r="AP6" s="14">
        <v>45566</v>
      </c>
      <c r="AQ6" s="14">
        <v>45569</v>
      </c>
      <c r="AS6" s="4">
        <v>45573</v>
      </c>
      <c r="AT6" s="17">
        <v>48208</v>
      </c>
      <c r="AU6" s="15" t="s">
        <v>74</v>
      </c>
      <c r="AV6" s="14">
        <v>45573</v>
      </c>
      <c r="AW6" s="14">
        <v>45575</v>
      </c>
      <c r="AY6" s="2">
        <v>6052786</v>
      </c>
      <c r="AZ6" s="14">
        <v>45575</v>
      </c>
      <c r="BA6" s="9" t="s">
        <v>263</v>
      </c>
      <c r="BB6" s="2" t="s">
        <v>264</v>
      </c>
      <c r="BC6" s="14">
        <v>45576</v>
      </c>
      <c r="BD6" s="14">
        <v>45576</v>
      </c>
      <c r="BF6" s="14">
        <v>45580</v>
      </c>
      <c r="BG6" s="14">
        <v>45581</v>
      </c>
      <c r="BH6" s="2" t="s">
        <v>274</v>
      </c>
      <c r="BI6" s="2" t="s">
        <v>273</v>
      </c>
    </row>
    <row r="7" spans="1:77" ht="28.8" x14ac:dyDescent="0.3">
      <c r="A7" s="1">
        <v>6</v>
      </c>
      <c r="B7" s="2">
        <v>6686824</v>
      </c>
      <c r="C7" s="4">
        <v>45549</v>
      </c>
      <c r="D7" s="2">
        <v>95445</v>
      </c>
      <c r="E7" s="2" t="s">
        <v>678</v>
      </c>
      <c r="F7" s="7" t="s">
        <v>219</v>
      </c>
      <c r="H7" s="7">
        <v>90</v>
      </c>
      <c r="I7" s="1">
        <v>48055</v>
      </c>
      <c r="J7" s="2" t="s">
        <v>142</v>
      </c>
      <c r="K7" s="2" t="s">
        <v>229</v>
      </c>
      <c r="L7" s="2" t="s">
        <v>143</v>
      </c>
      <c r="M7" s="4">
        <v>45559</v>
      </c>
      <c r="N7" s="7" t="s">
        <v>493</v>
      </c>
      <c r="O7" s="15"/>
      <c r="Q7" s="28">
        <f t="shared" si="2"/>
        <v>5</v>
      </c>
      <c r="R7" s="29">
        <f t="shared" si="3"/>
        <v>20</v>
      </c>
      <c r="S7" s="16"/>
      <c r="U7" s="12" t="s">
        <v>231</v>
      </c>
      <c r="V7" s="2" t="s">
        <v>161</v>
      </c>
      <c r="W7" s="12" t="s">
        <v>240</v>
      </c>
      <c r="X7" s="1">
        <v>20245114595</v>
      </c>
      <c r="Y7" s="3">
        <v>45553</v>
      </c>
      <c r="Z7" s="4">
        <v>45568</v>
      </c>
      <c r="AA7" s="2">
        <v>2601145</v>
      </c>
      <c r="AB7" s="4">
        <v>45558</v>
      </c>
      <c r="AC7" s="4">
        <v>45561</v>
      </c>
      <c r="AD7" s="2" t="s">
        <v>245</v>
      </c>
      <c r="AE7" s="2" t="s">
        <v>252</v>
      </c>
      <c r="AF7" s="2">
        <v>3</v>
      </c>
      <c r="AG7" s="2">
        <v>890</v>
      </c>
      <c r="AI7" s="2" t="s">
        <v>261</v>
      </c>
      <c r="AK7" s="4">
        <v>45554</v>
      </c>
      <c r="AL7" s="4">
        <v>45554</v>
      </c>
      <c r="AM7" s="4">
        <v>45554</v>
      </c>
      <c r="AO7" s="2">
        <v>5764921</v>
      </c>
      <c r="AP7" s="14">
        <v>45559</v>
      </c>
      <c r="AQ7" s="14">
        <v>45563</v>
      </c>
      <c r="AS7" s="4">
        <v>45569</v>
      </c>
      <c r="AT7" s="17">
        <v>48184</v>
      </c>
      <c r="AU7" s="15" t="s">
        <v>74</v>
      </c>
      <c r="AV7" s="14">
        <v>45569</v>
      </c>
      <c r="AW7" s="14">
        <v>45570</v>
      </c>
      <c r="AY7" s="2">
        <v>5971133</v>
      </c>
      <c r="AZ7" s="14">
        <v>45570</v>
      </c>
      <c r="BA7" s="9" t="s">
        <v>265</v>
      </c>
      <c r="BB7" s="9" t="s">
        <v>266</v>
      </c>
      <c r="BC7" s="14">
        <v>45572</v>
      </c>
      <c r="BD7" s="14">
        <v>45573</v>
      </c>
      <c r="BF7" s="14">
        <v>45575</v>
      </c>
      <c r="BG7" s="14">
        <v>45581</v>
      </c>
      <c r="BH7" s="2" t="s">
        <v>275</v>
      </c>
      <c r="BI7" s="2" t="s">
        <v>273</v>
      </c>
    </row>
    <row r="8" spans="1:77" ht="28.8" x14ac:dyDescent="0.3">
      <c r="A8" s="1">
        <v>7</v>
      </c>
      <c r="B8" s="8" t="s">
        <v>208</v>
      </c>
      <c r="C8" s="8" t="s">
        <v>212</v>
      </c>
      <c r="D8" s="8" t="s">
        <v>215</v>
      </c>
      <c r="E8" s="1" t="s">
        <v>678</v>
      </c>
      <c r="F8" s="8" t="s">
        <v>224</v>
      </c>
      <c r="H8" s="2">
        <v>12</v>
      </c>
      <c r="I8" s="1">
        <v>48195</v>
      </c>
      <c r="J8" s="2" t="s">
        <v>142</v>
      </c>
      <c r="K8" s="2" t="s">
        <v>229</v>
      </c>
      <c r="L8" s="2" t="s">
        <v>143</v>
      </c>
      <c r="M8" s="14">
        <v>45571</v>
      </c>
      <c r="N8" s="7" t="s">
        <v>494</v>
      </c>
      <c r="O8" s="15"/>
      <c r="Q8" s="28">
        <f t="shared" si="2"/>
        <v>4</v>
      </c>
      <c r="R8" s="29">
        <f t="shared" si="3"/>
        <v>20</v>
      </c>
      <c r="S8" s="17"/>
      <c r="U8" s="8" t="s">
        <v>235</v>
      </c>
      <c r="V8" s="2" t="s">
        <v>239</v>
      </c>
      <c r="W8" s="2" t="s">
        <v>240</v>
      </c>
      <c r="X8" s="1">
        <v>20245119729</v>
      </c>
      <c r="Y8" s="3">
        <v>45566</v>
      </c>
      <c r="Z8" s="4">
        <v>45574</v>
      </c>
      <c r="AA8" s="2">
        <v>2610864</v>
      </c>
      <c r="AB8" s="14">
        <v>45571</v>
      </c>
      <c r="AC8" s="14">
        <v>45574</v>
      </c>
      <c r="AD8" s="2">
        <v>23257992546</v>
      </c>
      <c r="AE8" s="2" t="s">
        <v>253</v>
      </c>
      <c r="AF8" s="2">
        <v>2</v>
      </c>
      <c r="AG8" s="2">
        <v>132</v>
      </c>
      <c r="AI8" s="2" t="s">
        <v>261</v>
      </c>
      <c r="AK8" s="14">
        <v>45572</v>
      </c>
      <c r="AL8" s="14">
        <v>45572</v>
      </c>
      <c r="AM8" s="14">
        <v>45572</v>
      </c>
      <c r="AO8" s="9">
        <v>5995974</v>
      </c>
      <c r="AP8" s="14">
        <v>45572</v>
      </c>
      <c r="AQ8" s="14">
        <v>45575</v>
      </c>
      <c r="AS8" s="4">
        <v>45576</v>
      </c>
      <c r="AT8" s="17">
        <v>48241</v>
      </c>
      <c r="AU8" s="15" t="s">
        <v>74</v>
      </c>
      <c r="AV8" s="14">
        <v>45576</v>
      </c>
      <c r="AW8" s="14">
        <v>45579</v>
      </c>
      <c r="AY8" s="2">
        <v>6121240</v>
      </c>
      <c r="AZ8" s="14">
        <v>45580</v>
      </c>
      <c r="BA8" s="9" t="s">
        <v>267</v>
      </c>
      <c r="BB8" s="2" t="s">
        <v>268</v>
      </c>
      <c r="BC8" s="14">
        <v>45580</v>
      </c>
      <c r="BD8" s="14">
        <v>45581</v>
      </c>
      <c r="BF8" s="14">
        <v>45582</v>
      </c>
      <c r="BG8" s="14">
        <v>45594</v>
      </c>
      <c r="BH8" s="2" t="s">
        <v>276</v>
      </c>
      <c r="BI8" s="2" t="s">
        <v>273</v>
      </c>
    </row>
    <row r="9" spans="1:77" ht="57.6" x14ac:dyDescent="0.3">
      <c r="A9" s="1">
        <v>8</v>
      </c>
      <c r="B9" s="7" t="s">
        <v>209</v>
      </c>
      <c r="C9" s="7" t="s">
        <v>212</v>
      </c>
      <c r="D9" s="7" t="s">
        <v>216</v>
      </c>
      <c r="E9" s="2" t="s">
        <v>678</v>
      </c>
      <c r="F9" s="7" t="s">
        <v>225</v>
      </c>
      <c r="H9" s="2">
        <v>20</v>
      </c>
      <c r="I9" s="1">
        <v>48198</v>
      </c>
      <c r="J9" s="2" t="s">
        <v>142</v>
      </c>
      <c r="K9" s="2" t="s">
        <v>229</v>
      </c>
      <c r="L9" s="2" t="s">
        <v>143</v>
      </c>
      <c r="M9" s="14">
        <v>45569</v>
      </c>
      <c r="N9" s="7" t="s">
        <v>494</v>
      </c>
      <c r="O9" s="15"/>
      <c r="Q9" s="28">
        <f t="shared" si="2"/>
        <v>6</v>
      </c>
      <c r="R9" s="29">
        <f t="shared" si="3"/>
        <v>20</v>
      </c>
      <c r="S9" s="17"/>
      <c r="U9" s="7" t="s">
        <v>236</v>
      </c>
      <c r="V9" s="2" t="s">
        <v>239</v>
      </c>
      <c r="W9" s="2" t="s">
        <v>240</v>
      </c>
      <c r="X9" s="1">
        <v>20245119825</v>
      </c>
      <c r="Y9" s="3">
        <v>45566</v>
      </c>
      <c r="Z9" s="4">
        <v>45574</v>
      </c>
      <c r="AA9" s="2">
        <v>2609535</v>
      </c>
      <c r="AB9" s="14">
        <v>45569</v>
      </c>
      <c r="AC9" s="14">
        <v>45574</v>
      </c>
      <c r="AD9" s="2">
        <v>23257993784</v>
      </c>
      <c r="AE9" s="2" t="s">
        <v>254</v>
      </c>
      <c r="AF9" s="2">
        <v>2</v>
      </c>
      <c r="AG9" s="2">
        <v>253</v>
      </c>
      <c r="AI9" s="2" t="s">
        <v>261</v>
      </c>
      <c r="AK9" s="14">
        <v>45572</v>
      </c>
      <c r="AL9" s="14">
        <v>45572</v>
      </c>
      <c r="AM9" s="14">
        <v>45572</v>
      </c>
      <c r="AO9" s="9">
        <v>5996507</v>
      </c>
      <c r="AP9" s="14">
        <v>45572</v>
      </c>
      <c r="AQ9" s="14">
        <v>45575</v>
      </c>
      <c r="AS9" s="4">
        <v>45576</v>
      </c>
      <c r="AT9" s="17">
        <v>48239</v>
      </c>
      <c r="AU9" s="15" t="s">
        <v>74</v>
      </c>
      <c r="AV9" s="14">
        <v>45576</v>
      </c>
      <c r="AW9" s="14">
        <v>45579</v>
      </c>
      <c r="AY9" s="2">
        <v>6142340</v>
      </c>
      <c r="AZ9" s="14">
        <v>45581</v>
      </c>
      <c r="BA9" s="2">
        <v>1799669</v>
      </c>
      <c r="BB9" s="2">
        <v>323940</v>
      </c>
      <c r="BC9" s="14">
        <v>45581</v>
      </c>
      <c r="BD9" s="14">
        <v>45582</v>
      </c>
      <c r="BF9" s="14">
        <v>45582</v>
      </c>
      <c r="BG9" s="14">
        <v>45594</v>
      </c>
      <c r="BH9" s="2" t="s">
        <v>276</v>
      </c>
      <c r="BI9" s="2" t="s">
        <v>273</v>
      </c>
    </row>
    <row r="10" spans="1:77" ht="57.6" x14ac:dyDescent="0.3">
      <c r="A10" s="1">
        <v>9</v>
      </c>
      <c r="B10" s="7" t="s">
        <v>210</v>
      </c>
      <c r="C10" s="11" t="s">
        <v>213</v>
      </c>
      <c r="D10" s="7" t="s">
        <v>217</v>
      </c>
      <c r="E10" s="2" t="s">
        <v>678</v>
      </c>
      <c r="F10" s="7" t="s">
        <v>226</v>
      </c>
      <c r="H10" s="7">
        <v>14</v>
      </c>
      <c r="I10" s="86">
        <v>48078</v>
      </c>
      <c r="J10" s="2" t="s">
        <v>142</v>
      </c>
      <c r="K10" s="2" t="s">
        <v>229</v>
      </c>
      <c r="L10" s="2" t="s">
        <v>143</v>
      </c>
      <c r="M10" s="4">
        <v>45559</v>
      </c>
      <c r="N10" s="7" t="s">
        <v>495</v>
      </c>
      <c r="O10" s="15"/>
      <c r="Q10" s="28">
        <f t="shared" si="2"/>
        <v>4</v>
      </c>
      <c r="R10" s="29">
        <f t="shared" si="3"/>
        <v>81</v>
      </c>
      <c r="S10" s="2"/>
      <c r="T10" s="7"/>
      <c r="U10" s="13" t="s">
        <v>237</v>
      </c>
      <c r="V10" s="2" t="s">
        <v>161</v>
      </c>
      <c r="W10" s="12" t="s">
        <v>240</v>
      </c>
      <c r="X10" s="1">
        <v>20245114598</v>
      </c>
      <c r="Y10" s="3">
        <v>45553</v>
      </c>
      <c r="Z10" s="4">
        <v>45568</v>
      </c>
      <c r="AA10" s="2">
        <v>2601588</v>
      </c>
      <c r="AB10" s="4">
        <v>45559</v>
      </c>
      <c r="AC10" s="4">
        <v>45561</v>
      </c>
      <c r="AD10" s="2" t="s">
        <v>246</v>
      </c>
      <c r="AE10" s="2" t="s">
        <v>255</v>
      </c>
      <c r="AF10" s="2">
        <v>2</v>
      </c>
      <c r="AG10" s="2">
        <v>146</v>
      </c>
      <c r="AI10" s="2" t="s">
        <v>261</v>
      </c>
      <c r="AK10" s="4">
        <v>45557</v>
      </c>
      <c r="AL10" s="4">
        <v>45558</v>
      </c>
      <c r="AM10" s="14">
        <v>45559</v>
      </c>
      <c r="AO10" s="2">
        <v>5777093</v>
      </c>
      <c r="AP10" s="14" t="s">
        <v>262</v>
      </c>
      <c r="AQ10" s="14">
        <v>45563</v>
      </c>
      <c r="AS10" s="4">
        <v>45631</v>
      </c>
      <c r="AT10" s="2">
        <v>48298</v>
      </c>
      <c r="AU10" s="15" t="s">
        <v>74</v>
      </c>
      <c r="AV10" s="14">
        <v>45631</v>
      </c>
      <c r="AW10" s="14">
        <v>45631</v>
      </c>
      <c r="AY10" s="2">
        <v>7141769</v>
      </c>
      <c r="AZ10" s="14">
        <v>45636</v>
      </c>
      <c r="BA10" s="2">
        <v>1357296</v>
      </c>
      <c r="BB10" s="2">
        <v>244313</v>
      </c>
      <c r="BC10" s="14">
        <v>45636</v>
      </c>
      <c r="BD10" s="14">
        <v>45636</v>
      </c>
      <c r="BF10" s="14">
        <v>45638</v>
      </c>
      <c r="BG10" s="14">
        <v>45642</v>
      </c>
      <c r="BH10" s="2" t="s">
        <v>277</v>
      </c>
      <c r="BI10" s="2" t="s">
        <v>273</v>
      </c>
    </row>
    <row r="11" spans="1:77" ht="28.8" x14ac:dyDescent="0.3">
      <c r="A11" s="1">
        <v>10</v>
      </c>
      <c r="B11" s="2">
        <v>6684902</v>
      </c>
      <c r="C11" s="4">
        <v>45548</v>
      </c>
      <c r="D11" s="2">
        <v>84840</v>
      </c>
      <c r="E11" s="2" t="s">
        <v>678</v>
      </c>
      <c r="F11" s="7" t="s">
        <v>227</v>
      </c>
      <c r="H11" s="7">
        <v>80</v>
      </c>
      <c r="I11" s="86">
        <v>48054</v>
      </c>
      <c r="J11" s="2" t="s">
        <v>142</v>
      </c>
      <c r="K11" s="2" t="s">
        <v>229</v>
      </c>
      <c r="L11" s="2" t="s">
        <v>143</v>
      </c>
      <c r="M11" s="4">
        <v>45559</v>
      </c>
      <c r="N11" s="7" t="s">
        <v>496</v>
      </c>
      <c r="O11" s="15"/>
      <c r="Q11" s="28">
        <f t="shared" si="2"/>
        <v>5</v>
      </c>
      <c r="R11" s="29">
        <f t="shared" si="3"/>
        <v>88</v>
      </c>
      <c r="S11" s="2"/>
      <c r="T11" s="7"/>
      <c r="U11" s="12" t="s">
        <v>234</v>
      </c>
      <c r="V11" s="2" t="s">
        <v>239</v>
      </c>
      <c r="W11" s="12" t="s">
        <v>240</v>
      </c>
      <c r="X11" s="1">
        <v>20245114590</v>
      </c>
      <c r="Y11" s="3">
        <v>45553</v>
      </c>
      <c r="Z11" s="4">
        <v>45568</v>
      </c>
      <c r="AA11" s="2">
        <v>2601145</v>
      </c>
      <c r="AB11" s="4">
        <v>45558</v>
      </c>
      <c r="AC11" s="4">
        <v>45561</v>
      </c>
      <c r="AD11" s="2" t="s">
        <v>245</v>
      </c>
      <c r="AE11" s="2" t="s">
        <v>256</v>
      </c>
      <c r="AF11" s="2">
        <v>3</v>
      </c>
      <c r="AG11" s="2">
        <v>807</v>
      </c>
      <c r="AI11" s="2" t="s">
        <v>261</v>
      </c>
      <c r="AK11" s="4">
        <v>45554</v>
      </c>
      <c r="AL11" s="4">
        <v>45555</v>
      </c>
      <c r="AM11" s="4">
        <v>45555</v>
      </c>
      <c r="AO11" s="2">
        <v>5764928</v>
      </c>
      <c r="AP11" s="14" t="s">
        <v>262</v>
      </c>
      <c r="AQ11" s="14">
        <v>45563</v>
      </c>
      <c r="AS11" s="4">
        <v>45631</v>
      </c>
      <c r="AT11" s="2">
        <v>48297</v>
      </c>
      <c r="AU11" s="15" t="s">
        <v>74</v>
      </c>
      <c r="AV11" s="14">
        <v>45631</v>
      </c>
      <c r="AW11" s="14">
        <v>45631</v>
      </c>
      <c r="AY11" s="2">
        <v>7141766</v>
      </c>
      <c r="AZ11" s="14">
        <v>45636</v>
      </c>
      <c r="BA11" s="2">
        <v>7266546</v>
      </c>
      <c r="BB11" s="2">
        <v>1307978</v>
      </c>
      <c r="BC11" s="14">
        <v>45636</v>
      </c>
      <c r="BD11" s="14">
        <v>45636</v>
      </c>
      <c r="BF11" s="14">
        <v>45638</v>
      </c>
      <c r="BG11" s="14">
        <v>45649</v>
      </c>
      <c r="BH11" s="2" t="s">
        <v>278</v>
      </c>
      <c r="BI11" s="2" t="s">
        <v>273</v>
      </c>
    </row>
    <row r="12" spans="1:77" ht="86.4" x14ac:dyDescent="0.3">
      <c r="A12" s="1">
        <v>11</v>
      </c>
      <c r="B12" s="7" t="s">
        <v>211</v>
      </c>
      <c r="C12" s="11" t="s">
        <v>214</v>
      </c>
      <c r="D12" s="7" t="s">
        <v>218</v>
      </c>
      <c r="E12" s="2" t="s">
        <v>678</v>
      </c>
      <c r="F12" s="7" t="s">
        <v>228</v>
      </c>
      <c r="H12" s="2">
        <v>24</v>
      </c>
      <c r="I12" s="86">
        <v>48119</v>
      </c>
      <c r="J12" s="2" t="s">
        <v>142</v>
      </c>
      <c r="K12" s="2" t="s">
        <v>229</v>
      </c>
      <c r="L12" s="2" t="s">
        <v>143</v>
      </c>
      <c r="M12" s="14">
        <v>45559</v>
      </c>
      <c r="N12" s="7" t="s">
        <v>496</v>
      </c>
      <c r="O12" s="15"/>
      <c r="Q12" s="28">
        <f t="shared" si="2"/>
        <v>4</v>
      </c>
      <c r="R12" s="29">
        <f t="shared" si="3"/>
        <v>86</v>
      </c>
      <c r="S12" s="2"/>
      <c r="T12" s="7"/>
      <c r="U12" s="7" t="s">
        <v>238</v>
      </c>
      <c r="V12" s="2" t="s">
        <v>239</v>
      </c>
      <c r="W12" s="12" t="s">
        <v>240</v>
      </c>
      <c r="X12" s="1">
        <v>20245114896</v>
      </c>
      <c r="Y12" s="3">
        <v>45554</v>
      </c>
      <c r="Z12" s="4">
        <v>45568</v>
      </c>
      <c r="AA12" s="2">
        <v>2601588</v>
      </c>
      <c r="AB12" s="4">
        <v>45559</v>
      </c>
      <c r="AC12" s="14">
        <v>45563</v>
      </c>
      <c r="AD12" s="2">
        <v>61835002192</v>
      </c>
      <c r="AE12" s="2" t="s">
        <v>257</v>
      </c>
      <c r="AF12" s="2">
        <v>3</v>
      </c>
      <c r="AG12" s="2">
        <v>253</v>
      </c>
      <c r="AI12" s="2" t="s">
        <v>261</v>
      </c>
      <c r="AK12" s="14">
        <v>45557</v>
      </c>
      <c r="AL12" s="14">
        <v>45561</v>
      </c>
      <c r="AM12" s="14">
        <v>45561</v>
      </c>
      <c r="AO12" s="2">
        <v>5814523</v>
      </c>
      <c r="AP12" s="14">
        <v>45561</v>
      </c>
      <c r="AQ12" s="14">
        <v>45563</v>
      </c>
      <c r="AS12" s="4">
        <v>45631</v>
      </c>
      <c r="AT12" s="2">
        <v>48299</v>
      </c>
      <c r="AU12" s="15" t="s">
        <v>74</v>
      </c>
      <c r="AV12" s="14">
        <v>45631</v>
      </c>
      <c r="AW12" s="14">
        <v>45631</v>
      </c>
      <c r="AY12" s="2">
        <v>7141768</v>
      </c>
      <c r="AZ12" s="14">
        <v>45636</v>
      </c>
      <c r="BA12" s="2">
        <v>2372676</v>
      </c>
      <c r="BB12" s="2">
        <v>427082</v>
      </c>
      <c r="BC12" s="14">
        <v>45636</v>
      </c>
      <c r="BD12" s="14">
        <v>45636</v>
      </c>
      <c r="BF12" s="14">
        <v>45638</v>
      </c>
      <c r="BG12" s="14">
        <v>45649</v>
      </c>
      <c r="BH12" s="2" t="s">
        <v>278</v>
      </c>
      <c r="BI12" s="2" t="s">
        <v>273</v>
      </c>
    </row>
    <row r="13" spans="1:77" x14ac:dyDescent="0.3">
      <c r="A13" s="1">
        <v>12</v>
      </c>
      <c r="B13" s="2">
        <v>6778409</v>
      </c>
      <c r="C13" s="3">
        <v>45699</v>
      </c>
      <c r="D13" s="2">
        <v>3620</v>
      </c>
      <c r="E13" s="2" t="s">
        <v>678</v>
      </c>
      <c r="F13" s="2" t="s">
        <v>221</v>
      </c>
      <c r="H13" s="2">
        <v>181</v>
      </c>
      <c r="I13" s="1">
        <v>49208</v>
      </c>
      <c r="J13" s="2" t="s">
        <v>142</v>
      </c>
      <c r="K13" s="2" t="s">
        <v>229</v>
      </c>
      <c r="L13" s="2" t="s">
        <v>143</v>
      </c>
      <c r="M13" s="4">
        <v>45715</v>
      </c>
      <c r="N13" s="1" t="s">
        <v>497</v>
      </c>
      <c r="O13" s="15"/>
      <c r="Q13" s="28">
        <f t="shared" si="2"/>
        <v>4</v>
      </c>
      <c r="R13" s="29">
        <f t="shared" si="3"/>
        <v>6</v>
      </c>
      <c r="S13" s="1"/>
      <c r="U13" s="12" t="s">
        <v>150</v>
      </c>
      <c r="V13" s="1" t="s">
        <v>161</v>
      </c>
      <c r="W13" s="12" t="s">
        <v>240</v>
      </c>
      <c r="X13" s="1" t="s">
        <v>127</v>
      </c>
      <c r="Y13" s="1" t="s">
        <v>127</v>
      </c>
      <c r="Z13" s="4" t="s">
        <v>127</v>
      </c>
      <c r="AA13" s="3">
        <v>45715</v>
      </c>
      <c r="AB13" s="3">
        <v>45715</v>
      </c>
      <c r="AC13" s="3">
        <v>45717</v>
      </c>
      <c r="AD13" s="1">
        <v>23210533294</v>
      </c>
      <c r="AE13" s="1" t="s">
        <v>258</v>
      </c>
      <c r="AF13" s="1">
        <v>2</v>
      </c>
      <c r="AG13" s="1">
        <v>11</v>
      </c>
      <c r="AI13" s="1" t="s">
        <v>180</v>
      </c>
      <c r="AK13" s="5">
        <v>45713</v>
      </c>
      <c r="AL13" s="5">
        <v>45713</v>
      </c>
      <c r="AM13" s="5">
        <v>45713</v>
      </c>
      <c r="AO13" s="1">
        <v>8607441</v>
      </c>
      <c r="AP13" s="14">
        <v>45716</v>
      </c>
      <c r="AQ13" s="14">
        <v>45719</v>
      </c>
      <c r="AS13" s="4">
        <v>45720</v>
      </c>
      <c r="AT13" s="1">
        <v>49257</v>
      </c>
      <c r="AU13" s="15" t="s">
        <v>74</v>
      </c>
      <c r="AV13" s="5">
        <v>45720</v>
      </c>
      <c r="AW13" s="5">
        <v>45720</v>
      </c>
      <c r="AY13" s="2">
        <v>8689590</v>
      </c>
      <c r="AZ13" s="14">
        <v>45720</v>
      </c>
      <c r="BA13" s="1">
        <v>317655</v>
      </c>
      <c r="BB13" s="15" t="s">
        <v>269</v>
      </c>
      <c r="BC13" s="5">
        <v>45720</v>
      </c>
      <c r="BD13" s="5">
        <v>45721</v>
      </c>
      <c r="BF13" s="14">
        <v>45723</v>
      </c>
      <c r="BG13" s="14">
        <v>45723</v>
      </c>
      <c r="BH13" s="2" t="s">
        <v>279</v>
      </c>
      <c r="BI13" s="2" t="s">
        <v>280</v>
      </c>
    </row>
    <row r="14" spans="1:77" ht="28.8" x14ac:dyDescent="0.3">
      <c r="A14" s="1">
        <v>13</v>
      </c>
      <c r="B14" s="2">
        <v>6852219</v>
      </c>
      <c r="C14" s="4">
        <v>45721</v>
      </c>
      <c r="D14" s="2">
        <v>168100</v>
      </c>
      <c r="E14" s="2" t="s">
        <v>678</v>
      </c>
      <c r="F14" s="7" t="s">
        <v>131</v>
      </c>
      <c r="H14" s="2">
        <v>100</v>
      </c>
      <c r="I14" s="1">
        <v>49307</v>
      </c>
      <c r="J14" s="2" t="s">
        <v>142</v>
      </c>
      <c r="K14" s="2" t="s">
        <v>229</v>
      </c>
      <c r="L14" s="2" t="s">
        <v>143</v>
      </c>
      <c r="M14" s="5">
        <v>45727</v>
      </c>
      <c r="N14" s="8" t="s">
        <v>498</v>
      </c>
      <c r="O14" s="15"/>
      <c r="Q14" s="28">
        <f t="shared" si="2"/>
        <v>2</v>
      </c>
      <c r="R14" s="29">
        <f t="shared" si="3"/>
        <v>4</v>
      </c>
      <c r="S14" s="1"/>
      <c r="T14" s="2" t="s">
        <v>230</v>
      </c>
      <c r="U14" s="12" t="s">
        <v>160</v>
      </c>
      <c r="V14" s="2" t="s">
        <v>335</v>
      </c>
      <c r="W14" s="2" t="s">
        <v>163</v>
      </c>
      <c r="X14" s="1">
        <v>20255027309</v>
      </c>
      <c r="Y14" s="3">
        <v>45723</v>
      </c>
      <c r="Z14" s="5">
        <v>45731</v>
      </c>
      <c r="AA14" s="3">
        <v>45727</v>
      </c>
      <c r="AB14" s="3">
        <v>45727</v>
      </c>
      <c r="AC14" s="5">
        <v>45729</v>
      </c>
      <c r="AD14" s="1">
        <v>61840529160</v>
      </c>
      <c r="AE14" s="1" t="s">
        <v>259</v>
      </c>
      <c r="AF14" s="1">
        <v>3</v>
      </c>
      <c r="AG14" s="1">
        <v>577</v>
      </c>
      <c r="AI14" s="1" t="s">
        <v>180</v>
      </c>
      <c r="AK14" s="5">
        <v>45726</v>
      </c>
      <c r="AL14" s="5">
        <v>45726</v>
      </c>
      <c r="AM14" s="5">
        <v>45726</v>
      </c>
      <c r="AO14" s="1">
        <v>8817046</v>
      </c>
      <c r="AP14" s="14">
        <v>45727</v>
      </c>
      <c r="AQ14" s="14">
        <v>45729</v>
      </c>
      <c r="AS14" s="4">
        <v>45731</v>
      </c>
      <c r="AT14" s="1">
        <v>49355</v>
      </c>
      <c r="AU14" s="15" t="s">
        <v>74</v>
      </c>
      <c r="AV14" s="5">
        <v>45729</v>
      </c>
      <c r="AW14" s="5">
        <v>45729</v>
      </c>
      <c r="AY14" s="2">
        <v>8894168</v>
      </c>
      <c r="AZ14" s="14">
        <v>45731</v>
      </c>
      <c r="BA14" s="1" t="s">
        <v>270</v>
      </c>
      <c r="BB14" s="15" t="s">
        <v>271</v>
      </c>
      <c r="BC14" s="5">
        <v>45731</v>
      </c>
      <c r="BD14" s="5">
        <v>45733</v>
      </c>
      <c r="BF14" s="14">
        <v>45733</v>
      </c>
      <c r="BG14" s="14">
        <v>45733</v>
      </c>
      <c r="BH14" s="2" t="s">
        <v>281</v>
      </c>
      <c r="BI14" s="2" t="s">
        <v>282</v>
      </c>
    </row>
    <row r="15" spans="1:77" ht="43.2" x14ac:dyDescent="0.3">
      <c r="A15" s="1">
        <v>14</v>
      </c>
      <c r="B15" s="2">
        <v>6852221</v>
      </c>
      <c r="C15" s="30">
        <v>45721</v>
      </c>
      <c r="D15" s="9">
        <v>134480</v>
      </c>
      <c r="E15" s="2" t="s">
        <v>678</v>
      </c>
      <c r="F15" s="31" t="s">
        <v>131</v>
      </c>
      <c r="G15" s="31" t="s">
        <v>140</v>
      </c>
      <c r="H15" s="31" t="s">
        <v>141</v>
      </c>
      <c r="I15" s="1">
        <v>49308</v>
      </c>
      <c r="J15" s="2" t="s">
        <v>142</v>
      </c>
      <c r="K15" s="9" t="s">
        <v>126</v>
      </c>
      <c r="L15" s="9" t="s">
        <v>143</v>
      </c>
      <c r="M15" s="30">
        <v>45727</v>
      </c>
      <c r="N15" s="1" t="s">
        <v>298</v>
      </c>
      <c r="O15" s="9"/>
      <c r="P15" s="9"/>
      <c r="Q15" s="28">
        <f t="shared" si="2"/>
        <v>2</v>
      </c>
      <c r="R15" s="29">
        <f t="shared" si="3"/>
        <v>7</v>
      </c>
      <c r="S15" s="9"/>
      <c r="T15" s="2">
        <v>1747</v>
      </c>
      <c r="U15" s="2" t="s">
        <v>150</v>
      </c>
      <c r="V15" s="2" t="s">
        <v>161</v>
      </c>
      <c r="W15" s="2" t="s">
        <v>162</v>
      </c>
      <c r="X15" s="2">
        <v>20255027308</v>
      </c>
      <c r="Y15" s="14">
        <v>45723</v>
      </c>
      <c r="Z15" s="30">
        <v>45731</v>
      </c>
      <c r="AA15" s="30">
        <v>45727</v>
      </c>
      <c r="AB15" s="30">
        <v>45727</v>
      </c>
      <c r="AC15" s="30">
        <v>45729</v>
      </c>
      <c r="AD15" s="9">
        <v>61840529160</v>
      </c>
      <c r="AE15" s="9" t="s">
        <v>174</v>
      </c>
      <c r="AF15" s="9">
        <v>2</v>
      </c>
      <c r="AG15" s="9">
        <v>456</v>
      </c>
      <c r="AH15" s="9"/>
      <c r="AI15" s="9" t="s">
        <v>180</v>
      </c>
      <c r="AJ15" s="9"/>
      <c r="AK15" s="30">
        <v>45726</v>
      </c>
      <c r="AL15" s="30">
        <v>45726</v>
      </c>
      <c r="AM15" s="30">
        <v>45726</v>
      </c>
      <c r="AN15" s="9"/>
      <c r="AO15" s="9">
        <v>8817043</v>
      </c>
      <c r="AP15" s="14">
        <v>45727</v>
      </c>
      <c r="AQ15" s="14">
        <v>45729</v>
      </c>
      <c r="AR15" s="9"/>
      <c r="AS15" s="4">
        <v>45731</v>
      </c>
      <c r="AT15" s="2">
        <v>49356</v>
      </c>
      <c r="AU15" s="9" t="s">
        <v>128</v>
      </c>
      <c r="AV15" s="10">
        <v>45729</v>
      </c>
      <c r="AW15" s="10">
        <v>45729</v>
      </c>
      <c r="AX15" s="9"/>
      <c r="AY15" s="2">
        <v>8903932</v>
      </c>
      <c r="AZ15" s="14">
        <v>45731</v>
      </c>
      <c r="BA15" s="9" t="s">
        <v>183</v>
      </c>
      <c r="BB15" s="9">
        <v>2125322</v>
      </c>
      <c r="BC15" s="10">
        <v>45731</v>
      </c>
      <c r="BD15" s="10">
        <v>45733</v>
      </c>
      <c r="BE15" s="9"/>
      <c r="BF15" s="14">
        <v>45735</v>
      </c>
      <c r="BG15" s="14">
        <v>45736</v>
      </c>
      <c r="BI15" s="2" t="s">
        <v>280</v>
      </c>
      <c r="BJ15" s="9"/>
      <c r="BK15" s="9"/>
      <c r="BL15" s="9"/>
      <c r="BM15" s="9"/>
      <c r="BN15" s="9"/>
      <c r="BO15" s="9"/>
      <c r="BP15" s="9"/>
      <c r="BQ15" s="9"/>
      <c r="BR15" s="9"/>
    </row>
    <row r="16" spans="1:77" s="9" customFormat="1" ht="140.25" customHeight="1" thickBot="1" x14ac:dyDescent="0.35">
      <c r="A16" s="1">
        <v>15</v>
      </c>
      <c r="B16" s="2">
        <v>250214960</v>
      </c>
      <c r="C16" s="30">
        <v>45719</v>
      </c>
      <c r="D16" s="2">
        <v>36331.620000000003</v>
      </c>
      <c r="E16" s="2" t="s">
        <v>680</v>
      </c>
      <c r="F16" s="9" t="s">
        <v>130</v>
      </c>
      <c r="G16" s="9" t="s">
        <v>139</v>
      </c>
      <c r="H16" s="2">
        <v>6</v>
      </c>
      <c r="I16" s="58">
        <v>49264</v>
      </c>
      <c r="J16" s="2" t="s">
        <v>142</v>
      </c>
      <c r="K16" s="9" t="s">
        <v>126</v>
      </c>
      <c r="L16" s="9" t="s">
        <v>143</v>
      </c>
      <c r="M16" s="4">
        <v>45723</v>
      </c>
      <c r="N16" s="46" t="s">
        <v>480</v>
      </c>
      <c r="O16" s="9">
        <v>3174</v>
      </c>
      <c r="P16" s="9" t="s">
        <v>127</v>
      </c>
      <c r="Q16" s="28">
        <f t="shared" si="2"/>
        <v>4</v>
      </c>
      <c r="R16" s="29">
        <f t="shared" si="3"/>
        <v>21</v>
      </c>
      <c r="T16" s="2" t="s">
        <v>144</v>
      </c>
      <c r="U16" s="2" t="s">
        <v>149</v>
      </c>
      <c r="V16" s="65" t="s">
        <v>755</v>
      </c>
      <c r="W16" s="108" t="s">
        <v>756</v>
      </c>
      <c r="X16" s="2" t="s">
        <v>164</v>
      </c>
      <c r="Y16" s="14">
        <v>45720</v>
      </c>
      <c r="Z16" s="4">
        <v>45723</v>
      </c>
      <c r="AA16" s="4">
        <v>45723</v>
      </c>
      <c r="AB16" s="4">
        <v>45723</v>
      </c>
      <c r="AC16" s="4">
        <v>45727</v>
      </c>
      <c r="AD16" s="2">
        <v>60737207203</v>
      </c>
      <c r="AE16" s="2">
        <v>4840699444</v>
      </c>
      <c r="AF16" s="2">
        <v>6</v>
      </c>
      <c r="AG16" s="2">
        <v>15</v>
      </c>
      <c r="AH16" s="2"/>
      <c r="AI16" s="2" t="s">
        <v>179</v>
      </c>
      <c r="AJ16" s="2"/>
      <c r="AK16" s="4">
        <v>45721</v>
      </c>
      <c r="AL16" s="4">
        <v>45721</v>
      </c>
      <c r="AM16" s="4">
        <v>45721</v>
      </c>
      <c r="AN16" s="2"/>
      <c r="AO16" s="2">
        <v>8748549</v>
      </c>
      <c r="AP16" s="14">
        <v>45723</v>
      </c>
      <c r="AQ16" s="14">
        <v>45727</v>
      </c>
      <c r="AR16" s="31" t="s">
        <v>339</v>
      </c>
      <c r="AS16" s="4">
        <v>45735</v>
      </c>
      <c r="AT16" s="44">
        <v>49402</v>
      </c>
      <c r="AU16" s="9" t="s">
        <v>128</v>
      </c>
      <c r="AV16" s="14">
        <v>45735</v>
      </c>
      <c r="AW16" s="5">
        <v>45735</v>
      </c>
      <c r="AY16" s="2">
        <v>8979841</v>
      </c>
      <c r="AZ16" s="14">
        <v>45735</v>
      </c>
      <c r="BA16" s="9" t="s">
        <v>182</v>
      </c>
      <c r="BB16" s="9" t="s">
        <v>189</v>
      </c>
      <c r="BC16" s="10">
        <v>45736</v>
      </c>
      <c r="BD16" s="10">
        <v>45736</v>
      </c>
      <c r="BF16" s="14">
        <v>45740</v>
      </c>
      <c r="BG16" s="14">
        <v>45748</v>
      </c>
      <c r="BH16" s="2" t="s">
        <v>467</v>
      </c>
      <c r="BI16" s="2" t="s">
        <v>273</v>
      </c>
      <c r="BM16" s="31" t="s">
        <v>410</v>
      </c>
      <c r="BO16" s="9" t="s">
        <v>338</v>
      </c>
      <c r="BQ16" s="14">
        <v>45735</v>
      </c>
      <c r="BR16" s="14">
        <v>45735</v>
      </c>
    </row>
    <row r="17" spans="1:70" s="9" customFormat="1" ht="29.4" thickBot="1" x14ac:dyDescent="0.35">
      <c r="A17" s="1">
        <v>16</v>
      </c>
      <c r="B17" s="2">
        <v>250303264</v>
      </c>
      <c r="C17" s="30">
        <v>45722</v>
      </c>
      <c r="D17" s="2">
        <v>2648.56</v>
      </c>
      <c r="E17" s="2" t="s">
        <v>680</v>
      </c>
      <c r="F17" s="9" t="s">
        <v>132</v>
      </c>
      <c r="G17" s="9" t="s">
        <v>323</v>
      </c>
      <c r="H17" s="2">
        <v>1</v>
      </c>
      <c r="I17" s="58">
        <v>49316</v>
      </c>
      <c r="J17" s="2" t="s">
        <v>142</v>
      </c>
      <c r="K17" s="9" t="s">
        <v>126</v>
      </c>
      <c r="L17" s="9" t="s">
        <v>143</v>
      </c>
      <c r="M17" s="4">
        <v>45728</v>
      </c>
      <c r="N17" s="46" t="s">
        <v>480</v>
      </c>
      <c r="P17" s="9" t="s">
        <v>127</v>
      </c>
      <c r="Q17" s="28">
        <f t="shared" si="2"/>
        <v>3</v>
      </c>
      <c r="R17" s="29">
        <f t="shared" si="3"/>
        <v>17</v>
      </c>
      <c r="T17" s="2" t="s">
        <v>145</v>
      </c>
      <c r="U17" s="2" t="s">
        <v>151</v>
      </c>
      <c r="V17" s="65" t="s">
        <v>755</v>
      </c>
      <c r="W17" s="108" t="s">
        <v>756</v>
      </c>
      <c r="X17" s="2" t="s">
        <v>165</v>
      </c>
      <c r="Y17" s="14">
        <v>45723</v>
      </c>
      <c r="Z17" s="4">
        <v>45726</v>
      </c>
      <c r="AA17" s="4">
        <v>45728</v>
      </c>
      <c r="AB17" s="4">
        <v>45728</v>
      </c>
      <c r="AC17" s="4">
        <v>45731</v>
      </c>
      <c r="AD17" s="2">
        <v>60737207391</v>
      </c>
      <c r="AE17" s="2">
        <v>4840700103</v>
      </c>
      <c r="AF17" s="2">
        <v>1</v>
      </c>
      <c r="AG17" s="2">
        <v>2</v>
      </c>
      <c r="AH17" s="2"/>
      <c r="AI17" s="2" t="s">
        <v>179</v>
      </c>
      <c r="AJ17" s="2"/>
      <c r="AK17" s="4">
        <v>45726</v>
      </c>
      <c r="AL17" s="4">
        <v>45726</v>
      </c>
      <c r="AM17" s="4">
        <v>45727</v>
      </c>
      <c r="AN17" s="2"/>
      <c r="AO17" s="2">
        <v>8837734</v>
      </c>
      <c r="AP17" s="14">
        <v>45728</v>
      </c>
      <c r="AQ17" s="14">
        <v>45731</v>
      </c>
      <c r="AS17" s="4">
        <v>45735</v>
      </c>
      <c r="AT17" s="44">
        <v>49395</v>
      </c>
      <c r="AU17" s="9" t="s">
        <v>128</v>
      </c>
      <c r="AV17" s="14">
        <v>45735</v>
      </c>
      <c r="AW17" s="5">
        <v>45735</v>
      </c>
      <c r="AY17" s="2">
        <v>8977801</v>
      </c>
      <c r="AZ17" s="14">
        <v>45735</v>
      </c>
      <c r="BA17" s="9" t="s">
        <v>184</v>
      </c>
      <c r="BB17" s="9" t="s">
        <v>190</v>
      </c>
      <c r="BC17" s="10">
        <v>45736</v>
      </c>
      <c r="BD17" s="10">
        <v>45736</v>
      </c>
      <c r="BF17" s="14">
        <v>45740</v>
      </c>
      <c r="BG17" s="14">
        <v>45748</v>
      </c>
      <c r="BH17" s="2" t="s">
        <v>467</v>
      </c>
      <c r="BI17" s="2" t="s">
        <v>273</v>
      </c>
      <c r="BM17" s="31" t="s">
        <v>430</v>
      </c>
      <c r="BQ17" s="14">
        <v>45735</v>
      </c>
      <c r="BR17" s="14">
        <v>45735</v>
      </c>
    </row>
    <row r="18" spans="1:70" s="9" customFormat="1" ht="29.4" thickBot="1" x14ac:dyDescent="0.35">
      <c r="A18" s="1">
        <v>17</v>
      </c>
      <c r="B18" s="2">
        <v>250215946</v>
      </c>
      <c r="C18" s="30">
        <v>45722</v>
      </c>
      <c r="D18" s="2">
        <v>76808.240000000005</v>
      </c>
      <c r="E18" s="2" t="s">
        <v>680</v>
      </c>
      <c r="F18" s="9" t="s">
        <v>132</v>
      </c>
      <c r="G18" s="9" t="s">
        <v>323</v>
      </c>
      <c r="H18" s="2">
        <v>29</v>
      </c>
      <c r="I18" s="58">
        <v>49317</v>
      </c>
      <c r="J18" s="2" t="s">
        <v>142</v>
      </c>
      <c r="K18" s="9" t="s">
        <v>126</v>
      </c>
      <c r="L18" s="9" t="s">
        <v>143</v>
      </c>
      <c r="M18" s="4">
        <v>45728</v>
      </c>
      <c r="N18" s="46" t="s">
        <v>480</v>
      </c>
      <c r="P18" s="9" t="s">
        <v>127</v>
      </c>
      <c r="Q18" s="28">
        <f t="shared" si="2"/>
        <v>3</v>
      </c>
      <c r="R18" s="29">
        <f t="shared" si="3"/>
        <v>17</v>
      </c>
      <c r="T18" s="2" t="s">
        <v>146</v>
      </c>
      <c r="U18" s="2" t="s">
        <v>151</v>
      </c>
      <c r="V18" s="65" t="s">
        <v>755</v>
      </c>
      <c r="W18" s="108" t="s">
        <v>756</v>
      </c>
      <c r="X18" s="2" t="s">
        <v>166</v>
      </c>
      <c r="Y18" s="14">
        <v>45723</v>
      </c>
      <c r="Z18" s="4">
        <v>45726</v>
      </c>
      <c r="AA18" s="4">
        <v>45728</v>
      </c>
      <c r="AB18" s="4">
        <v>45728</v>
      </c>
      <c r="AC18" s="4">
        <v>45731</v>
      </c>
      <c r="AD18" s="2">
        <v>60737207391</v>
      </c>
      <c r="AE18" s="2">
        <v>4840700104</v>
      </c>
      <c r="AF18" s="2">
        <v>1</v>
      </c>
      <c r="AG18" s="2">
        <v>110</v>
      </c>
      <c r="AH18" s="2"/>
      <c r="AI18" s="2" t="s">
        <v>179</v>
      </c>
      <c r="AJ18" s="2"/>
      <c r="AK18" s="4">
        <v>45726</v>
      </c>
      <c r="AL18" s="4">
        <v>45726</v>
      </c>
      <c r="AM18" s="4">
        <v>45727</v>
      </c>
      <c r="AN18" s="2"/>
      <c r="AO18" s="2">
        <v>8837695</v>
      </c>
      <c r="AP18" s="14">
        <v>45728</v>
      </c>
      <c r="AQ18" s="14">
        <v>45731</v>
      </c>
      <c r="AS18" s="4">
        <v>45735</v>
      </c>
      <c r="AT18" s="44">
        <v>49397</v>
      </c>
      <c r="AU18" s="9" t="s">
        <v>128</v>
      </c>
      <c r="AV18" s="14">
        <v>45735</v>
      </c>
      <c r="AW18" s="5">
        <v>45735</v>
      </c>
      <c r="AY18" s="2">
        <v>8977797</v>
      </c>
      <c r="AZ18" s="14">
        <v>45735</v>
      </c>
      <c r="BA18" s="9" t="s">
        <v>185</v>
      </c>
      <c r="BB18" s="9" t="s">
        <v>191</v>
      </c>
      <c r="BC18" s="10">
        <v>45736</v>
      </c>
      <c r="BD18" s="10">
        <v>45736</v>
      </c>
      <c r="BF18" s="14">
        <v>45740</v>
      </c>
      <c r="BG18" s="14">
        <v>45748</v>
      </c>
      <c r="BH18" s="2" t="s">
        <v>467</v>
      </c>
      <c r="BI18" s="2" t="s">
        <v>273</v>
      </c>
      <c r="BM18" s="31" t="s">
        <v>410</v>
      </c>
      <c r="BQ18" s="14">
        <v>45735</v>
      </c>
      <c r="BR18" s="14">
        <v>45735</v>
      </c>
    </row>
    <row r="19" spans="1:70" s="9" customFormat="1" ht="29.4" thickBot="1" x14ac:dyDescent="0.35">
      <c r="A19" s="1">
        <v>18</v>
      </c>
      <c r="B19" s="2">
        <v>250213554</v>
      </c>
      <c r="C19" s="30">
        <v>45722</v>
      </c>
      <c r="D19" s="2">
        <v>52971.199999999997</v>
      </c>
      <c r="E19" s="2" t="s">
        <v>680</v>
      </c>
      <c r="F19" s="9" t="s">
        <v>132</v>
      </c>
      <c r="G19" s="9" t="s">
        <v>323</v>
      </c>
      <c r="H19" s="2">
        <v>20</v>
      </c>
      <c r="I19" s="58">
        <v>49319</v>
      </c>
      <c r="J19" s="2" t="s">
        <v>142</v>
      </c>
      <c r="K19" s="9" t="s">
        <v>126</v>
      </c>
      <c r="L19" s="9" t="s">
        <v>143</v>
      </c>
      <c r="M19" s="4">
        <v>45728</v>
      </c>
      <c r="N19" s="46" t="s">
        <v>480</v>
      </c>
      <c r="P19" s="9" t="s">
        <v>127</v>
      </c>
      <c r="Q19" s="28">
        <f t="shared" si="2"/>
        <v>3</v>
      </c>
      <c r="R19" s="29">
        <f t="shared" si="3"/>
        <v>17</v>
      </c>
      <c r="T19" s="2" t="s">
        <v>147</v>
      </c>
      <c r="U19" s="2" t="s">
        <v>151</v>
      </c>
      <c r="V19" s="65" t="s">
        <v>755</v>
      </c>
      <c r="W19" s="108" t="s">
        <v>756</v>
      </c>
      <c r="X19" s="2" t="s">
        <v>167</v>
      </c>
      <c r="Y19" s="14">
        <v>45723</v>
      </c>
      <c r="Z19" s="4">
        <v>45726</v>
      </c>
      <c r="AA19" s="4">
        <v>45728</v>
      </c>
      <c r="AB19" s="4">
        <v>45728</v>
      </c>
      <c r="AC19" s="4">
        <v>45731</v>
      </c>
      <c r="AD19" s="2">
        <v>60737207391</v>
      </c>
      <c r="AE19" s="2">
        <v>4840700105</v>
      </c>
      <c r="AF19" s="2">
        <v>1</v>
      </c>
      <c r="AG19" s="2">
        <v>73</v>
      </c>
      <c r="AH19" s="2"/>
      <c r="AI19" s="2" t="s">
        <v>179</v>
      </c>
      <c r="AJ19" s="2"/>
      <c r="AK19" s="4">
        <v>45726</v>
      </c>
      <c r="AL19" s="4">
        <v>45726</v>
      </c>
      <c r="AM19" s="4">
        <v>45727</v>
      </c>
      <c r="AN19" s="2"/>
      <c r="AO19" s="2">
        <v>8837714</v>
      </c>
      <c r="AP19" s="14">
        <v>45728</v>
      </c>
      <c r="AQ19" s="14">
        <v>45731</v>
      </c>
      <c r="AS19" s="4">
        <v>45735</v>
      </c>
      <c r="AT19" s="44">
        <v>49398</v>
      </c>
      <c r="AU19" s="9" t="s">
        <v>128</v>
      </c>
      <c r="AV19" s="14">
        <v>45735</v>
      </c>
      <c r="AW19" s="5">
        <v>45735</v>
      </c>
      <c r="AY19" s="2">
        <v>8977679</v>
      </c>
      <c r="AZ19" s="14">
        <v>45735</v>
      </c>
      <c r="BA19" s="9" t="s">
        <v>186</v>
      </c>
      <c r="BB19" s="9" t="s">
        <v>192</v>
      </c>
      <c r="BC19" s="10">
        <v>45736</v>
      </c>
      <c r="BD19" s="10">
        <v>45736</v>
      </c>
      <c r="BF19" s="14">
        <v>45740</v>
      </c>
      <c r="BG19" s="14">
        <v>45748</v>
      </c>
      <c r="BH19" s="2" t="s">
        <v>467</v>
      </c>
      <c r="BI19" s="2" t="s">
        <v>273</v>
      </c>
      <c r="BM19" s="31" t="s">
        <v>410</v>
      </c>
      <c r="BQ19" s="14">
        <v>45735</v>
      </c>
      <c r="BR19" s="14">
        <v>45735</v>
      </c>
    </row>
    <row r="20" spans="1:70" s="9" customFormat="1" ht="29.4" thickBot="1" x14ac:dyDescent="0.35">
      <c r="A20" s="1">
        <v>19</v>
      </c>
      <c r="B20" s="2">
        <v>250304172</v>
      </c>
      <c r="C20" s="30">
        <v>45721</v>
      </c>
      <c r="D20" s="2">
        <v>30276.35</v>
      </c>
      <c r="E20" s="2" t="s">
        <v>680</v>
      </c>
      <c r="F20" s="9" t="s">
        <v>130</v>
      </c>
      <c r="G20" s="9" t="s">
        <v>474</v>
      </c>
      <c r="H20" s="2">
        <v>5</v>
      </c>
      <c r="I20" s="58">
        <v>49342</v>
      </c>
      <c r="J20" s="2" t="s">
        <v>142</v>
      </c>
      <c r="K20" s="9" t="s">
        <v>126</v>
      </c>
      <c r="L20" s="9" t="s">
        <v>143</v>
      </c>
      <c r="M20" s="4">
        <v>45728</v>
      </c>
      <c r="N20" s="46" t="s">
        <v>480</v>
      </c>
      <c r="P20" s="9" t="s">
        <v>127</v>
      </c>
      <c r="Q20" s="28">
        <f t="shared" si="2"/>
        <v>3</v>
      </c>
      <c r="R20" s="29">
        <f t="shared" si="3"/>
        <v>17</v>
      </c>
      <c r="T20" s="2" t="s">
        <v>148</v>
      </c>
      <c r="U20" s="2" t="s">
        <v>153</v>
      </c>
      <c r="V20" s="65" t="s">
        <v>755</v>
      </c>
      <c r="W20" s="108" t="s">
        <v>756</v>
      </c>
      <c r="X20" s="2" t="s">
        <v>168</v>
      </c>
      <c r="Y20" s="14">
        <v>45727</v>
      </c>
      <c r="Z20" s="4">
        <v>45727</v>
      </c>
      <c r="AA20" s="4">
        <v>45728</v>
      </c>
      <c r="AB20" s="4">
        <v>45728</v>
      </c>
      <c r="AC20" s="4">
        <v>45731</v>
      </c>
      <c r="AD20" s="2">
        <v>60737207391</v>
      </c>
      <c r="AE20" s="2">
        <v>4840699916</v>
      </c>
      <c r="AF20" s="2">
        <v>5</v>
      </c>
      <c r="AG20" s="2">
        <v>13</v>
      </c>
      <c r="AH20" s="2"/>
      <c r="AI20" s="2" t="s">
        <v>179</v>
      </c>
      <c r="AJ20" s="2"/>
      <c r="AK20" s="4">
        <v>45726</v>
      </c>
      <c r="AL20" s="4">
        <v>45726</v>
      </c>
      <c r="AM20" s="4">
        <v>45727</v>
      </c>
      <c r="AN20" s="2"/>
      <c r="AO20" s="2">
        <v>8845913</v>
      </c>
      <c r="AP20" s="14">
        <v>45728</v>
      </c>
      <c r="AQ20" s="14">
        <v>45731</v>
      </c>
      <c r="AS20" s="4">
        <v>45735</v>
      </c>
      <c r="AT20" s="44">
        <v>49399</v>
      </c>
      <c r="AU20" s="9" t="s">
        <v>128</v>
      </c>
      <c r="AV20" s="14">
        <v>45735</v>
      </c>
      <c r="AW20" s="5">
        <v>45735</v>
      </c>
      <c r="AY20" s="2">
        <v>8977701</v>
      </c>
      <c r="AZ20" s="14">
        <v>45735</v>
      </c>
      <c r="BA20" s="9" t="s">
        <v>187</v>
      </c>
      <c r="BB20" s="9" t="s">
        <v>193</v>
      </c>
      <c r="BC20" s="10">
        <v>45736</v>
      </c>
      <c r="BD20" s="10">
        <v>45736</v>
      </c>
      <c r="BF20" s="14">
        <v>45737</v>
      </c>
      <c r="BG20" s="14">
        <v>45748</v>
      </c>
      <c r="BH20" s="2" t="s">
        <v>467</v>
      </c>
      <c r="BI20" s="2" t="s">
        <v>273</v>
      </c>
      <c r="BM20" s="31" t="s">
        <v>410</v>
      </c>
      <c r="BQ20" s="14">
        <v>45735</v>
      </c>
      <c r="BR20" s="14">
        <v>45735</v>
      </c>
    </row>
    <row r="21" spans="1:70" s="9" customFormat="1" ht="29.4" thickBot="1" x14ac:dyDescent="0.35">
      <c r="A21" s="1">
        <v>20</v>
      </c>
      <c r="B21" s="2">
        <v>250304676</v>
      </c>
      <c r="C21" s="30">
        <v>45726</v>
      </c>
      <c r="D21" s="2">
        <v>6055.27</v>
      </c>
      <c r="E21" s="2" t="s">
        <v>680</v>
      </c>
      <c r="F21" s="9" t="s">
        <v>130</v>
      </c>
      <c r="G21" s="9" t="s">
        <v>475</v>
      </c>
      <c r="H21" s="2">
        <v>1</v>
      </c>
      <c r="I21" s="58">
        <v>49372</v>
      </c>
      <c r="J21" s="2" t="s">
        <v>142</v>
      </c>
      <c r="K21" s="9" t="s">
        <v>126</v>
      </c>
      <c r="L21" s="9" t="s">
        <v>143</v>
      </c>
      <c r="M21" s="4">
        <v>45735</v>
      </c>
      <c r="N21" s="46" t="s">
        <v>480</v>
      </c>
      <c r="P21" s="9" t="s">
        <v>127</v>
      </c>
      <c r="Q21" s="28">
        <f t="shared" si="2"/>
        <v>2</v>
      </c>
      <c r="R21" s="29">
        <f t="shared" si="3"/>
        <v>14</v>
      </c>
      <c r="T21" s="49" t="s">
        <v>437</v>
      </c>
      <c r="U21" s="2" t="s">
        <v>153</v>
      </c>
      <c r="V21" s="65" t="s">
        <v>755</v>
      </c>
      <c r="W21" s="108" t="s">
        <v>756</v>
      </c>
      <c r="X21" s="2" t="s">
        <v>169</v>
      </c>
      <c r="Y21" s="14">
        <v>45728</v>
      </c>
      <c r="Z21" s="4">
        <v>45733</v>
      </c>
      <c r="AA21" s="4">
        <v>45732</v>
      </c>
      <c r="AB21" s="4">
        <v>45732</v>
      </c>
      <c r="AC21" s="4">
        <v>45734</v>
      </c>
      <c r="AD21" s="2">
        <v>60737207413</v>
      </c>
      <c r="AE21" s="2">
        <v>4840700735</v>
      </c>
      <c r="AF21" s="2">
        <v>1</v>
      </c>
      <c r="AG21" s="2">
        <v>3</v>
      </c>
      <c r="AH21" s="2"/>
      <c r="AI21" s="2" t="s">
        <v>179</v>
      </c>
      <c r="AJ21" s="2"/>
      <c r="AK21" s="4">
        <v>45731</v>
      </c>
      <c r="AL21" s="4">
        <v>45731</v>
      </c>
      <c r="AM21" s="4">
        <v>45733</v>
      </c>
      <c r="AN21" s="2"/>
      <c r="AO21" s="2">
        <v>8923582</v>
      </c>
      <c r="AP21" s="14">
        <v>45731</v>
      </c>
      <c r="AQ21" s="14">
        <v>45734</v>
      </c>
      <c r="AS21" s="4">
        <v>45735</v>
      </c>
      <c r="AT21" s="44">
        <v>49401</v>
      </c>
      <c r="AU21" s="9" t="s">
        <v>128</v>
      </c>
      <c r="AV21" s="14">
        <v>45735</v>
      </c>
      <c r="AW21" s="5">
        <v>45735</v>
      </c>
      <c r="AY21" s="2">
        <v>8979960</v>
      </c>
      <c r="AZ21" s="14">
        <v>45735</v>
      </c>
      <c r="BA21" s="9" t="s">
        <v>188</v>
      </c>
      <c r="BB21" s="9" t="s">
        <v>194</v>
      </c>
      <c r="BC21" s="10">
        <v>45736</v>
      </c>
      <c r="BD21" s="10">
        <v>45737</v>
      </c>
      <c r="BF21" s="14">
        <v>45740</v>
      </c>
      <c r="BG21" s="14">
        <v>45748</v>
      </c>
      <c r="BH21" s="2" t="s">
        <v>467</v>
      </c>
      <c r="BI21" s="2" t="s">
        <v>273</v>
      </c>
      <c r="BM21" s="31" t="s">
        <v>410</v>
      </c>
      <c r="BQ21" s="14">
        <v>45735</v>
      </c>
      <c r="BR21" s="14">
        <v>45735</v>
      </c>
    </row>
    <row r="22" spans="1:70" s="9" customFormat="1" ht="29.4" thickBot="1" x14ac:dyDescent="0.35">
      <c r="A22" s="1">
        <v>21</v>
      </c>
      <c r="B22" s="2">
        <v>250306071</v>
      </c>
      <c r="C22" s="30">
        <v>45729</v>
      </c>
      <c r="D22" s="2">
        <v>15891.36</v>
      </c>
      <c r="E22" s="2" t="s">
        <v>680</v>
      </c>
      <c r="F22" s="9" t="s">
        <v>132</v>
      </c>
      <c r="G22" s="9" t="s">
        <v>323</v>
      </c>
      <c r="H22" s="2">
        <v>6</v>
      </c>
      <c r="I22" s="58">
        <v>49385</v>
      </c>
      <c r="J22" s="2" t="s">
        <v>142</v>
      </c>
      <c r="K22" s="9" t="s">
        <v>126</v>
      </c>
      <c r="L22" s="9" t="s">
        <v>143</v>
      </c>
      <c r="M22" s="4">
        <v>45735</v>
      </c>
      <c r="N22" s="46" t="s">
        <v>479</v>
      </c>
      <c r="P22" s="9" t="s">
        <v>127</v>
      </c>
      <c r="Q22" s="28">
        <f t="shared" si="2"/>
        <v>5</v>
      </c>
      <c r="R22" s="29">
        <f t="shared" si="3"/>
        <v>8</v>
      </c>
      <c r="T22" s="49" t="s">
        <v>438</v>
      </c>
      <c r="U22" s="2" t="s">
        <v>155</v>
      </c>
      <c r="V22" s="65" t="s">
        <v>755</v>
      </c>
      <c r="W22" s="108" t="s">
        <v>756</v>
      </c>
      <c r="X22" s="2" t="s">
        <v>170</v>
      </c>
      <c r="Y22" s="14">
        <v>45733</v>
      </c>
      <c r="Z22" s="4">
        <v>45736</v>
      </c>
      <c r="AA22" s="4">
        <v>45735</v>
      </c>
      <c r="AB22" s="4">
        <v>45735</v>
      </c>
      <c r="AC22" s="4">
        <v>45740</v>
      </c>
      <c r="AD22" s="2">
        <v>60737207446</v>
      </c>
      <c r="AE22" s="2">
        <v>4840701360</v>
      </c>
      <c r="AF22" s="2">
        <v>6</v>
      </c>
      <c r="AG22" s="2">
        <v>9</v>
      </c>
      <c r="AH22" s="2"/>
      <c r="AI22" s="2" t="s">
        <v>179</v>
      </c>
      <c r="AJ22" s="2"/>
      <c r="AK22" s="4">
        <v>45734</v>
      </c>
      <c r="AL22" s="4">
        <v>45734</v>
      </c>
      <c r="AM22" s="4">
        <v>45734</v>
      </c>
      <c r="AN22" s="2"/>
      <c r="AO22" s="2">
        <v>8986820</v>
      </c>
      <c r="AP22" s="14">
        <v>45736</v>
      </c>
      <c r="AQ22" s="14">
        <v>45740</v>
      </c>
      <c r="AS22" s="14">
        <v>45741</v>
      </c>
      <c r="AT22" s="44">
        <v>49469</v>
      </c>
      <c r="AU22" s="9" t="s">
        <v>128</v>
      </c>
      <c r="AV22" s="14">
        <v>45741</v>
      </c>
      <c r="AW22" s="5">
        <v>45741</v>
      </c>
      <c r="AY22" s="2">
        <v>9106435</v>
      </c>
      <c r="AZ22" s="14">
        <v>45742</v>
      </c>
      <c r="BA22" s="9" t="s">
        <v>329</v>
      </c>
      <c r="BB22" s="9" t="s">
        <v>330</v>
      </c>
      <c r="BC22" s="10">
        <v>45742</v>
      </c>
      <c r="BD22" s="10">
        <v>45743</v>
      </c>
      <c r="BF22" s="14">
        <v>45744</v>
      </c>
      <c r="BG22" s="14">
        <v>45748</v>
      </c>
      <c r="BH22" s="2" t="s">
        <v>467</v>
      </c>
      <c r="BI22" s="2" t="s">
        <v>273</v>
      </c>
      <c r="BM22" s="31" t="s">
        <v>432</v>
      </c>
      <c r="BQ22" s="2"/>
      <c r="BR22" s="2"/>
    </row>
    <row r="23" spans="1:70" s="9" customFormat="1" ht="29.4" thickBot="1" x14ac:dyDescent="0.35">
      <c r="A23" s="1">
        <v>22</v>
      </c>
      <c r="B23" s="2">
        <v>250308661</v>
      </c>
      <c r="C23" s="30">
        <v>45729</v>
      </c>
      <c r="D23" s="2">
        <v>169600</v>
      </c>
      <c r="E23" s="2" t="s">
        <v>680</v>
      </c>
      <c r="F23" s="9" t="s">
        <v>134</v>
      </c>
      <c r="G23" s="9" t="s">
        <v>321</v>
      </c>
      <c r="H23" s="2">
        <v>200</v>
      </c>
      <c r="I23" s="58">
        <v>49386</v>
      </c>
      <c r="J23" s="2" t="s">
        <v>142</v>
      </c>
      <c r="K23" s="9" t="s">
        <v>126</v>
      </c>
      <c r="L23" s="9" t="s">
        <v>143</v>
      </c>
      <c r="M23" s="4">
        <v>45735</v>
      </c>
      <c r="N23" s="46" t="s">
        <v>480</v>
      </c>
      <c r="P23" s="9" t="s">
        <v>127</v>
      </c>
      <c r="Q23" s="28">
        <f t="shared" si="2"/>
        <v>5</v>
      </c>
      <c r="R23" s="29">
        <f t="shared" si="3"/>
        <v>8</v>
      </c>
      <c r="T23" s="49" t="s">
        <v>439</v>
      </c>
      <c r="U23" s="2" t="s">
        <v>152</v>
      </c>
      <c r="V23" s="65" t="s">
        <v>755</v>
      </c>
      <c r="W23" s="108" t="s">
        <v>756</v>
      </c>
      <c r="X23" s="2" t="s">
        <v>171</v>
      </c>
      <c r="Y23" s="14">
        <v>45733</v>
      </c>
      <c r="Z23" s="4">
        <v>45736</v>
      </c>
      <c r="AA23" s="4">
        <v>45735</v>
      </c>
      <c r="AB23" s="4">
        <v>45735</v>
      </c>
      <c r="AC23" s="4">
        <v>45740</v>
      </c>
      <c r="AD23" s="2">
        <v>60737207446</v>
      </c>
      <c r="AE23" s="2">
        <v>4840701361</v>
      </c>
      <c r="AF23" s="2">
        <v>1</v>
      </c>
      <c r="AG23" s="2">
        <v>14.5</v>
      </c>
      <c r="AH23" s="2"/>
      <c r="AI23" s="2" t="s">
        <v>179</v>
      </c>
      <c r="AJ23" s="2"/>
      <c r="AK23" s="4">
        <v>45734</v>
      </c>
      <c r="AL23" s="4">
        <v>45734</v>
      </c>
      <c r="AM23" s="4">
        <v>45734</v>
      </c>
      <c r="AN23" s="2"/>
      <c r="AO23" s="2">
        <v>8986819</v>
      </c>
      <c r="AP23" s="14">
        <v>45736</v>
      </c>
      <c r="AQ23" s="14">
        <v>45740</v>
      </c>
      <c r="AS23" s="14">
        <v>45741</v>
      </c>
      <c r="AT23" s="44">
        <v>49470</v>
      </c>
      <c r="AU23" s="9" t="s">
        <v>128</v>
      </c>
      <c r="AV23" s="14">
        <v>45741</v>
      </c>
      <c r="AW23" s="5">
        <v>45741</v>
      </c>
      <c r="AY23" s="2">
        <v>9106438</v>
      </c>
      <c r="AZ23" s="14">
        <v>45742</v>
      </c>
      <c r="BA23" s="9" t="s">
        <v>328</v>
      </c>
      <c r="BB23" s="2">
        <v>2665094</v>
      </c>
      <c r="BC23" s="10">
        <v>45742</v>
      </c>
      <c r="BD23" s="10">
        <v>45743</v>
      </c>
      <c r="BF23" s="14">
        <v>45744</v>
      </c>
      <c r="BG23" s="14">
        <v>45748</v>
      </c>
      <c r="BH23" s="2" t="s">
        <v>467</v>
      </c>
      <c r="BI23" s="2" t="s">
        <v>273</v>
      </c>
      <c r="BM23" s="31" t="s">
        <v>433</v>
      </c>
      <c r="BQ23" s="2"/>
      <c r="BR23" s="2"/>
    </row>
    <row r="24" spans="1:70" s="9" customFormat="1" ht="29.4" thickBot="1" x14ac:dyDescent="0.35">
      <c r="A24" s="1">
        <v>23</v>
      </c>
      <c r="B24" s="2">
        <v>250309379</v>
      </c>
      <c r="C24" s="30">
        <v>45733</v>
      </c>
      <c r="D24" s="2">
        <v>36345.72</v>
      </c>
      <c r="E24" s="2" t="s">
        <v>680</v>
      </c>
      <c r="F24" s="9" t="s">
        <v>135</v>
      </c>
      <c r="G24" s="9" t="s">
        <v>299</v>
      </c>
      <c r="H24" s="2">
        <v>2</v>
      </c>
      <c r="I24" s="58">
        <v>49390</v>
      </c>
      <c r="J24" s="2" t="s">
        <v>142</v>
      </c>
      <c r="K24" s="9" t="s">
        <v>126</v>
      </c>
      <c r="L24" s="9" t="s">
        <v>143</v>
      </c>
      <c r="M24" s="4">
        <v>45736</v>
      </c>
      <c r="N24" s="46" t="s">
        <v>480</v>
      </c>
      <c r="P24" s="9" t="s">
        <v>127</v>
      </c>
      <c r="Q24" s="28">
        <f t="shared" si="2"/>
        <v>3</v>
      </c>
      <c r="R24" s="29">
        <f t="shared" si="3"/>
        <v>8</v>
      </c>
      <c r="T24" s="2">
        <v>235</v>
      </c>
      <c r="U24" s="2" t="s">
        <v>156</v>
      </c>
      <c r="V24" s="65" t="s">
        <v>755</v>
      </c>
      <c r="W24" s="108" t="s">
        <v>756</v>
      </c>
      <c r="X24" s="2" t="s">
        <v>172</v>
      </c>
      <c r="Y24" s="14">
        <v>45734</v>
      </c>
      <c r="Z24" s="4">
        <v>45737</v>
      </c>
      <c r="AA24" s="4">
        <v>45737</v>
      </c>
      <c r="AB24" s="4">
        <v>45737</v>
      </c>
      <c r="AC24" s="4">
        <v>45740</v>
      </c>
      <c r="AD24" s="2">
        <v>60737207483</v>
      </c>
      <c r="AE24" s="2">
        <v>4840701740</v>
      </c>
      <c r="AF24" s="2">
        <v>2</v>
      </c>
      <c r="AG24" s="2">
        <v>12.5</v>
      </c>
      <c r="AH24" s="2"/>
      <c r="AI24" s="2" t="s">
        <v>179</v>
      </c>
      <c r="AJ24" s="2"/>
      <c r="AK24" s="4">
        <v>45734</v>
      </c>
      <c r="AL24" s="4">
        <v>45734</v>
      </c>
      <c r="AM24" s="4">
        <v>45734</v>
      </c>
      <c r="AN24" s="2"/>
      <c r="AO24" s="2">
        <v>9011047</v>
      </c>
      <c r="AP24" s="14">
        <v>45737</v>
      </c>
      <c r="AQ24" s="14">
        <v>45740</v>
      </c>
      <c r="AS24" s="14">
        <v>45740</v>
      </c>
      <c r="AT24" s="44">
        <v>49460</v>
      </c>
      <c r="AU24" s="9" t="s">
        <v>128</v>
      </c>
      <c r="AV24" s="14">
        <v>45740</v>
      </c>
      <c r="AW24" s="5">
        <v>45741</v>
      </c>
      <c r="AY24" s="2">
        <v>9093658</v>
      </c>
      <c r="AZ24" s="14">
        <v>45741</v>
      </c>
      <c r="BA24" s="9" t="s">
        <v>317</v>
      </c>
      <c r="BB24" t="s">
        <v>318</v>
      </c>
      <c r="BC24" s="10">
        <v>45741</v>
      </c>
      <c r="BD24" s="10">
        <v>45742</v>
      </c>
      <c r="BF24" s="14">
        <v>45743</v>
      </c>
      <c r="BG24" s="14">
        <v>45748</v>
      </c>
      <c r="BH24" s="2" t="s">
        <v>467</v>
      </c>
      <c r="BI24" s="2" t="s">
        <v>273</v>
      </c>
      <c r="BM24" s="31" t="s">
        <v>411</v>
      </c>
      <c r="BQ24" s="14">
        <v>45741</v>
      </c>
      <c r="BR24" s="14"/>
    </row>
    <row r="25" spans="1:70" s="9" customFormat="1" ht="29.4" thickBot="1" x14ac:dyDescent="0.35">
      <c r="A25" s="1">
        <v>24</v>
      </c>
      <c r="B25" s="2">
        <v>250309436</v>
      </c>
      <c r="C25" s="30">
        <v>45733</v>
      </c>
      <c r="D25" s="2">
        <v>28175.62</v>
      </c>
      <c r="E25" s="2" t="s">
        <v>680</v>
      </c>
      <c r="F25" s="9" t="s">
        <v>136</v>
      </c>
      <c r="G25" s="9" t="s">
        <v>476</v>
      </c>
      <c r="H25" s="2">
        <v>1</v>
      </c>
      <c r="I25" s="58">
        <v>49412</v>
      </c>
      <c r="J25" s="2" t="s">
        <v>142</v>
      </c>
      <c r="K25" s="9" t="s">
        <v>126</v>
      </c>
      <c r="L25" s="9" t="s">
        <v>143</v>
      </c>
      <c r="M25" s="4">
        <v>45736</v>
      </c>
      <c r="N25" s="46" t="s">
        <v>480</v>
      </c>
      <c r="P25" s="9" t="s">
        <v>127</v>
      </c>
      <c r="Q25" s="28">
        <f t="shared" si="2"/>
        <v>4</v>
      </c>
      <c r="R25" s="29">
        <f t="shared" si="3"/>
        <v>8</v>
      </c>
      <c r="T25" s="2">
        <v>182</v>
      </c>
      <c r="U25" s="2" t="s">
        <v>157</v>
      </c>
      <c r="V25" s="65" t="s">
        <v>755</v>
      </c>
      <c r="W25" s="108" t="s">
        <v>756</v>
      </c>
      <c r="X25" s="2" t="s">
        <v>173</v>
      </c>
      <c r="Y25" s="14">
        <v>45735</v>
      </c>
      <c r="Z25" s="4">
        <v>45740</v>
      </c>
      <c r="AA25" s="4">
        <v>45736</v>
      </c>
      <c r="AB25" s="4">
        <v>45736</v>
      </c>
      <c r="AC25" s="4">
        <v>45740</v>
      </c>
      <c r="AD25" s="2">
        <v>60737907111</v>
      </c>
      <c r="AE25" s="2">
        <v>4840701799</v>
      </c>
      <c r="AF25" s="2">
        <v>1</v>
      </c>
      <c r="AG25" s="2">
        <v>3.5</v>
      </c>
      <c r="AH25" s="2"/>
      <c r="AI25" s="2" t="s">
        <v>179</v>
      </c>
      <c r="AJ25" s="2"/>
      <c r="AK25" s="4">
        <v>45735</v>
      </c>
      <c r="AL25" s="4">
        <v>45735</v>
      </c>
      <c r="AM25" s="4">
        <v>45735</v>
      </c>
      <c r="AN25" s="2"/>
      <c r="AO25" s="2">
        <v>9010892</v>
      </c>
      <c r="AP25" s="14">
        <v>45737</v>
      </c>
      <c r="AQ25" s="14">
        <v>45740</v>
      </c>
      <c r="AS25" s="14">
        <v>45740</v>
      </c>
      <c r="AT25" s="44">
        <v>49461</v>
      </c>
      <c r="AU25" s="9" t="s">
        <v>128</v>
      </c>
      <c r="AV25" s="14">
        <v>45740</v>
      </c>
      <c r="AW25" s="5">
        <v>45741</v>
      </c>
      <c r="AY25" s="49">
        <v>9093654</v>
      </c>
      <c r="AZ25" s="14">
        <v>45741</v>
      </c>
      <c r="BA25" s="9" t="s">
        <v>319</v>
      </c>
      <c r="BB25" s="9" t="s">
        <v>320</v>
      </c>
      <c r="BC25" s="10">
        <v>45741</v>
      </c>
      <c r="BD25" s="10">
        <v>45742</v>
      </c>
      <c r="BF25" s="14">
        <v>45743</v>
      </c>
      <c r="BG25" s="14">
        <v>45748</v>
      </c>
      <c r="BH25" s="2" t="s">
        <v>467</v>
      </c>
      <c r="BI25" s="2" t="s">
        <v>273</v>
      </c>
      <c r="BM25" s="31" t="s">
        <v>434</v>
      </c>
      <c r="BQ25" s="14">
        <v>45741</v>
      </c>
      <c r="BR25" s="14"/>
    </row>
    <row r="26" spans="1:70" s="2" customFormat="1" ht="29.4" thickBot="1" x14ac:dyDescent="0.35">
      <c r="A26" s="1">
        <v>25</v>
      </c>
      <c r="B26" s="2">
        <v>250215165</v>
      </c>
      <c r="C26" s="4">
        <v>45721</v>
      </c>
      <c r="D26" s="2">
        <v>111088</v>
      </c>
      <c r="E26" s="2" t="s">
        <v>680</v>
      </c>
      <c r="F26" s="2" t="s">
        <v>486</v>
      </c>
      <c r="G26" s="2" t="s">
        <v>1474</v>
      </c>
      <c r="H26" s="2">
        <v>131</v>
      </c>
      <c r="I26" s="58">
        <v>49344</v>
      </c>
      <c r="J26" s="2" t="s">
        <v>142</v>
      </c>
      <c r="K26" s="2" t="s">
        <v>126</v>
      </c>
      <c r="L26" s="2" t="s">
        <v>143</v>
      </c>
      <c r="M26" s="4">
        <v>45728</v>
      </c>
      <c r="N26" s="46" t="s">
        <v>507</v>
      </c>
      <c r="P26" s="2" t="s">
        <v>127</v>
      </c>
      <c r="Q26" s="28">
        <f t="shared" si="2"/>
        <v>3</v>
      </c>
      <c r="R26" s="29">
        <f t="shared" si="3"/>
        <v>19</v>
      </c>
      <c r="T26" s="2">
        <v>721</v>
      </c>
      <c r="U26" s="2" t="s">
        <v>152</v>
      </c>
      <c r="V26" s="65" t="s">
        <v>755</v>
      </c>
      <c r="W26" s="108" t="s">
        <v>756</v>
      </c>
      <c r="X26" s="2" t="s">
        <v>487</v>
      </c>
      <c r="Y26" s="14">
        <v>45722</v>
      </c>
      <c r="Z26" s="4">
        <v>45726</v>
      </c>
      <c r="AA26" s="4">
        <v>45728</v>
      </c>
      <c r="AB26" s="4">
        <v>45728</v>
      </c>
      <c r="AC26" s="4">
        <v>45731</v>
      </c>
      <c r="AD26" s="2">
        <v>60737207391</v>
      </c>
      <c r="AE26" s="2">
        <v>4840699864</v>
      </c>
      <c r="AF26" s="2">
        <v>1</v>
      </c>
      <c r="AG26" s="2">
        <v>13.5</v>
      </c>
      <c r="AI26" s="2" t="s">
        <v>179</v>
      </c>
      <c r="AK26" s="4">
        <v>45726</v>
      </c>
      <c r="AL26" s="4">
        <v>45726</v>
      </c>
      <c r="AM26" s="4">
        <v>45727</v>
      </c>
      <c r="AO26" s="2">
        <v>8846767</v>
      </c>
      <c r="AP26" s="14">
        <v>45728</v>
      </c>
      <c r="AQ26" s="14">
        <v>45731</v>
      </c>
      <c r="AS26" s="4">
        <v>45735</v>
      </c>
      <c r="AT26" s="44">
        <v>49400</v>
      </c>
      <c r="AU26" s="2" t="s">
        <v>128</v>
      </c>
      <c r="AV26" s="14">
        <v>45735</v>
      </c>
      <c r="AW26" s="5">
        <v>45735</v>
      </c>
      <c r="AY26" s="2">
        <v>8980147</v>
      </c>
      <c r="AZ26" s="14">
        <v>45735</v>
      </c>
      <c r="BA26" s="2" t="s">
        <v>488</v>
      </c>
      <c r="BB26" s="2" t="s">
        <v>489</v>
      </c>
      <c r="BC26" s="14">
        <v>45736</v>
      </c>
      <c r="BD26" s="14">
        <v>45736</v>
      </c>
      <c r="BF26" s="14">
        <v>45737</v>
      </c>
      <c r="BG26" s="14">
        <v>45750</v>
      </c>
      <c r="BH26" s="2" t="s">
        <v>500</v>
      </c>
      <c r="BI26" s="2" t="s">
        <v>273</v>
      </c>
      <c r="BJ26" s="9"/>
      <c r="BM26" s="7" t="s">
        <v>490</v>
      </c>
      <c r="BQ26" s="14">
        <v>45735</v>
      </c>
      <c r="BR26" s="14">
        <v>45735</v>
      </c>
    </row>
    <row r="27" spans="1:70" s="2" customFormat="1" ht="29.4" thickBot="1" x14ac:dyDescent="0.35">
      <c r="A27" s="1">
        <v>26</v>
      </c>
      <c r="B27" s="2">
        <v>988453</v>
      </c>
      <c r="C27" s="4">
        <v>45714</v>
      </c>
      <c r="D27" s="2">
        <v>360300</v>
      </c>
      <c r="E27" s="2" t="s">
        <v>129</v>
      </c>
      <c r="F27" s="2" t="s">
        <v>133</v>
      </c>
      <c r="G27" s="2" t="s">
        <v>1475</v>
      </c>
      <c r="H27" s="2">
        <v>20</v>
      </c>
      <c r="I27" s="58">
        <v>49384</v>
      </c>
      <c r="J27" s="2" t="s">
        <v>142</v>
      </c>
      <c r="K27" s="2" t="s">
        <v>126</v>
      </c>
      <c r="L27" s="2" t="s">
        <v>143</v>
      </c>
      <c r="M27" s="4">
        <v>45735</v>
      </c>
      <c r="N27" s="46" t="s">
        <v>507</v>
      </c>
      <c r="P27" s="2" t="s">
        <v>127</v>
      </c>
      <c r="Q27" s="54">
        <f t="shared" si="2"/>
        <v>2</v>
      </c>
      <c r="R27" s="29">
        <f t="shared" si="3"/>
        <v>13</v>
      </c>
      <c r="T27" s="2">
        <v>6980</v>
      </c>
      <c r="U27" s="2" t="s">
        <v>154</v>
      </c>
      <c r="V27" s="65" t="s">
        <v>755</v>
      </c>
      <c r="W27" s="108" t="s">
        <v>756</v>
      </c>
      <c r="X27" s="2" t="s">
        <v>343</v>
      </c>
      <c r="Y27" s="4">
        <v>45741</v>
      </c>
      <c r="Z27" s="4">
        <v>45743</v>
      </c>
      <c r="AA27" s="4">
        <v>45735</v>
      </c>
      <c r="AB27" s="4">
        <v>45735</v>
      </c>
      <c r="AC27" s="4">
        <v>45737</v>
      </c>
      <c r="AD27" s="2">
        <v>61569774003</v>
      </c>
      <c r="AE27" s="2" t="s">
        <v>175</v>
      </c>
      <c r="AF27" s="2">
        <v>5</v>
      </c>
      <c r="AG27" s="2">
        <v>77</v>
      </c>
      <c r="AI27" s="2" t="s">
        <v>180</v>
      </c>
      <c r="AK27" s="4">
        <v>45734</v>
      </c>
      <c r="AL27" s="4">
        <v>45734</v>
      </c>
      <c r="AM27" s="4">
        <v>45734</v>
      </c>
      <c r="AO27" s="2">
        <v>8966576</v>
      </c>
      <c r="AP27" s="14">
        <v>45735</v>
      </c>
      <c r="AQ27" s="14">
        <v>45737</v>
      </c>
      <c r="AS27" s="14">
        <v>45742</v>
      </c>
      <c r="AT27" s="44">
        <v>49479</v>
      </c>
      <c r="AU27" s="2" t="s">
        <v>128</v>
      </c>
      <c r="AV27" s="14">
        <v>45742</v>
      </c>
      <c r="AW27" s="14">
        <v>45742</v>
      </c>
      <c r="AY27" s="49">
        <v>9164640</v>
      </c>
      <c r="AZ27" s="14">
        <v>45744</v>
      </c>
      <c r="BA27" s="49" t="s">
        <v>353</v>
      </c>
      <c r="BB27" s="2" t="s">
        <v>354</v>
      </c>
      <c r="BC27" s="14">
        <v>45744</v>
      </c>
      <c r="BD27" s="14">
        <v>45747</v>
      </c>
      <c r="BF27" s="14">
        <v>45748</v>
      </c>
      <c r="BG27" s="14">
        <v>45750</v>
      </c>
      <c r="BH27" s="2" t="s">
        <v>500</v>
      </c>
      <c r="BI27" s="2" t="s">
        <v>273</v>
      </c>
      <c r="BJ27" s="9"/>
      <c r="BM27" s="7" t="s">
        <v>431</v>
      </c>
      <c r="BQ27" s="14">
        <v>45742</v>
      </c>
      <c r="BR27" s="14">
        <v>45744</v>
      </c>
    </row>
    <row r="28" spans="1:70" s="2" customFormat="1" ht="84" customHeight="1" thickBot="1" x14ac:dyDescent="0.35">
      <c r="A28" s="1">
        <v>27</v>
      </c>
      <c r="B28" s="2">
        <v>990806</v>
      </c>
      <c r="C28" s="4">
        <v>45726</v>
      </c>
      <c r="D28" s="2">
        <v>3648</v>
      </c>
      <c r="E28" s="2" t="s">
        <v>679</v>
      </c>
      <c r="F28" s="2" t="s">
        <v>137</v>
      </c>
      <c r="G28" s="2" t="s">
        <v>599</v>
      </c>
      <c r="H28" s="2">
        <v>6</v>
      </c>
      <c r="I28" s="58">
        <v>49427</v>
      </c>
      <c r="J28" s="2" t="s">
        <v>142</v>
      </c>
      <c r="K28" s="2" t="s">
        <v>126</v>
      </c>
      <c r="L28" s="2" t="s">
        <v>143</v>
      </c>
      <c r="M28" s="4">
        <v>45737</v>
      </c>
      <c r="N28" s="46" t="s">
        <v>507</v>
      </c>
      <c r="O28" s="2">
        <v>3174</v>
      </c>
      <c r="P28" s="2" t="s">
        <v>127</v>
      </c>
      <c r="Q28" s="54">
        <f t="shared" si="2"/>
        <v>4</v>
      </c>
      <c r="R28" s="29">
        <f t="shared" si="3"/>
        <v>9</v>
      </c>
      <c r="T28" s="49" t="s">
        <v>436</v>
      </c>
      <c r="U28" s="2" t="s">
        <v>158</v>
      </c>
      <c r="V28" s="65" t="s">
        <v>755</v>
      </c>
      <c r="W28" s="108" t="s">
        <v>756</v>
      </c>
      <c r="X28" s="2" t="s">
        <v>304</v>
      </c>
      <c r="Y28" s="14">
        <v>45737</v>
      </c>
      <c r="Z28" s="4">
        <v>45743</v>
      </c>
      <c r="AA28" s="4">
        <v>45737</v>
      </c>
      <c r="AB28" s="4">
        <v>45737</v>
      </c>
      <c r="AC28" s="4">
        <v>45741</v>
      </c>
      <c r="AD28" s="2">
        <v>61569774040</v>
      </c>
      <c r="AE28" s="2" t="s">
        <v>176</v>
      </c>
      <c r="AF28" s="2">
        <v>1</v>
      </c>
      <c r="AG28" s="2">
        <v>3.5</v>
      </c>
      <c r="AI28" s="2" t="s">
        <v>180</v>
      </c>
      <c r="AK28" s="4">
        <v>45736</v>
      </c>
      <c r="AL28" s="4">
        <v>45736</v>
      </c>
      <c r="AM28" s="4">
        <v>45737</v>
      </c>
      <c r="AO28" s="2">
        <v>9019762</v>
      </c>
      <c r="AP28" s="14">
        <v>45737</v>
      </c>
      <c r="AQ28" s="14">
        <v>45741</v>
      </c>
      <c r="AR28" s="7" t="s">
        <v>340</v>
      </c>
      <c r="AS28" s="14">
        <v>45742</v>
      </c>
      <c r="AT28" s="44">
        <v>49480</v>
      </c>
      <c r="AU28" s="2" t="s">
        <v>128</v>
      </c>
      <c r="AV28" s="14">
        <v>45742</v>
      </c>
      <c r="AW28" s="14">
        <v>45742</v>
      </c>
      <c r="AY28" s="2">
        <v>9164702</v>
      </c>
      <c r="AZ28" s="14">
        <v>45744</v>
      </c>
      <c r="BA28" s="2">
        <v>318470</v>
      </c>
      <c r="BB28" s="2">
        <v>57325</v>
      </c>
      <c r="BC28" s="14">
        <v>45744</v>
      </c>
      <c r="BD28" s="14">
        <v>45747</v>
      </c>
      <c r="BF28" s="14">
        <v>45748</v>
      </c>
      <c r="BG28" s="14">
        <v>45750</v>
      </c>
      <c r="BH28" s="2" t="s">
        <v>500</v>
      </c>
      <c r="BI28" s="2" t="s">
        <v>273</v>
      </c>
      <c r="BJ28" s="9"/>
      <c r="BM28" s="7" t="s">
        <v>435</v>
      </c>
      <c r="BO28" s="14">
        <v>45741</v>
      </c>
      <c r="BP28" s="14">
        <v>45741</v>
      </c>
      <c r="BQ28" s="14">
        <v>45742</v>
      </c>
      <c r="BR28" s="14">
        <v>45744</v>
      </c>
    </row>
    <row r="29" spans="1:70" s="2" customFormat="1" ht="83.25" customHeight="1" thickBot="1" x14ac:dyDescent="0.35">
      <c r="A29" s="1">
        <v>28</v>
      </c>
      <c r="B29" s="2">
        <v>990756</v>
      </c>
      <c r="C29" s="4">
        <v>45727</v>
      </c>
      <c r="D29" s="2">
        <v>1824</v>
      </c>
      <c r="E29" s="2" t="s">
        <v>679</v>
      </c>
      <c r="F29" s="2" t="s">
        <v>137</v>
      </c>
      <c r="G29" s="2" t="s">
        <v>599</v>
      </c>
      <c r="H29" s="2">
        <v>3</v>
      </c>
      <c r="I29" s="58">
        <v>49428</v>
      </c>
      <c r="J29" s="2" t="s">
        <v>142</v>
      </c>
      <c r="K29" s="2" t="s">
        <v>126</v>
      </c>
      <c r="L29" s="2" t="s">
        <v>143</v>
      </c>
      <c r="M29" s="4">
        <v>45737</v>
      </c>
      <c r="N29" s="46" t="s">
        <v>507</v>
      </c>
      <c r="O29" s="2">
        <v>3174</v>
      </c>
      <c r="P29" s="2" t="s">
        <v>127</v>
      </c>
      <c r="Q29" s="54">
        <f t="shared" si="2"/>
        <v>4</v>
      </c>
      <c r="R29" s="29">
        <f t="shared" si="3"/>
        <v>9</v>
      </c>
      <c r="T29" s="2">
        <v>35</v>
      </c>
      <c r="U29" s="2" t="s">
        <v>159</v>
      </c>
      <c r="V29" s="65" t="s">
        <v>755</v>
      </c>
      <c r="W29" s="108" t="s">
        <v>756</v>
      </c>
      <c r="X29" s="2" t="s">
        <v>305</v>
      </c>
      <c r="Y29" s="14">
        <v>45737</v>
      </c>
      <c r="Z29" s="4">
        <v>45743</v>
      </c>
      <c r="AA29" s="4">
        <v>45737</v>
      </c>
      <c r="AB29" s="4">
        <v>45737</v>
      </c>
      <c r="AC29" s="4">
        <v>45741</v>
      </c>
      <c r="AD29" s="2">
        <v>61569774040</v>
      </c>
      <c r="AE29" s="2" t="s">
        <v>177</v>
      </c>
      <c r="AF29" s="2">
        <v>1</v>
      </c>
      <c r="AG29" s="2">
        <v>5</v>
      </c>
      <c r="AI29" s="2" t="s">
        <v>180</v>
      </c>
      <c r="AK29" s="4">
        <v>45736</v>
      </c>
      <c r="AL29" s="4">
        <v>45736</v>
      </c>
      <c r="AM29" s="4">
        <v>45737</v>
      </c>
      <c r="AO29" s="2">
        <v>9020959</v>
      </c>
      <c r="AP29" s="14">
        <v>45737</v>
      </c>
      <c r="AQ29" s="14">
        <v>45741</v>
      </c>
      <c r="AR29" s="7" t="s">
        <v>340</v>
      </c>
      <c r="AS29" s="14">
        <v>45742</v>
      </c>
      <c r="AT29" s="44">
        <v>49482</v>
      </c>
      <c r="AU29" s="2" t="s">
        <v>128</v>
      </c>
      <c r="AV29" s="14">
        <v>45742</v>
      </c>
      <c r="AW29" s="14">
        <v>45742</v>
      </c>
      <c r="AY29" s="2">
        <v>9164712</v>
      </c>
      <c r="AZ29" s="14">
        <v>45744</v>
      </c>
      <c r="BA29" s="2">
        <v>159235</v>
      </c>
      <c r="BB29" s="2">
        <v>28662</v>
      </c>
      <c r="BC29" s="14">
        <v>45744</v>
      </c>
      <c r="BD29" s="14">
        <v>45747</v>
      </c>
      <c r="BF29" s="14">
        <v>45748</v>
      </c>
      <c r="BG29" s="14">
        <v>45750</v>
      </c>
      <c r="BH29" s="2" t="s">
        <v>500</v>
      </c>
      <c r="BI29" s="2" t="s">
        <v>273</v>
      </c>
      <c r="BJ29" s="9"/>
      <c r="BM29" s="7" t="s">
        <v>435</v>
      </c>
      <c r="BO29" s="14">
        <v>45741</v>
      </c>
      <c r="BP29" s="14">
        <v>45742</v>
      </c>
      <c r="BQ29" s="14">
        <v>45742</v>
      </c>
      <c r="BR29" s="14">
        <v>45744</v>
      </c>
    </row>
    <row r="30" spans="1:70" s="2" customFormat="1" ht="15" customHeight="1" x14ac:dyDescent="0.3">
      <c r="A30" s="1">
        <v>29</v>
      </c>
      <c r="B30" s="2">
        <v>6870431</v>
      </c>
      <c r="C30" s="4">
        <v>45728</v>
      </c>
      <c r="D30" s="2">
        <v>67240</v>
      </c>
      <c r="E30" s="2" t="s">
        <v>678</v>
      </c>
      <c r="F30" s="7" t="s">
        <v>138</v>
      </c>
      <c r="G30" s="7" t="s">
        <v>140</v>
      </c>
      <c r="H30" s="7" t="s">
        <v>201</v>
      </c>
      <c r="I30" s="58">
        <v>49430</v>
      </c>
      <c r="J30" s="2" t="s">
        <v>142</v>
      </c>
      <c r="K30" s="2" t="s">
        <v>126</v>
      </c>
      <c r="L30" s="2" t="s">
        <v>143</v>
      </c>
      <c r="M30" s="4">
        <v>45739</v>
      </c>
      <c r="N30" s="46" t="s">
        <v>506</v>
      </c>
      <c r="P30" s="14">
        <v>45903</v>
      </c>
      <c r="Q30" s="54">
        <f t="shared" si="2"/>
        <v>4</v>
      </c>
      <c r="R30" s="29">
        <f t="shared" si="3"/>
        <v>7</v>
      </c>
      <c r="T30" s="2" t="s">
        <v>473</v>
      </c>
      <c r="U30" s="2" t="s">
        <v>160</v>
      </c>
      <c r="V30" s="2" t="s">
        <v>335</v>
      </c>
      <c r="W30" s="2" t="s">
        <v>163</v>
      </c>
      <c r="X30" s="2">
        <v>20255032511</v>
      </c>
      <c r="Y30" s="14">
        <v>45735</v>
      </c>
      <c r="Z30" s="14">
        <v>45738</v>
      </c>
      <c r="AA30" s="4">
        <v>45739</v>
      </c>
      <c r="AB30" s="4">
        <v>45739</v>
      </c>
      <c r="AC30" s="4">
        <v>45743</v>
      </c>
      <c r="AD30" s="2">
        <v>23210548635</v>
      </c>
      <c r="AE30" s="2" t="s">
        <v>178</v>
      </c>
      <c r="AF30" s="2">
        <v>1</v>
      </c>
      <c r="AG30" s="2">
        <v>228</v>
      </c>
      <c r="AI30" s="2" t="s">
        <v>181</v>
      </c>
      <c r="AK30" s="4">
        <v>45736</v>
      </c>
      <c r="AL30" s="4">
        <v>45736</v>
      </c>
      <c r="AM30" s="4">
        <v>45736</v>
      </c>
      <c r="AO30" s="2">
        <v>9061108</v>
      </c>
      <c r="AP30" s="14">
        <v>45740</v>
      </c>
      <c r="AQ30" s="14">
        <v>45743</v>
      </c>
      <c r="AS30" s="14">
        <v>45747</v>
      </c>
      <c r="AT30" s="44">
        <v>49511</v>
      </c>
      <c r="AU30" s="2" t="s">
        <v>128</v>
      </c>
      <c r="AV30" s="14">
        <v>45747</v>
      </c>
      <c r="AW30" s="14">
        <v>45747</v>
      </c>
      <c r="AY30" s="2">
        <v>9211036</v>
      </c>
      <c r="AZ30" s="14">
        <v>45747</v>
      </c>
      <c r="BA30" s="2" t="s">
        <v>412</v>
      </c>
      <c r="BB30" s="2" t="s">
        <v>413</v>
      </c>
      <c r="BC30" s="14">
        <v>45747</v>
      </c>
      <c r="BD30" s="14">
        <v>45749</v>
      </c>
      <c r="BF30" s="14">
        <v>45749</v>
      </c>
      <c r="BG30" s="14">
        <v>45750</v>
      </c>
      <c r="BH30" s="2" t="s">
        <v>485</v>
      </c>
      <c r="BI30" s="2" t="s">
        <v>273</v>
      </c>
      <c r="BJ30" s="9"/>
      <c r="BQ30" s="14">
        <v>45747</v>
      </c>
      <c r="BR30" s="14">
        <v>45747</v>
      </c>
    </row>
    <row r="31" spans="1:70" s="2" customFormat="1" ht="15" thickBot="1" x14ac:dyDescent="0.35">
      <c r="A31" s="1">
        <v>30</v>
      </c>
      <c r="B31" s="2">
        <v>250309428</v>
      </c>
      <c r="C31" s="4">
        <v>45735</v>
      </c>
      <c r="D31" s="2">
        <v>18172.86</v>
      </c>
      <c r="E31" s="2" t="s">
        <v>680</v>
      </c>
      <c r="F31" s="2" t="s">
        <v>135</v>
      </c>
      <c r="G31" s="2" t="s">
        <v>299</v>
      </c>
      <c r="H31" s="2">
        <v>1</v>
      </c>
      <c r="I31" s="58">
        <v>49452</v>
      </c>
      <c r="J31" s="2" t="s">
        <v>142</v>
      </c>
      <c r="K31" s="2" t="s">
        <v>126</v>
      </c>
      <c r="L31" s="2" t="s">
        <v>143</v>
      </c>
      <c r="M31" s="4">
        <v>45741</v>
      </c>
      <c r="N31" s="46" t="s">
        <v>572</v>
      </c>
      <c r="Q31" s="54">
        <f t="shared" si="2"/>
        <v>4</v>
      </c>
      <c r="R31" s="29">
        <f t="shared" si="3"/>
        <v>11</v>
      </c>
      <c r="T31" s="49" t="s">
        <v>477</v>
      </c>
      <c r="U31" s="2" t="s">
        <v>300</v>
      </c>
      <c r="V31" s="65" t="s">
        <v>755</v>
      </c>
      <c r="W31" s="108" t="s">
        <v>756</v>
      </c>
      <c r="X31" s="2" t="s">
        <v>301</v>
      </c>
      <c r="Y31" s="14">
        <v>45737</v>
      </c>
      <c r="Z31" s="14">
        <v>45742</v>
      </c>
      <c r="AA31" s="4">
        <v>45741</v>
      </c>
      <c r="AB31" s="4">
        <v>45741</v>
      </c>
      <c r="AC31" s="4">
        <v>45743</v>
      </c>
      <c r="AD31" s="2">
        <v>60737907041</v>
      </c>
      <c r="AE31" s="2">
        <v>4840702221</v>
      </c>
      <c r="AF31" s="2">
        <v>1</v>
      </c>
      <c r="AG31" s="2">
        <v>6</v>
      </c>
      <c r="AI31" s="2" t="s">
        <v>179</v>
      </c>
      <c r="AK31" s="4">
        <v>45740</v>
      </c>
      <c r="AL31" s="4">
        <v>45740</v>
      </c>
      <c r="AM31" s="4">
        <v>45740</v>
      </c>
      <c r="AO31" s="2">
        <v>9092320</v>
      </c>
      <c r="AP31" s="14">
        <v>45741</v>
      </c>
      <c r="AQ31" s="14">
        <v>45745</v>
      </c>
      <c r="AS31" s="14">
        <v>45748</v>
      </c>
      <c r="AT31" s="44">
        <v>49550</v>
      </c>
      <c r="AU31" s="2" t="s">
        <v>128</v>
      </c>
      <c r="AV31" s="14">
        <v>45748</v>
      </c>
      <c r="AW31" s="14">
        <v>45748</v>
      </c>
      <c r="AY31" s="2">
        <v>9231563</v>
      </c>
      <c r="AZ31" s="14">
        <v>45748</v>
      </c>
      <c r="BA31" s="2">
        <v>1586491</v>
      </c>
      <c r="BB31" s="2">
        <v>285568</v>
      </c>
      <c r="BC31" s="14">
        <v>45749</v>
      </c>
      <c r="BD31" s="14">
        <v>45750</v>
      </c>
      <c r="BF31" s="14">
        <v>45751</v>
      </c>
      <c r="BG31" s="14">
        <v>45754</v>
      </c>
      <c r="BH31" s="2" t="s">
        <v>571</v>
      </c>
      <c r="BI31" s="2" t="s">
        <v>273</v>
      </c>
      <c r="BM31" s="2" t="s">
        <v>513</v>
      </c>
      <c r="BQ31" s="14">
        <v>45748</v>
      </c>
      <c r="BR31" s="14">
        <v>45748</v>
      </c>
    </row>
    <row r="32" spans="1:70" s="2" customFormat="1" ht="29.4" thickBot="1" x14ac:dyDescent="0.35">
      <c r="A32" s="1">
        <v>31</v>
      </c>
      <c r="B32" s="2">
        <v>250309432</v>
      </c>
      <c r="C32" s="4">
        <v>45735</v>
      </c>
      <c r="D32" s="2">
        <v>18172.86</v>
      </c>
      <c r="E32" s="2" t="s">
        <v>680</v>
      </c>
      <c r="F32" s="2" t="s">
        <v>135</v>
      </c>
      <c r="G32" s="2" t="s">
        <v>299</v>
      </c>
      <c r="H32" s="2">
        <v>1</v>
      </c>
      <c r="I32" s="58">
        <v>49453</v>
      </c>
      <c r="J32" s="2" t="s">
        <v>142</v>
      </c>
      <c r="K32" s="2" t="s">
        <v>126</v>
      </c>
      <c r="L32" s="2" t="s">
        <v>143</v>
      </c>
      <c r="M32" s="4">
        <v>45741</v>
      </c>
      <c r="N32" s="46" t="s">
        <v>572</v>
      </c>
      <c r="Q32" s="54">
        <f t="shared" si="2"/>
        <v>2</v>
      </c>
      <c r="R32" s="29">
        <f t="shared" si="3"/>
        <v>11</v>
      </c>
      <c r="T32" s="2" t="s">
        <v>477</v>
      </c>
      <c r="U32" s="2" t="s">
        <v>302</v>
      </c>
      <c r="V32" s="65" t="s">
        <v>755</v>
      </c>
      <c r="W32" s="108" t="s">
        <v>756</v>
      </c>
      <c r="X32" s="2" t="s">
        <v>303</v>
      </c>
      <c r="Y32" s="14">
        <v>45737</v>
      </c>
      <c r="Z32" s="14">
        <v>45742</v>
      </c>
      <c r="AA32" s="4">
        <v>45741</v>
      </c>
      <c r="AB32" s="4">
        <v>45741</v>
      </c>
      <c r="AC32" s="4">
        <v>45743</v>
      </c>
      <c r="AD32" s="2">
        <v>60737907041</v>
      </c>
      <c r="AE32" s="2">
        <v>4840702222</v>
      </c>
      <c r="AF32" s="2">
        <v>1</v>
      </c>
      <c r="AG32" s="2">
        <v>6</v>
      </c>
      <c r="AI32" s="2" t="s">
        <v>179</v>
      </c>
      <c r="AK32" s="4">
        <v>45740</v>
      </c>
      <c r="AL32" s="4">
        <v>45740</v>
      </c>
      <c r="AM32" s="4">
        <v>45740</v>
      </c>
      <c r="AO32" s="2">
        <v>9092357</v>
      </c>
      <c r="AP32" s="14">
        <v>45741</v>
      </c>
      <c r="AQ32" s="14">
        <v>45743</v>
      </c>
      <c r="AS32" s="14">
        <v>45744</v>
      </c>
      <c r="AT32" s="44">
        <v>49501</v>
      </c>
      <c r="AU32" s="2" t="s">
        <v>128</v>
      </c>
      <c r="AV32" s="14">
        <v>45744</v>
      </c>
      <c r="AW32" s="14">
        <v>45745</v>
      </c>
      <c r="AY32" s="2">
        <v>9212154</v>
      </c>
      <c r="AZ32" s="14">
        <v>45747</v>
      </c>
      <c r="BA32" s="2">
        <v>1586491</v>
      </c>
      <c r="BB32" s="2">
        <v>285568</v>
      </c>
      <c r="BC32" s="14">
        <v>45747</v>
      </c>
      <c r="BD32" s="14">
        <v>45749</v>
      </c>
      <c r="BF32" s="14">
        <v>45751</v>
      </c>
      <c r="BG32" s="14">
        <v>45754</v>
      </c>
      <c r="BH32" s="2" t="s">
        <v>571</v>
      </c>
      <c r="BI32" s="2" t="s">
        <v>273</v>
      </c>
      <c r="BM32" s="7" t="s">
        <v>510</v>
      </c>
      <c r="BQ32" s="14">
        <v>45745</v>
      </c>
      <c r="BR32" s="14">
        <v>45747</v>
      </c>
    </row>
    <row r="33" spans="1:70" s="2" customFormat="1" ht="29.4" thickBot="1" x14ac:dyDescent="0.35">
      <c r="A33" s="1">
        <v>32</v>
      </c>
      <c r="B33" s="7" t="s">
        <v>308</v>
      </c>
      <c r="C33" s="11" t="s">
        <v>309</v>
      </c>
      <c r="D33" s="7" t="s">
        <v>310</v>
      </c>
      <c r="E33" s="2" t="s">
        <v>681</v>
      </c>
      <c r="F33" s="7" t="s">
        <v>311</v>
      </c>
      <c r="G33" s="7" t="s">
        <v>312</v>
      </c>
      <c r="H33" s="7" t="s">
        <v>313</v>
      </c>
      <c r="I33" s="58" t="s">
        <v>865</v>
      </c>
      <c r="J33" s="2" t="s">
        <v>142</v>
      </c>
      <c r="K33" s="2" t="s">
        <v>126</v>
      </c>
      <c r="L33" s="2" t="s">
        <v>143</v>
      </c>
      <c r="M33" s="4">
        <v>45741</v>
      </c>
      <c r="N33" s="46" t="s">
        <v>572</v>
      </c>
      <c r="Q33" s="54">
        <f t="shared" si="2"/>
        <v>2</v>
      </c>
      <c r="R33" s="29">
        <f t="shared" si="3"/>
        <v>11</v>
      </c>
      <c r="T33" s="2" t="s">
        <v>478</v>
      </c>
      <c r="U33" s="7" t="s">
        <v>307</v>
      </c>
      <c r="V33" s="65" t="s">
        <v>755</v>
      </c>
      <c r="W33" s="108" t="s">
        <v>756</v>
      </c>
      <c r="X33" s="2" t="s">
        <v>341</v>
      </c>
      <c r="Y33" s="14">
        <v>45743</v>
      </c>
      <c r="Z33" s="14">
        <v>45745</v>
      </c>
      <c r="AA33" s="4">
        <v>45741</v>
      </c>
      <c r="AB33" s="4">
        <v>45741</v>
      </c>
      <c r="AC33" s="4">
        <v>45743</v>
      </c>
      <c r="AD33" s="2" t="s">
        <v>314</v>
      </c>
      <c r="AE33" s="2" t="s">
        <v>315</v>
      </c>
      <c r="AF33" s="2">
        <v>2</v>
      </c>
      <c r="AG33" s="2">
        <v>14</v>
      </c>
      <c r="AI33" s="2" t="s">
        <v>180</v>
      </c>
      <c r="AK33" s="4">
        <v>45741</v>
      </c>
      <c r="AL33" s="14">
        <v>45741</v>
      </c>
      <c r="AM33" s="4">
        <v>45741</v>
      </c>
      <c r="AO33" s="2">
        <v>9104986</v>
      </c>
      <c r="AP33" s="14">
        <v>45742</v>
      </c>
      <c r="AQ33" s="14">
        <v>45743</v>
      </c>
      <c r="AS33" s="14">
        <v>45744</v>
      </c>
      <c r="AT33" s="44">
        <v>49503</v>
      </c>
      <c r="AU33" s="2" t="s">
        <v>128</v>
      </c>
      <c r="AV33" s="14">
        <v>45744</v>
      </c>
      <c r="AW33" s="14">
        <v>45745</v>
      </c>
      <c r="AY33" s="2">
        <v>9212158</v>
      </c>
      <c r="AZ33" s="14">
        <v>45747</v>
      </c>
      <c r="BA33" s="2">
        <v>5573232</v>
      </c>
      <c r="BB33" s="2">
        <v>1003182</v>
      </c>
      <c r="BC33" s="14">
        <v>45747</v>
      </c>
      <c r="BD33" s="14">
        <v>45749</v>
      </c>
      <c r="BF33" s="14">
        <v>45751</v>
      </c>
      <c r="BG33" s="14">
        <v>45754</v>
      </c>
      <c r="BH33" s="2" t="s">
        <v>571</v>
      </c>
      <c r="BI33" s="2" t="s">
        <v>273</v>
      </c>
      <c r="BM33" s="7" t="s">
        <v>510</v>
      </c>
      <c r="BQ33" s="14">
        <v>45745</v>
      </c>
      <c r="BR33" s="14">
        <v>45747</v>
      </c>
    </row>
    <row r="34" spans="1:70" s="2" customFormat="1" ht="15" thickBot="1" x14ac:dyDescent="0.35">
      <c r="A34" s="1">
        <v>33</v>
      </c>
      <c r="B34" s="2">
        <v>250312485</v>
      </c>
      <c r="C34" s="4">
        <v>45737</v>
      </c>
      <c r="D34" s="2">
        <v>173840</v>
      </c>
      <c r="E34" s="2" t="s">
        <v>680</v>
      </c>
      <c r="F34" s="2" t="s">
        <v>134</v>
      </c>
      <c r="G34" s="2" t="s">
        <v>321</v>
      </c>
      <c r="H34" s="2">
        <v>205</v>
      </c>
      <c r="I34" s="58">
        <v>49472</v>
      </c>
      <c r="J34" s="2" t="s">
        <v>142</v>
      </c>
      <c r="K34" s="2" t="s">
        <v>126</v>
      </c>
      <c r="L34" s="2" t="s">
        <v>143</v>
      </c>
      <c r="M34" s="4">
        <v>45742</v>
      </c>
      <c r="N34" s="46" t="s">
        <v>572</v>
      </c>
      <c r="Q34" s="54">
        <f t="shared" si="2"/>
        <v>3</v>
      </c>
      <c r="R34" s="29">
        <f t="shared" si="3"/>
        <v>9</v>
      </c>
      <c r="T34" s="2" t="s">
        <v>508</v>
      </c>
      <c r="U34" s="2" t="s">
        <v>152</v>
      </c>
      <c r="V34" s="65" t="s">
        <v>755</v>
      </c>
      <c r="W34" s="108" t="s">
        <v>756</v>
      </c>
      <c r="X34" s="2" t="s">
        <v>325</v>
      </c>
      <c r="Y34" s="14">
        <v>45741</v>
      </c>
      <c r="Z34" s="14">
        <v>45744</v>
      </c>
      <c r="AA34" s="4">
        <v>45742</v>
      </c>
      <c r="AB34" s="4">
        <v>45742</v>
      </c>
      <c r="AC34" s="4">
        <v>45745</v>
      </c>
      <c r="AD34" s="2">
        <v>60737207601</v>
      </c>
      <c r="AE34" s="2">
        <v>4840702678</v>
      </c>
      <c r="AF34" s="2">
        <v>1</v>
      </c>
      <c r="AG34" s="2">
        <v>14</v>
      </c>
      <c r="AI34" s="2" t="s">
        <v>179</v>
      </c>
      <c r="AK34" s="4">
        <v>45741</v>
      </c>
      <c r="AL34" s="4">
        <v>45741</v>
      </c>
      <c r="AM34" s="4">
        <v>45741</v>
      </c>
      <c r="AO34" s="2">
        <v>9129851</v>
      </c>
      <c r="AP34" s="14">
        <v>45743</v>
      </c>
      <c r="AQ34" s="14">
        <v>45745</v>
      </c>
      <c r="AS34" s="14">
        <v>45748</v>
      </c>
      <c r="AT34" s="44">
        <v>49532</v>
      </c>
      <c r="AU34" s="2" t="s">
        <v>128</v>
      </c>
      <c r="AV34" s="14">
        <v>45748</v>
      </c>
      <c r="AW34" s="14">
        <v>45748</v>
      </c>
      <c r="AY34" s="2">
        <v>9231556</v>
      </c>
      <c r="AZ34" s="14">
        <v>45748</v>
      </c>
      <c r="BA34" s="2">
        <v>15176232</v>
      </c>
      <c r="BB34" s="2">
        <v>2731722</v>
      </c>
      <c r="BC34" s="14">
        <v>45749</v>
      </c>
      <c r="BD34" s="14">
        <v>45749</v>
      </c>
      <c r="BF34" s="14">
        <v>45751</v>
      </c>
      <c r="BG34" s="14">
        <v>45754</v>
      </c>
      <c r="BH34" s="2" t="s">
        <v>571</v>
      </c>
      <c r="BI34" s="2" t="s">
        <v>273</v>
      </c>
      <c r="BM34" s="2" t="s">
        <v>513</v>
      </c>
      <c r="BQ34" s="14">
        <v>45748</v>
      </c>
      <c r="BR34" s="14">
        <v>45748</v>
      </c>
    </row>
    <row r="35" spans="1:70" s="2" customFormat="1" ht="15" thickBot="1" x14ac:dyDescent="0.35">
      <c r="A35" s="1">
        <v>34</v>
      </c>
      <c r="B35" s="2">
        <v>250312356</v>
      </c>
      <c r="C35" s="4">
        <v>45737</v>
      </c>
      <c r="D35" s="2">
        <v>254400</v>
      </c>
      <c r="E35" s="2" t="s">
        <v>680</v>
      </c>
      <c r="F35" s="2" t="s">
        <v>134</v>
      </c>
      <c r="G35" s="2" t="s">
        <v>321</v>
      </c>
      <c r="H35" s="2">
        <v>300</v>
      </c>
      <c r="I35" s="58">
        <v>49475</v>
      </c>
      <c r="J35" s="2" t="s">
        <v>142</v>
      </c>
      <c r="K35" s="2" t="s">
        <v>126</v>
      </c>
      <c r="L35" s="2" t="s">
        <v>143</v>
      </c>
      <c r="M35" s="4">
        <v>45742</v>
      </c>
      <c r="N35" s="46" t="s">
        <v>572</v>
      </c>
      <c r="Q35" s="54">
        <f t="shared" si="2"/>
        <v>3</v>
      </c>
      <c r="R35" s="29">
        <f t="shared" si="3"/>
        <v>9</v>
      </c>
      <c r="T35" s="2" t="s">
        <v>509</v>
      </c>
      <c r="U35" s="2" t="s">
        <v>322</v>
      </c>
      <c r="V35" s="65" t="s">
        <v>755</v>
      </c>
      <c r="W35" s="108" t="s">
        <v>756</v>
      </c>
      <c r="X35" s="2" t="s">
        <v>326</v>
      </c>
      <c r="Y35" s="14">
        <v>45741</v>
      </c>
      <c r="Z35" s="14">
        <v>45744</v>
      </c>
      <c r="AA35" s="4">
        <v>45742</v>
      </c>
      <c r="AB35" s="4">
        <v>45742</v>
      </c>
      <c r="AC35" s="4">
        <v>45745</v>
      </c>
      <c r="AD35" s="2">
        <v>60737207601</v>
      </c>
      <c r="AE35" s="2">
        <v>4840702679</v>
      </c>
      <c r="AF35" s="2">
        <v>1</v>
      </c>
      <c r="AG35" s="2">
        <v>14.5</v>
      </c>
      <c r="AI35" s="2" t="s">
        <v>179</v>
      </c>
      <c r="AK35" s="4">
        <v>45741</v>
      </c>
      <c r="AL35" s="4">
        <v>45741</v>
      </c>
      <c r="AM35" s="4">
        <v>45741</v>
      </c>
      <c r="AO35" s="2">
        <v>9129857</v>
      </c>
      <c r="AP35" s="14">
        <v>45743</v>
      </c>
      <c r="AQ35" s="14">
        <v>45745</v>
      </c>
      <c r="AS35" s="14">
        <v>45748</v>
      </c>
      <c r="AT35" s="44">
        <v>49539</v>
      </c>
      <c r="AU35" s="2" t="s">
        <v>440</v>
      </c>
      <c r="AV35" s="14">
        <v>45748</v>
      </c>
      <c r="AW35" s="14">
        <v>45748</v>
      </c>
      <c r="AY35" s="2">
        <v>9231559</v>
      </c>
      <c r="AZ35" s="14">
        <v>45748</v>
      </c>
      <c r="BA35" s="2">
        <v>22209120</v>
      </c>
      <c r="BB35" s="2">
        <v>254400</v>
      </c>
      <c r="BC35" s="14">
        <v>45749</v>
      </c>
      <c r="BD35" s="14">
        <v>45749</v>
      </c>
      <c r="BF35" s="14">
        <v>45751</v>
      </c>
      <c r="BG35" s="14">
        <v>45754</v>
      </c>
      <c r="BH35" s="2" t="s">
        <v>571</v>
      </c>
      <c r="BI35" s="2" t="s">
        <v>273</v>
      </c>
      <c r="BM35" s="2" t="s">
        <v>513</v>
      </c>
      <c r="BQ35" s="14">
        <v>45748</v>
      </c>
      <c r="BR35" s="14">
        <v>45748</v>
      </c>
    </row>
    <row r="36" spans="1:70" s="2" customFormat="1" ht="15" thickBot="1" x14ac:dyDescent="0.35">
      <c r="A36" s="1">
        <v>35</v>
      </c>
      <c r="B36" s="2">
        <v>250312232</v>
      </c>
      <c r="C36" s="4">
        <v>45737</v>
      </c>
      <c r="D36" s="2">
        <v>15891.36</v>
      </c>
      <c r="E36" s="2" t="s">
        <v>680</v>
      </c>
      <c r="F36" s="2" t="s">
        <v>132</v>
      </c>
      <c r="G36" s="2" t="s">
        <v>323</v>
      </c>
      <c r="H36" s="2">
        <v>6</v>
      </c>
      <c r="I36" s="58">
        <v>49476</v>
      </c>
      <c r="J36" s="2" t="s">
        <v>142</v>
      </c>
      <c r="K36" s="2" t="s">
        <v>126</v>
      </c>
      <c r="L36" s="2" t="s">
        <v>143</v>
      </c>
      <c r="M36" s="4">
        <v>45742</v>
      </c>
      <c r="N36" s="46" t="s">
        <v>572</v>
      </c>
      <c r="Q36" s="54">
        <f t="shared" si="2"/>
        <v>3</v>
      </c>
      <c r="R36" s="29">
        <f t="shared" si="3"/>
        <v>9</v>
      </c>
      <c r="T36" s="2" t="s">
        <v>438</v>
      </c>
      <c r="U36" s="2" t="s">
        <v>324</v>
      </c>
      <c r="V36" s="65" t="s">
        <v>755</v>
      </c>
      <c r="W36" s="108" t="s">
        <v>756</v>
      </c>
      <c r="X36" s="2" t="s">
        <v>327</v>
      </c>
      <c r="Y36" s="14">
        <v>45741</v>
      </c>
      <c r="Z36" s="14">
        <v>45744</v>
      </c>
      <c r="AA36" s="4">
        <v>45742</v>
      </c>
      <c r="AB36" s="4">
        <v>45742</v>
      </c>
      <c r="AC36" s="4">
        <v>45745</v>
      </c>
      <c r="AD36" s="2">
        <v>60737207601</v>
      </c>
      <c r="AE36" s="2">
        <v>4840702680</v>
      </c>
      <c r="AF36" s="2">
        <v>6</v>
      </c>
      <c r="AG36" s="2">
        <v>12.5</v>
      </c>
      <c r="AI36" s="2" t="s">
        <v>179</v>
      </c>
      <c r="AK36" s="4">
        <v>45741</v>
      </c>
      <c r="AL36" s="4">
        <v>45741</v>
      </c>
      <c r="AM36" s="4">
        <v>45741</v>
      </c>
      <c r="AO36" s="2">
        <v>9129854</v>
      </c>
      <c r="AP36" s="14">
        <v>45743</v>
      </c>
      <c r="AQ36" s="14">
        <v>45745</v>
      </c>
      <c r="AS36" s="14">
        <v>45748</v>
      </c>
      <c r="AT36" s="44">
        <v>49549</v>
      </c>
      <c r="AU36" s="2" t="s">
        <v>128</v>
      </c>
      <c r="AV36" s="14">
        <v>45748</v>
      </c>
      <c r="AW36" s="14">
        <v>45748</v>
      </c>
      <c r="AY36" s="2">
        <v>9231561</v>
      </c>
      <c r="AZ36" s="14">
        <v>45748</v>
      </c>
      <c r="BA36" s="2">
        <v>1387316</v>
      </c>
      <c r="BB36" s="2">
        <v>249717</v>
      </c>
      <c r="BC36" s="14">
        <v>45749</v>
      </c>
      <c r="BD36" s="14">
        <v>45749</v>
      </c>
      <c r="BF36" s="14">
        <v>45751</v>
      </c>
      <c r="BG36" s="14">
        <v>45754</v>
      </c>
      <c r="BH36" s="2" t="s">
        <v>571</v>
      </c>
      <c r="BI36" s="2" t="s">
        <v>273</v>
      </c>
      <c r="BM36" s="2" t="s">
        <v>513</v>
      </c>
      <c r="BQ36" s="14">
        <v>45748</v>
      </c>
      <c r="BR36" s="14">
        <v>45748</v>
      </c>
    </row>
    <row r="37" spans="1:70" s="2" customFormat="1" ht="15" thickBot="1" x14ac:dyDescent="0.35">
      <c r="A37" s="1">
        <v>36</v>
      </c>
      <c r="B37" s="2" t="s">
        <v>349</v>
      </c>
      <c r="C37" s="4">
        <v>45734</v>
      </c>
      <c r="D37" s="2">
        <v>6380</v>
      </c>
      <c r="E37" s="2" t="s">
        <v>677</v>
      </c>
      <c r="F37" s="2" t="s">
        <v>350</v>
      </c>
      <c r="G37" s="2" t="s">
        <v>351</v>
      </c>
      <c r="H37" s="2">
        <v>10</v>
      </c>
      <c r="I37" s="58">
        <v>49493</v>
      </c>
      <c r="J37" s="2" t="s">
        <v>142</v>
      </c>
      <c r="K37" s="2" t="s">
        <v>126</v>
      </c>
      <c r="L37" s="2" t="s">
        <v>143</v>
      </c>
      <c r="M37" s="4">
        <v>45744</v>
      </c>
      <c r="N37" s="46" t="s">
        <v>730</v>
      </c>
      <c r="Q37" s="54">
        <f t="shared" ref="Q37:Q68" si="4">AQ37-AB37</f>
        <v>1</v>
      </c>
      <c r="R37" s="29">
        <f t="shared" ref="R37:R68" si="5">BG37-AC37</f>
        <v>14</v>
      </c>
      <c r="T37" s="49" t="s">
        <v>713</v>
      </c>
      <c r="U37" s="2" t="s">
        <v>348</v>
      </c>
      <c r="V37" s="65" t="s">
        <v>755</v>
      </c>
      <c r="W37" s="64" t="s">
        <v>756</v>
      </c>
      <c r="X37" s="2" t="s">
        <v>471</v>
      </c>
      <c r="Y37" s="14">
        <v>45744</v>
      </c>
      <c r="Z37" s="4">
        <v>45752</v>
      </c>
      <c r="AA37" s="4">
        <v>45744</v>
      </c>
      <c r="AB37" s="4">
        <v>45744</v>
      </c>
      <c r="AC37" s="4">
        <v>45745</v>
      </c>
      <c r="AD37" s="2">
        <v>15702721482</v>
      </c>
      <c r="AE37" s="2">
        <v>412655538</v>
      </c>
      <c r="AF37" s="2">
        <v>1</v>
      </c>
      <c r="AG37" s="2">
        <v>2</v>
      </c>
      <c r="AI37" s="2" t="s">
        <v>179</v>
      </c>
      <c r="AK37" s="4">
        <v>45743</v>
      </c>
      <c r="AL37" s="4">
        <v>45743</v>
      </c>
      <c r="AM37" s="4">
        <v>45743</v>
      </c>
      <c r="AO37" s="2">
        <v>9151360</v>
      </c>
      <c r="AP37" s="14">
        <v>45744</v>
      </c>
      <c r="AQ37" s="14">
        <v>45745</v>
      </c>
      <c r="AS37" s="14">
        <v>45749</v>
      </c>
      <c r="AT37" s="44">
        <v>49582</v>
      </c>
      <c r="AU37" s="2" t="s">
        <v>128</v>
      </c>
      <c r="AV37" s="14">
        <v>45749</v>
      </c>
      <c r="AW37" s="14">
        <v>45750</v>
      </c>
      <c r="AY37" s="2">
        <v>9289609</v>
      </c>
      <c r="AZ37" s="14">
        <v>45751</v>
      </c>
      <c r="BA37" s="1">
        <v>552508</v>
      </c>
      <c r="BB37" s="2">
        <v>99451</v>
      </c>
      <c r="BC37" s="14">
        <v>45751</v>
      </c>
      <c r="BD37" s="14">
        <v>45755</v>
      </c>
      <c r="BF37" s="14">
        <v>45758</v>
      </c>
      <c r="BG37" s="14">
        <v>45759</v>
      </c>
      <c r="BH37" s="2" t="s">
        <v>729</v>
      </c>
      <c r="BI37" s="2" t="s">
        <v>273</v>
      </c>
      <c r="BM37" s="2" t="s">
        <v>472</v>
      </c>
      <c r="BQ37" s="14">
        <v>45749</v>
      </c>
      <c r="BR37" s="14">
        <v>45750</v>
      </c>
    </row>
    <row r="38" spans="1:70" s="1" customFormat="1" ht="15" thickBot="1" x14ac:dyDescent="0.35">
      <c r="A38" s="1">
        <v>37</v>
      </c>
      <c r="B38" s="1" t="s">
        <v>344</v>
      </c>
      <c r="C38" s="4">
        <v>45734</v>
      </c>
      <c r="D38" s="2">
        <v>2550</v>
      </c>
      <c r="E38" s="2" t="s">
        <v>677</v>
      </c>
      <c r="F38" s="2" t="s">
        <v>345</v>
      </c>
      <c r="G38" s="2" t="s">
        <v>346</v>
      </c>
      <c r="H38" s="2">
        <v>4</v>
      </c>
      <c r="I38" s="58">
        <v>49494</v>
      </c>
      <c r="J38" s="1" t="s">
        <v>142</v>
      </c>
      <c r="K38" s="1" t="s">
        <v>126</v>
      </c>
      <c r="L38" s="1" t="s">
        <v>143</v>
      </c>
      <c r="M38" s="4">
        <v>45744</v>
      </c>
      <c r="N38" s="46" t="s">
        <v>730</v>
      </c>
      <c r="Q38" s="54">
        <f t="shared" si="4"/>
        <v>1</v>
      </c>
      <c r="R38" s="29">
        <f t="shared" si="5"/>
        <v>14</v>
      </c>
      <c r="T38" s="2" t="s">
        <v>714</v>
      </c>
      <c r="U38" s="1" t="s">
        <v>347</v>
      </c>
      <c r="V38" s="65" t="s">
        <v>755</v>
      </c>
      <c r="W38" s="64" t="s">
        <v>756</v>
      </c>
      <c r="X38" s="2" t="s">
        <v>470</v>
      </c>
      <c r="Y38" s="14">
        <v>45749</v>
      </c>
      <c r="Z38" s="4">
        <v>45752</v>
      </c>
      <c r="AA38" s="4">
        <v>45744</v>
      </c>
      <c r="AB38" s="4">
        <v>45744</v>
      </c>
      <c r="AC38" s="4">
        <v>45745</v>
      </c>
      <c r="AD38" s="2">
        <v>15702721482</v>
      </c>
      <c r="AE38" s="2">
        <v>412655539</v>
      </c>
      <c r="AF38" s="2">
        <v>1</v>
      </c>
      <c r="AG38" s="2">
        <v>2</v>
      </c>
      <c r="AH38" s="2"/>
      <c r="AI38" s="2" t="s">
        <v>179</v>
      </c>
      <c r="AJ38" s="2"/>
      <c r="AK38" s="4">
        <v>45743</v>
      </c>
      <c r="AL38" s="4">
        <v>45743</v>
      </c>
      <c r="AM38" s="4">
        <v>45743</v>
      </c>
      <c r="AN38" s="2"/>
      <c r="AO38" s="2">
        <v>9151533</v>
      </c>
      <c r="AP38" s="14">
        <v>45744</v>
      </c>
      <c r="AQ38" s="14">
        <v>45745</v>
      </c>
      <c r="AS38" s="14">
        <v>45749</v>
      </c>
      <c r="AT38" s="44">
        <v>49583</v>
      </c>
      <c r="AU38" s="2" t="s">
        <v>128</v>
      </c>
      <c r="AV38" s="14">
        <v>45749</v>
      </c>
      <c r="AW38" s="5">
        <v>45750</v>
      </c>
      <c r="AY38" s="2">
        <v>9289317</v>
      </c>
      <c r="AZ38" s="14">
        <v>45751</v>
      </c>
      <c r="BA38" s="1">
        <v>220830</v>
      </c>
      <c r="BB38" s="2">
        <v>39749</v>
      </c>
      <c r="BC38" s="14">
        <v>45751</v>
      </c>
      <c r="BD38" s="14">
        <v>45755</v>
      </c>
      <c r="BF38" s="14">
        <v>45758</v>
      </c>
      <c r="BG38" s="14">
        <v>45759</v>
      </c>
      <c r="BH38" s="2" t="s">
        <v>729</v>
      </c>
      <c r="BI38" s="2" t="s">
        <v>273</v>
      </c>
      <c r="BM38" s="1" t="s">
        <v>472</v>
      </c>
      <c r="BQ38" s="14">
        <v>45749</v>
      </c>
      <c r="BR38" s="5">
        <v>45750</v>
      </c>
    </row>
    <row r="39" spans="1:70" s="1" customFormat="1" ht="15" thickBot="1" x14ac:dyDescent="0.35">
      <c r="A39" s="1">
        <v>38</v>
      </c>
      <c r="B39" s="1">
        <v>250315343</v>
      </c>
      <c r="C39" s="4">
        <v>45744</v>
      </c>
      <c r="D39" s="2">
        <v>12720</v>
      </c>
      <c r="E39" s="2" t="s">
        <v>677</v>
      </c>
      <c r="F39" s="2" t="s">
        <v>414</v>
      </c>
      <c r="G39" s="2" t="s">
        <v>415</v>
      </c>
      <c r="H39" s="2">
        <v>2</v>
      </c>
      <c r="I39" s="58">
        <v>49555</v>
      </c>
      <c r="J39" s="1" t="s">
        <v>142</v>
      </c>
      <c r="K39" s="1" t="s">
        <v>126</v>
      </c>
      <c r="L39" s="1" t="s">
        <v>143</v>
      </c>
      <c r="M39" s="4">
        <v>45750</v>
      </c>
      <c r="N39" s="46" t="s">
        <v>730</v>
      </c>
      <c r="Q39" s="54">
        <f t="shared" si="4"/>
        <v>5</v>
      </c>
      <c r="R39" s="29">
        <f t="shared" si="5"/>
        <v>5</v>
      </c>
      <c r="T39" s="2" t="s">
        <v>700</v>
      </c>
      <c r="U39" s="1" t="s">
        <v>416</v>
      </c>
      <c r="V39" s="65" t="s">
        <v>755</v>
      </c>
      <c r="W39" s="64" t="s">
        <v>756</v>
      </c>
      <c r="X39" s="2" t="s">
        <v>441</v>
      </c>
      <c r="Y39" s="14">
        <v>45747</v>
      </c>
      <c r="Z39" s="14">
        <v>45750</v>
      </c>
      <c r="AA39" s="4">
        <v>45750</v>
      </c>
      <c r="AB39" s="4">
        <v>45750</v>
      </c>
      <c r="AC39" s="14">
        <v>45754</v>
      </c>
      <c r="AD39" s="2">
        <v>60737907133</v>
      </c>
      <c r="AE39" s="2">
        <v>4840703677</v>
      </c>
      <c r="AF39" s="2">
        <v>2</v>
      </c>
      <c r="AG39" s="2">
        <v>5.5</v>
      </c>
      <c r="AH39" s="2"/>
      <c r="AI39" s="2" t="s">
        <v>179</v>
      </c>
      <c r="AJ39" s="2"/>
      <c r="AK39" s="4">
        <v>45746</v>
      </c>
      <c r="AL39" s="14">
        <v>45748</v>
      </c>
      <c r="AM39" s="4">
        <v>45749</v>
      </c>
      <c r="AN39" s="2"/>
      <c r="AO39" s="59">
        <v>9287572</v>
      </c>
      <c r="AP39" s="14">
        <v>45751</v>
      </c>
      <c r="AQ39" s="14">
        <v>45755</v>
      </c>
      <c r="AS39" s="5">
        <v>45755</v>
      </c>
      <c r="AT39" s="58">
        <v>49653</v>
      </c>
      <c r="AU39" s="1" t="s">
        <v>74</v>
      </c>
      <c r="AV39" s="14">
        <v>45755</v>
      </c>
      <c r="AW39" s="5">
        <v>45755</v>
      </c>
      <c r="AX39" s="5"/>
      <c r="AY39" s="2">
        <v>9392570</v>
      </c>
      <c r="AZ39" s="14">
        <v>45756</v>
      </c>
      <c r="BA39" s="1">
        <v>1101552</v>
      </c>
      <c r="BB39" s="2">
        <v>198279</v>
      </c>
      <c r="BC39" s="14">
        <v>45757</v>
      </c>
      <c r="BD39" s="5">
        <v>45757</v>
      </c>
      <c r="BF39" s="14">
        <v>45758</v>
      </c>
      <c r="BG39" s="14">
        <v>45759</v>
      </c>
      <c r="BH39" s="2" t="s">
        <v>729</v>
      </c>
      <c r="BI39" s="2" t="s">
        <v>273</v>
      </c>
      <c r="BQ39" s="2"/>
    </row>
    <row r="40" spans="1:70" s="1" customFormat="1" ht="15" thickBot="1" x14ac:dyDescent="0.35">
      <c r="A40" s="1">
        <v>39</v>
      </c>
      <c r="B40" s="1">
        <v>250314955</v>
      </c>
      <c r="C40" s="4">
        <v>45743</v>
      </c>
      <c r="D40" s="2">
        <v>18172.86</v>
      </c>
      <c r="E40" s="2" t="s">
        <v>677</v>
      </c>
      <c r="F40" s="2" t="s">
        <v>135</v>
      </c>
      <c r="G40" s="2" t="s">
        <v>417</v>
      </c>
      <c r="H40" s="2">
        <v>1</v>
      </c>
      <c r="I40" s="58">
        <v>49556</v>
      </c>
      <c r="J40" s="1" t="s">
        <v>142</v>
      </c>
      <c r="K40" s="1" t="s">
        <v>126</v>
      </c>
      <c r="L40" s="1" t="s">
        <v>143</v>
      </c>
      <c r="M40" s="4">
        <v>45750</v>
      </c>
      <c r="N40" s="46" t="s">
        <v>730</v>
      </c>
      <c r="Q40" s="54">
        <f t="shared" si="4"/>
        <v>4</v>
      </c>
      <c r="R40" s="29">
        <f t="shared" si="5"/>
        <v>5</v>
      </c>
      <c r="T40" s="2" t="s">
        <v>699</v>
      </c>
      <c r="U40" s="1" t="s">
        <v>418</v>
      </c>
      <c r="V40" s="65" t="s">
        <v>755</v>
      </c>
      <c r="W40" s="64" t="s">
        <v>756</v>
      </c>
      <c r="X40" s="2" t="s">
        <v>442</v>
      </c>
      <c r="Y40" s="14">
        <v>45747</v>
      </c>
      <c r="Z40" s="14">
        <v>45750</v>
      </c>
      <c r="AA40" s="4">
        <v>45750</v>
      </c>
      <c r="AB40" s="4">
        <v>45750</v>
      </c>
      <c r="AC40" s="14">
        <v>45754</v>
      </c>
      <c r="AD40" s="2">
        <v>60737907133</v>
      </c>
      <c r="AE40" s="2">
        <v>4840703533</v>
      </c>
      <c r="AF40" s="2">
        <v>1</v>
      </c>
      <c r="AG40" s="2">
        <v>7.5</v>
      </c>
      <c r="AH40" s="2"/>
      <c r="AI40" s="2" t="s">
        <v>179</v>
      </c>
      <c r="AJ40" s="2"/>
      <c r="AK40" s="4">
        <v>45746</v>
      </c>
      <c r="AL40" s="14">
        <v>45748</v>
      </c>
      <c r="AM40" s="4">
        <v>45749</v>
      </c>
      <c r="AN40" s="2"/>
      <c r="AO40" s="2">
        <v>9287571</v>
      </c>
      <c r="AP40" s="14">
        <v>45751</v>
      </c>
      <c r="AQ40" s="14">
        <v>45754</v>
      </c>
      <c r="AS40" s="5">
        <v>45755</v>
      </c>
      <c r="AT40" s="58">
        <v>49652</v>
      </c>
      <c r="AU40" s="1" t="s">
        <v>605</v>
      </c>
      <c r="AV40" s="60">
        <v>45755</v>
      </c>
      <c r="AW40" s="5">
        <v>45755</v>
      </c>
      <c r="AY40" s="2">
        <v>9392502</v>
      </c>
      <c r="AZ40" s="14">
        <v>45756</v>
      </c>
      <c r="BA40" s="1">
        <v>1573770</v>
      </c>
      <c r="BB40" s="2">
        <v>283279</v>
      </c>
      <c r="BC40" s="14">
        <v>45757</v>
      </c>
      <c r="BD40" s="5">
        <v>45757</v>
      </c>
      <c r="BF40" s="14">
        <v>45758</v>
      </c>
      <c r="BG40" s="14">
        <v>45759</v>
      </c>
      <c r="BH40" s="2" t="s">
        <v>729</v>
      </c>
      <c r="BI40" s="2" t="s">
        <v>273</v>
      </c>
      <c r="BQ40" s="2"/>
    </row>
    <row r="41" spans="1:70" s="2" customFormat="1" ht="43.2" x14ac:dyDescent="0.3">
      <c r="A41" s="1">
        <v>40</v>
      </c>
      <c r="B41" s="2">
        <v>6881328</v>
      </c>
      <c r="C41" s="4">
        <v>45737</v>
      </c>
      <c r="D41" s="2">
        <v>161376</v>
      </c>
      <c r="E41" s="2" t="s">
        <v>678</v>
      </c>
      <c r="F41" s="7" t="s">
        <v>138</v>
      </c>
      <c r="G41" s="7" t="s">
        <v>140</v>
      </c>
      <c r="H41" s="7" t="s">
        <v>419</v>
      </c>
      <c r="I41" s="58">
        <v>49553</v>
      </c>
      <c r="J41" s="2" t="s">
        <v>142</v>
      </c>
      <c r="K41" s="2" t="s">
        <v>126</v>
      </c>
      <c r="L41" s="2" t="s">
        <v>143</v>
      </c>
      <c r="M41" s="4">
        <v>45750</v>
      </c>
      <c r="N41" s="46" t="s">
        <v>726</v>
      </c>
      <c r="Q41" s="54">
        <f t="shared" si="4"/>
        <v>4</v>
      </c>
      <c r="R41" s="29">
        <f t="shared" si="5"/>
        <v>5</v>
      </c>
      <c r="T41" s="2" t="s">
        <v>697</v>
      </c>
      <c r="U41" s="2" t="s">
        <v>420</v>
      </c>
      <c r="V41" s="2" t="s">
        <v>384</v>
      </c>
      <c r="W41" s="64" t="s">
        <v>421</v>
      </c>
      <c r="X41" s="2">
        <v>20255035813</v>
      </c>
      <c r="Y41" s="14">
        <v>45742</v>
      </c>
      <c r="Z41" s="14">
        <v>45751</v>
      </c>
      <c r="AA41" s="4">
        <v>45750</v>
      </c>
      <c r="AB41" s="4">
        <v>45750</v>
      </c>
      <c r="AC41" s="14">
        <v>45754</v>
      </c>
      <c r="AD41" s="2">
        <v>23210557024</v>
      </c>
      <c r="AE41" s="2" t="s">
        <v>422</v>
      </c>
      <c r="AF41" s="2">
        <v>2</v>
      </c>
      <c r="AG41" s="2">
        <v>548</v>
      </c>
      <c r="AI41" s="2" t="s">
        <v>180</v>
      </c>
      <c r="AK41" s="4">
        <v>45746</v>
      </c>
      <c r="AL41" s="14">
        <v>45748</v>
      </c>
      <c r="AM41" s="4">
        <v>45749</v>
      </c>
      <c r="AO41" s="2">
        <v>9287568</v>
      </c>
      <c r="AP41" s="14">
        <v>45751</v>
      </c>
      <c r="AQ41" s="14">
        <v>45754</v>
      </c>
      <c r="AS41" s="14">
        <v>45755</v>
      </c>
      <c r="AT41" s="44">
        <v>49644</v>
      </c>
      <c r="AU41" s="2" t="s">
        <v>128</v>
      </c>
      <c r="AV41" s="14">
        <v>45755</v>
      </c>
      <c r="AW41" s="14">
        <v>45755</v>
      </c>
      <c r="AY41" s="2">
        <v>9370657</v>
      </c>
      <c r="AZ41" s="14">
        <v>45755</v>
      </c>
      <c r="BA41" s="2">
        <v>13975162</v>
      </c>
      <c r="BB41" s="2">
        <v>2515529</v>
      </c>
      <c r="BC41" s="14">
        <v>45756</v>
      </c>
      <c r="BD41" s="14">
        <v>45757</v>
      </c>
      <c r="BF41" s="14">
        <v>45758</v>
      </c>
      <c r="BG41" s="14">
        <v>45759</v>
      </c>
      <c r="BH41" s="2" t="s">
        <v>725</v>
      </c>
      <c r="BI41" s="2" t="s">
        <v>273</v>
      </c>
    </row>
    <row r="42" spans="1:70" ht="43.8" thickBot="1" x14ac:dyDescent="0.35">
      <c r="A42" s="1">
        <v>41</v>
      </c>
      <c r="B42" s="2">
        <v>6881437</v>
      </c>
      <c r="C42" s="10">
        <v>45737</v>
      </c>
      <c r="D42" s="2">
        <v>67240</v>
      </c>
      <c r="E42" s="2" t="s">
        <v>678</v>
      </c>
      <c r="F42" s="7" t="s">
        <v>138</v>
      </c>
      <c r="G42" s="7" t="s">
        <v>140</v>
      </c>
      <c r="H42" s="7" t="s">
        <v>201</v>
      </c>
      <c r="I42" s="58">
        <v>49562</v>
      </c>
      <c r="J42" s="1" t="s">
        <v>142</v>
      </c>
      <c r="K42" s="15" t="s">
        <v>126</v>
      </c>
      <c r="L42" s="15" t="s">
        <v>143</v>
      </c>
      <c r="M42" s="4">
        <v>45749</v>
      </c>
      <c r="N42" s="46" t="s">
        <v>728</v>
      </c>
      <c r="O42" s="15"/>
      <c r="Q42" s="54">
        <f t="shared" si="4"/>
        <v>3</v>
      </c>
      <c r="R42" s="29">
        <f t="shared" si="5"/>
        <v>7</v>
      </c>
      <c r="T42" s="2">
        <v>431</v>
      </c>
      <c r="U42" s="1" t="s">
        <v>428</v>
      </c>
      <c r="V42" s="1" t="s">
        <v>844</v>
      </c>
      <c r="W42" s="109" t="s">
        <v>380</v>
      </c>
      <c r="X42" s="2">
        <v>20255036451</v>
      </c>
      <c r="Y42" s="14">
        <v>45743</v>
      </c>
      <c r="Z42" s="14">
        <v>45751</v>
      </c>
      <c r="AA42" s="4">
        <v>45749</v>
      </c>
      <c r="AB42" s="4">
        <v>45749</v>
      </c>
      <c r="AC42" s="4">
        <v>45752</v>
      </c>
      <c r="AD42" s="2">
        <v>21703963621</v>
      </c>
      <c r="AE42" s="2" t="s">
        <v>429</v>
      </c>
      <c r="AF42" s="2">
        <v>1</v>
      </c>
      <c r="AG42" s="2">
        <v>229</v>
      </c>
      <c r="AH42" s="2"/>
      <c r="AI42" s="2" t="s">
        <v>180</v>
      </c>
      <c r="AJ42" s="2"/>
      <c r="AK42" s="4">
        <v>45747</v>
      </c>
      <c r="AL42" s="14">
        <v>45748</v>
      </c>
      <c r="AM42" s="4">
        <v>45749</v>
      </c>
      <c r="AN42" s="2"/>
      <c r="AO42" s="2">
        <v>9266058</v>
      </c>
      <c r="AP42" s="14">
        <v>45750</v>
      </c>
      <c r="AQ42" s="14">
        <v>45752</v>
      </c>
      <c r="AS42" s="14">
        <v>45755</v>
      </c>
      <c r="AT42" s="58">
        <v>49634</v>
      </c>
      <c r="AU42" s="2" t="s">
        <v>128</v>
      </c>
      <c r="AV42" s="14">
        <v>45755</v>
      </c>
      <c r="AW42" s="14">
        <v>45755</v>
      </c>
      <c r="AY42" s="2">
        <v>9365063</v>
      </c>
      <c r="AZ42" s="14">
        <v>45755</v>
      </c>
      <c r="BA42" s="15">
        <v>5822984</v>
      </c>
      <c r="BB42" s="2">
        <v>1048137</v>
      </c>
      <c r="BC42" s="14">
        <v>45756</v>
      </c>
      <c r="BD42" s="32">
        <v>45756</v>
      </c>
      <c r="BF42" s="14">
        <v>45758</v>
      </c>
      <c r="BG42" s="14">
        <v>45759</v>
      </c>
      <c r="BH42" s="2" t="s">
        <v>727</v>
      </c>
      <c r="BI42" s="2" t="s">
        <v>273</v>
      </c>
      <c r="BQ42" s="2"/>
      <c r="BR42" s="1"/>
    </row>
    <row r="43" spans="1:70" s="2" customFormat="1" ht="45" customHeight="1" x14ac:dyDescent="0.3">
      <c r="A43" s="1">
        <v>42</v>
      </c>
      <c r="B43" s="2">
        <v>6886274</v>
      </c>
      <c r="C43" s="4">
        <v>45741</v>
      </c>
      <c r="D43" s="2">
        <v>90774</v>
      </c>
      <c r="E43" s="2" t="s">
        <v>678</v>
      </c>
      <c r="F43" s="7" t="s">
        <v>138</v>
      </c>
      <c r="G43" s="7" t="s">
        <v>140</v>
      </c>
      <c r="H43" s="7" t="s">
        <v>443</v>
      </c>
      <c r="I43" s="58">
        <v>49558</v>
      </c>
      <c r="J43" s="2" t="s">
        <v>142</v>
      </c>
      <c r="K43" s="2" t="s">
        <v>126</v>
      </c>
      <c r="L43" s="2" t="s">
        <v>143</v>
      </c>
      <c r="M43" s="4">
        <v>45749</v>
      </c>
      <c r="N43" s="46" t="s">
        <v>726</v>
      </c>
      <c r="Q43" s="54">
        <f t="shared" si="4"/>
        <v>3</v>
      </c>
      <c r="R43" s="29">
        <f t="shared" si="5"/>
        <v>7</v>
      </c>
      <c r="T43" s="2" t="s">
        <v>638</v>
      </c>
      <c r="U43" s="2" t="s">
        <v>444</v>
      </c>
      <c r="V43" s="2" t="s">
        <v>384</v>
      </c>
      <c r="W43" s="64" t="s">
        <v>421</v>
      </c>
      <c r="X43" s="2">
        <v>20255036878</v>
      </c>
      <c r="Y43" s="14">
        <v>45744</v>
      </c>
      <c r="Z43" s="14">
        <v>45751</v>
      </c>
      <c r="AA43" s="4">
        <v>45749</v>
      </c>
      <c r="AB43" s="4">
        <v>45749</v>
      </c>
      <c r="AC43" s="4">
        <v>45752</v>
      </c>
      <c r="AD43" s="2">
        <v>21703963621</v>
      </c>
      <c r="AE43" s="2" t="s">
        <v>445</v>
      </c>
      <c r="AF43" s="2">
        <v>2</v>
      </c>
      <c r="AG43" s="2">
        <v>315</v>
      </c>
      <c r="AI43" s="2" t="s">
        <v>180</v>
      </c>
      <c r="AK43" s="4">
        <v>45747</v>
      </c>
      <c r="AL43" s="14">
        <v>45748</v>
      </c>
      <c r="AM43" s="4">
        <v>45749</v>
      </c>
      <c r="AO43" s="2">
        <v>9266138</v>
      </c>
      <c r="AP43" s="14">
        <v>45750</v>
      </c>
      <c r="AQ43" s="14">
        <v>45752</v>
      </c>
      <c r="AS43" s="14">
        <v>45754</v>
      </c>
      <c r="AT43" s="44">
        <v>49620</v>
      </c>
      <c r="AU43" s="2" t="s">
        <v>604</v>
      </c>
      <c r="AV43" s="14">
        <v>45754</v>
      </c>
      <c r="AW43" s="14">
        <v>45754</v>
      </c>
      <c r="AY43" s="2">
        <v>9347139</v>
      </c>
      <c r="AZ43" s="14">
        <v>45754</v>
      </c>
      <c r="BA43" s="2" t="s">
        <v>515</v>
      </c>
      <c r="BB43" s="49" t="s">
        <v>516</v>
      </c>
      <c r="BC43" s="14">
        <v>45755</v>
      </c>
      <c r="BD43" s="14">
        <v>45755</v>
      </c>
      <c r="BF43" s="14">
        <v>45758</v>
      </c>
      <c r="BG43" s="14">
        <v>45759</v>
      </c>
      <c r="BH43" s="2" t="s">
        <v>725</v>
      </c>
      <c r="BI43" s="2" t="s">
        <v>273</v>
      </c>
    </row>
    <row r="44" spans="1:70" s="2" customFormat="1" ht="43.2" x14ac:dyDescent="0.3">
      <c r="A44" s="1">
        <v>43</v>
      </c>
      <c r="B44" s="2">
        <v>6882612</v>
      </c>
      <c r="C44" s="4">
        <v>45740</v>
      </c>
      <c r="D44" s="2">
        <v>84050</v>
      </c>
      <c r="E44" s="2" t="s">
        <v>678</v>
      </c>
      <c r="F44" s="7" t="s">
        <v>138</v>
      </c>
      <c r="G44" s="7" t="s">
        <v>140</v>
      </c>
      <c r="H44" s="7" t="s">
        <v>446</v>
      </c>
      <c r="I44" s="58">
        <v>49560</v>
      </c>
      <c r="J44" s="2" t="s">
        <v>142</v>
      </c>
      <c r="K44" s="2" t="s">
        <v>126</v>
      </c>
      <c r="L44" s="2" t="s">
        <v>143</v>
      </c>
      <c r="M44" s="4">
        <v>45749</v>
      </c>
      <c r="N44" s="46" t="s">
        <v>726</v>
      </c>
      <c r="Q44" s="54">
        <f t="shared" si="4"/>
        <v>3</v>
      </c>
      <c r="R44" s="29">
        <f t="shared" si="5"/>
        <v>7</v>
      </c>
      <c r="T44" s="2" t="s">
        <v>639</v>
      </c>
      <c r="U44" s="2" t="s">
        <v>447</v>
      </c>
      <c r="V44" s="2" t="s">
        <v>384</v>
      </c>
      <c r="W44" s="64" t="s">
        <v>421</v>
      </c>
      <c r="X44" s="2">
        <v>20255036448</v>
      </c>
      <c r="Y44" s="14">
        <v>45743</v>
      </c>
      <c r="Z44" s="14">
        <v>45751</v>
      </c>
      <c r="AA44" s="4">
        <v>45749</v>
      </c>
      <c r="AB44" s="4">
        <v>45749</v>
      </c>
      <c r="AC44" s="4">
        <v>45752</v>
      </c>
      <c r="AD44" s="2">
        <v>21703963621</v>
      </c>
      <c r="AE44" s="2" t="s">
        <v>448</v>
      </c>
      <c r="AF44" s="2">
        <v>2</v>
      </c>
      <c r="AG44" s="2">
        <v>285</v>
      </c>
      <c r="AI44" s="2" t="s">
        <v>180</v>
      </c>
      <c r="AK44" s="4">
        <v>45747</v>
      </c>
      <c r="AL44" s="14">
        <v>45748</v>
      </c>
      <c r="AM44" s="4">
        <v>45749</v>
      </c>
      <c r="AO44" s="2">
        <v>9266136</v>
      </c>
      <c r="AP44" s="14">
        <v>45750</v>
      </c>
      <c r="AQ44" s="14">
        <v>45752</v>
      </c>
      <c r="AS44" s="14">
        <v>45754</v>
      </c>
      <c r="AT44" s="44">
        <v>49621</v>
      </c>
      <c r="AU44" s="2" t="s">
        <v>604</v>
      </c>
      <c r="AV44" s="14">
        <v>45754</v>
      </c>
      <c r="AW44" s="14">
        <v>45754</v>
      </c>
      <c r="AY44" s="49">
        <v>9347141</v>
      </c>
      <c r="AZ44" s="14">
        <v>45754</v>
      </c>
      <c r="BA44" s="49" t="s">
        <v>517</v>
      </c>
      <c r="BB44" s="2" t="s">
        <v>518</v>
      </c>
      <c r="BC44" s="14">
        <v>45755</v>
      </c>
      <c r="BD44" s="14">
        <v>45755</v>
      </c>
      <c r="BF44" s="14">
        <v>45758</v>
      </c>
      <c r="BG44" s="14">
        <v>45759</v>
      </c>
      <c r="BH44" s="2" t="s">
        <v>725</v>
      </c>
      <c r="BI44" s="2" t="s">
        <v>273</v>
      </c>
    </row>
    <row r="45" spans="1:70" s="2" customFormat="1" ht="43.2" x14ac:dyDescent="0.3">
      <c r="A45" s="1">
        <v>44</v>
      </c>
      <c r="B45" s="2">
        <v>6883238</v>
      </c>
      <c r="C45" s="4">
        <v>45739</v>
      </c>
      <c r="D45" s="2">
        <v>100860</v>
      </c>
      <c r="E45" s="2" t="s">
        <v>678</v>
      </c>
      <c r="F45" s="7" t="s">
        <v>138</v>
      </c>
      <c r="G45" s="7" t="s">
        <v>140</v>
      </c>
      <c r="H45" s="7" t="s">
        <v>451</v>
      </c>
      <c r="I45" s="58">
        <v>49564</v>
      </c>
      <c r="J45" s="2" t="s">
        <v>142</v>
      </c>
      <c r="K45" s="2" t="s">
        <v>126</v>
      </c>
      <c r="L45" s="2" t="s">
        <v>143</v>
      </c>
      <c r="M45" s="4">
        <v>45749</v>
      </c>
      <c r="N45" s="46" t="s">
        <v>724</v>
      </c>
      <c r="Q45" s="54">
        <f t="shared" si="4"/>
        <v>3</v>
      </c>
      <c r="R45" s="29">
        <f t="shared" si="5"/>
        <v>7</v>
      </c>
      <c r="T45" s="2" t="s">
        <v>640</v>
      </c>
      <c r="U45" s="2" t="s">
        <v>160</v>
      </c>
      <c r="V45" s="2" t="s">
        <v>335</v>
      </c>
      <c r="W45" s="64" t="s">
        <v>163</v>
      </c>
      <c r="X45" s="2">
        <v>20255036453</v>
      </c>
      <c r="Y45" s="14">
        <v>45743</v>
      </c>
      <c r="Z45" s="14">
        <v>45751</v>
      </c>
      <c r="AA45" s="4">
        <v>45749</v>
      </c>
      <c r="AB45" s="4">
        <v>45749</v>
      </c>
      <c r="AC45" s="4">
        <v>45752</v>
      </c>
      <c r="AD45" s="2">
        <v>21703963621</v>
      </c>
      <c r="AE45" s="2" t="s">
        <v>452</v>
      </c>
      <c r="AF45" s="2">
        <v>2</v>
      </c>
      <c r="AG45" s="2">
        <v>346</v>
      </c>
      <c r="AI45" s="2" t="s">
        <v>180</v>
      </c>
      <c r="AK45" s="4">
        <v>45747</v>
      </c>
      <c r="AL45" s="14">
        <v>45748</v>
      </c>
      <c r="AM45" s="4">
        <v>45749</v>
      </c>
      <c r="AO45" s="2">
        <v>9266057</v>
      </c>
      <c r="AP45" s="14">
        <v>45750</v>
      </c>
      <c r="AQ45" s="14">
        <v>45752</v>
      </c>
      <c r="AS45" s="14">
        <v>45754</v>
      </c>
      <c r="AT45" s="44">
        <v>49619</v>
      </c>
      <c r="AU45" s="2" t="s">
        <v>128</v>
      </c>
      <c r="AV45" s="14">
        <v>45754</v>
      </c>
      <c r="AW45" s="14">
        <v>45754</v>
      </c>
      <c r="AY45" s="49">
        <v>9353887</v>
      </c>
      <c r="AZ45" s="14">
        <v>45754</v>
      </c>
      <c r="BA45" s="2" t="s">
        <v>602</v>
      </c>
      <c r="BB45" s="49" t="s">
        <v>603</v>
      </c>
      <c r="BC45" s="14">
        <v>45755</v>
      </c>
      <c r="BD45" s="14">
        <v>45390</v>
      </c>
      <c r="BF45" s="14">
        <v>45758</v>
      </c>
      <c r="BG45" s="14">
        <v>45759</v>
      </c>
      <c r="BH45" s="2" t="s">
        <v>723</v>
      </c>
      <c r="BI45" s="2" t="s">
        <v>273</v>
      </c>
    </row>
    <row r="46" spans="1:70" s="2" customFormat="1" ht="43.2" x14ac:dyDescent="0.3">
      <c r="A46" s="1">
        <v>45</v>
      </c>
      <c r="B46" s="2">
        <v>6886292</v>
      </c>
      <c r="C46" s="4">
        <v>45741</v>
      </c>
      <c r="D46" s="2">
        <v>100860</v>
      </c>
      <c r="E46" s="2" t="s">
        <v>678</v>
      </c>
      <c r="F46" s="7" t="s">
        <v>138</v>
      </c>
      <c r="G46" s="7" t="s">
        <v>140</v>
      </c>
      <c r="H46" s="7" t="s">
        <v>451</v>
      </c>
      <c r="I46" s="58">
        <v>49565</v>
      </c>
      <c r="J46" s="2" t="s">
        <v>142</v>
      </c>
      <c r="K46" s="2" t="s">
        <v>126</v>
      </c>
      <c r="L46" s="2" t="s">
        <v>143</v>
      </c>
      <c r="M46" s="4">
        <v>45749</v>
      </c>
      <c r="N46" s="46" t="s">
        <v>724</v>
      </c>
      <c r="Q46" s="54">
        <f t="shared" si="4"/>
        <v>3</v>
      </c>
      <c r="R46" s="29">
        <f t="shared" si="5"/>
        <v>7</v>
      </c>
      <c r="T46" s="2" t="s">
        <v>640</v>
      </c>
      <c r="U46" s="2" t="s">
        <v>160</v>
      </c>
      <c r="V46" s="2" t="s">
        <v>335</v>
      </c>
      <c r="W46" s="64" t="s">
        <v>163</v>
      </c>
      <c r="X46" s="2">
        <v>20255036877</v>
      </c>
      <c r="Y46" s="14">
        <v>45744</v>
      </c>
      <c r="Z46" s="14">
        <v>45751</v>
      </c>
      <c r="AA46" s="4">
        <v>45749</v>
      </c>
      <c r="AB46" s="4">
        <v>45749</v>
      </c>
      <c r="AC46" s="4">
        <v>45752</v>
      </c>
      <c r="AD46" s="2">
        <v>21703963621</v>
      </c>
      <c r="AE46" s="2" t="s">
        <v>453</v>
      </c>
      <c r="AF46" s="2">
        <v>2</v>
      </c>
      <c r="AG46" s="2">
        <v>351</v>
      </c>
      <c r="AI46" s="2" t="s">
        <v>180</v>
      </c>
      <c r="AK46" s="4">
        <v>45747</v>
      </c>
      <c r="AL46" s="14">
        <v>45748</v>
      </c>
      <c r="AM46" s="4">
        <v>45749</v>
      </c>
      <c r="AO46" s="2">
        <v>9265895</v>
      </c>
      <c r="AP46" s="14">
        <v>45750</v>
      </c>
      <c r="AQ46" s="14">
        <v>45752</v>
      </c>
      <c r="AS46" s="14">
        <v>45754</v>
      </c>
      <c r="AT46" s="44">
        <v>49618</v>
      </c>
      <c r="AU46" s="2" t="s">
        <v>128</v>
      </c>
      <c r="AV46" s="14">
        <v>45754</v>
      </c>
      <c r="AW46" s="14">
        <v>45754</v>
      </c>
      <c r="AY46" s="2">
        <v>9347427</v>
      </c>
      <c r="AZ46" s="14">
        <v>45754</v>
      </c>
      <c r="BA46" s="49">
        <v>8734476</v>
      </c>
      <c r="BB46" s="2">
        <v>1572206</v>
      </c>
      <c r="BC46" s="14">
        <v>45755</v>
      </c>
      <c r="BD46" s="14">
        <v>45755</v>
      </c>
      <c r="BF46" s="14">
        <v>45758</v>
      </c>
      <c r="BG46" s="14">
        <v>45759</v>
      </c>
      <c r="BH46" s="2" t="s">
        <v>723</v>
      </c>
      <c r="BI46" s="2" t="s">
        <v>273</v>
      </c>
    </row>
    <row r="47" spans="1:70" s="2" customFormat="1" ht="43.2" x14ac:dyDescent="0.3">
      <c r="A47" s="1">
        <v>46</v>
      </c>
      <c r="B47" s="2">
        <v>6881439</v>
      </c>
      <c r="C47" s="14">
        <v>45736</v>
      </c>
      <c r="D47" s="2">
        <v>80688</v>
      </c>
      <c r="E47" s="2" t="s">
        <v>678</v>
      </c>
      <c r="F47" s="7" t="s">
        <v>138</v>
      </c>
      <c r="G47" s="7" t="s">
        <v>140</v>
      </c>
      <c r="H47" s="7" t="s">
        <v>423</v>
      </c>
      <c r="I47" s="58">
        <v>49554</v>
      </c>
      <c r="J47" s="2" t="s">
        <v>142</v>
      </c>
      <c r="K47" s="2" t="s">
        <v>126</v>
      </c>
      <c r="L47" s="2" t="s">
        <v>143</v>
      </c>
      <c r="M47" s="4">
        <v>45750</v>
      </c>
      <c r="N47" s="56" t="s">
        <v>776</v>
      </c>
      <c r="Q47" s="57">
        <f t="shared" si="4"/>
        <v>4</v>
      </c>
      <c r="R47" s="29">
        <f t="shared" si="5"/>
        <v>8</v>
      </c>
      <c r="T47" s="2" t="s">
        <v>712</v>
      </c>
      <c r="U47" s="2" t="s">
        <v>424</v>
      </c>
      <c r="V47" s="2" t="s">
        <v>1473</v>
      </c>
      <c r="W47" s="64" t="s">
        <v>426</v>
      </c>
      <c r="X47" s="2">
        <v>20255035809</v>
      </c>
      <c r="Y47" s="14">
        <v>45742</v>
      </c>
      <c r="Z47" s="14">
        <v>45751</v>
      </c>
      <c r="AA47" s="4">
        <v>45750</v>
      </c>
      <c r="AB47" s="4">
        <v>45750</v>
      </c>
      <c r="AC47" s="14">
        <v>45754</v>
      </c>
      <c r="AD47" s="2">
        <v>23210557024</v>
      </c>
      <c r="AE47" s="2" t="s">
        <v>427</v>
      </c>
      <c r="AF47" s="2">
        <v>1</v>
      </c>
      <c r="AG47" s="2">
        <v>274</v>
      </c>
      <c r="AI47" s="2" t="s">
        <v>180</v>
      </c>
      <c r="AK47" s="4">
        <v>45746</v>
      </c>
      <c r="AL47" s="14">
        <v>45748</v>
      </c>
      <c r="AM47" s="4">
        <v>45749</v>
      </c>
      <c r="AO47" s="2">
        <v>9287570</v>
      </c>
      <c r="AP47" s="14">
        <v>45751</v>
      </c>
      <c r="AQ47" s="14">
        <v>45754</v>
      </c>
      <c r="AS47" s="14">
        <v>45755</v>
      </c>
      <c r="AT47" s="44">
        <v>49650</v>
      </c>
      <c r="AU47" s="2" t="s">
        <v>74</v>
      </c>
      <c r="AV47" s="14">
        <v>45755</v>
      </c>
      <c r="AW47" s="14">
        <v>45755</v>
      </c>
      <c r="AY47" s="49">
        <v>9392631</v>
      </c>
      <c r="AZ47" s="14">
        <v>45756</v>
      </c>
      <c r="BA47" s="9">
        <v>6987581</v>
      </c>
      <c r="BB47" s="49">
        <v>1257765</v>
      </c>
      <c r="BC47" s="14">
        <v>45757</v>
      </c>
      <c r="BD47" s="14">
        <v>45758</v>
      </c>
      <c r="BF47" s="14">
        <v>45758</v>
      </c>
      <c r="BG47" s="14">
        <v>45762</v>
      </c>
      <c r="BH47" s="2" t="s">
        <v>775</v>
      </c>
      <c r="BI47" s="2" t="s">
        <v>273</v>
      </c>
    </row>
    <row r="48" spans="1:70" s="2" customFormat="1" ht="72" x14ac:dyDescent="0.3">
      <c r="A48" s="1">
        <v>47</v>
      </c>
      <c r="B48" s="7" t="s">
        <v>456</v>
      </c>
      <c r="C48" s="11" t="s">
        <v>462</v>
      </c>
      <c r="D48" s="7" t="s">
        <v>457</v>
      </c>
      <c r="E48" s="2" t="s">
        <v>678</v>
      </c>
      <c r="F48" s="7" t="s">
        <v>458</v>
      </c>
      <c r="G48" s="7" t="s">
        <v>459</v>
      </c>
      <c r="H48" s="7" t="s">
        <v>460</v>
      </c>
      <c r="I48" s="58">
        <v>49567</v>
      </c>
      <c r="J48" s="2" t="s">
        <v>142</v>
      </c>
      <c r="K48" s="2" t="s">
        <v>126</v>
      </c>
      <c r="L48" s="2" t="s">
        <v>143</v>
      </c>
      <c r="M48" s="4">
        <v>45749</v>
      </c>
      <c r="N48" s="46" t="s">
        <v>782</v>
      </c>
      <c r="Q48" s="57">
        <f t="shared" si="4"/>
        <v>3</v>
      </c>
      <c r="R48" s="29">
        <f t="shared" si="5"/>
        <v>10</v>
      </c>
      <c r="U48" s="7" t="s">
        <v>461</v>
      </c>
      <c r="V48" s="2" t="s">
        <v>239</v>
      </c>
      <c r="W48" s="64" t="s">
        <v>454</v>
      </c>
      <c r="X48" s="2">
        <v>20255036454</v>
      </c>
      <c r="Y48" s="14">
        <v>45743</v>
      </c>
      <c r="Z48" s="14">
        <v>45751</v>
      </c>
      <c r="AA48" s="4">
        <v>45749</v>
      </c>
      <c r="AB48" s="4">
        <v>45749</v>
      </c>
      <c r="AC48" s="4">
        <v>45752</v>
      </c>
      <c r="AD48" s="2">
        <v>21703963621</v>
      </c>
      <c r="AE48" s="2" t="s">
        <v>455</v>
      </c>
      <c r="AF48" s="2">
        <v>2</v>
      </c>
      <c r="AG48" s="2">
        <v>407</v>
      </c>
      <c r="AI48" s="2" t="s">
        <v>180</v>
      </c>
      <c r="AK48" s="4">
        <v>45747</v>
      </c>
      <c r="AL48" s="14">
        <v>45748</v>
      </c>
      <c r="AM48" s="4">
        <v>45749</v>
      </c>
      <c r="AO48" s="2">
        <v>9265897</v>
      </c>
      <c r="AP48" s="14">
        <v>45750</v>
      </c>
      <c r="AQ48" s="14">
        <v>45752</v>
      </c>
      <c r="AS48" s="14">
        <v>45755</v>
      </c>
      <c r="AT48" s="44">
        <v>49636</v>
      </c>
      <c r="AU48" s="2" t="s">
        <v>74</v>
      </c>
      <c r="AV48" s="14">
        <v>45755</v>
      </c>
      <c r="AW48" s="14">
        <v>45755</v>
      </c>
      <c r="AY48" s="2">
        <v>9392709</v>
      </c>
      <c r="AZ48" s="14">
        <v>45756</v>
      </c>
      <c r="BA48" s="2" t="s">
        <v>753</v>
      </c>
      <c r="BB48" s="2">
        <v>1834240</v>
      </c>
      <c r="BC48" s="14">
        <v>45759</v>
      </c>
      <c r="BD48" s="14">
        <v>45761</v>
      </c>
      <c r="BF48" s="14">
        <v>45762</v>
      </c>
      <c r="BG48" s="14">
        <v>45762</v>
      </c>
      <c r="BH48" s="2" t="s">
        <v>781</v>
      </c>
      <c r="BI48" s="2" t="s">
        <v>282</v>
      </c>
    </row>
    <row r="49" spans="1:70" s="2" customFormat="1" ht="43.2" x14ac:dyDescent="0.3">
      <c r="A49" s="1">
        <v>48</v>
      </c>
      <c r="B49" s="2">
        <v>6881465</v>
      </c>
      <c r="C49" s="4">
        <v>45736</v>
      </c>
      <c r="D49" s="2">
        <v>67240</v>
      </c>
      <c r="E49" s="2" t="s">
        <v>678</v>
      </c>
      <c r="F49" s="7" t="s">
        <v>138</v>
      </c>
      <c r="G49" s="7" t="s">
        <v>140</v>
      </c>
      <c r="H49" s="7" t="s">
        <v>201</v>
      </c>
      <c r="I49" s="58">
        <v>49568</v>
      </c>
      <c r="J49" s="2" t="s">
        <v>142</v>
      </c>
      <c r="K49" s="2" t="s">
        <v>126</v>
      </c>
      <c r="L49" s="2" t="s">
        <v>143</v>
      </c>
      <c r="M49" s="4">
        <v>45749</v>
      </c>
      <c r="N49" s="46" t="s">
        <v>759</v>
      </c>
      <c r="Q49" s="57">
        <f t="shared" si="4"/>
        <v>3</v>
      </c>
      <c r="R49" s="29">
        <f t="shared" si="5"/>
        <v>9</v>
      </c>
      <c r="T49" s="2" t="s">
        <v>698</v>
      </c>
      <c r="U49" s="2" t="s">
        <v>463</v>
      </c>
      <c r="V49" s="2" t="s">
        <v>161</v>
      </c>
      <c r="W49" s="64" t="s">
        <v>454</v>
      </c>
      <c r="X49" s="2">
        <v>20255036450</v>
      </c>
      <c r="Y49" s="14">
        <v>45743</v>
      </c>
      <c r="Z49" s="14">
        <v>45751</v>
      </c>
      <c r="AA49" s="4">
        <v>45749</v>
      </c>
      <c r="AB49" s="4">
        <v>45749</v>
      </c>
      <c r="AC49" s="4">
        <v>45752</v>
      </c>
      <c r="AD49" s="2">
        <v>21703963621</v>
      </c>
      <c r="AE49" s="2" t="s">
        <v>464</v>
      </c>
      <c r="AF49" s="2">
        <v>1</v>
      </c>
      <c r="AG49" s="2">
        <v>229</v>
      </c>
      <c r="AI49" s="2" t="s">
        <v>180</v>
      </c>
      <c r="AK49" s="4">
        <v>45747</v>
      </c>
      <c r="AL49" s="14">
        <v>45748</v>
      </c>
      <c r="AM49" s="4">
        <v>45749</v>
      </c>
      <c r="AO49" s="2">
        <v>9265898</v>
      </c>
      <c r="AP49" s="14">
        <v>45750</v>
      </c>
      <c r="AQ49" s="14">
        <v>45752</v>
      </c>
      <c r="AS49" s="14">
        <v>45755</v>
      </c>
      <c r="AT49" s="44">
        <v>49640</v>
      </c>
      <c r="AU49" s="2" t="s">
        <v>605</v>
      </c>
      <c r="AV49" s="14">
        <v>45755</v>
      </c>
      <c r="AW49" s="14">
        <v>45755</v>
      </c>
      <c r="AY49" s="2">
        <v>9392833</v>
      </c>
      <c r="AZ49" s="14">
        <v>45756</v>
      </c>
      <c r="BA49" s="2">
        <v>5822984</v>
      </c>
      <c r="BB49" s="2">
        <v>1048137</v>
      </c>
      <c r="BC49" s="14">
        <v>45757</v>
      </c>
      <c r="BD49" s="14">
        <v>45757</v>
      </c>
      <c r="BF49" s="14">
        <v>45759</v>
      </c>
      <c r="BG49" s="14">
        <v>45761</v>
      </c>
      <c r="BH49" s="2" t="s">
        <v>758</v>
      </c>
      <c r="BI49" s="2" t="s">
        <v>273</v>
      </c>
    </row>
    <row r="50" spans="1:70" s="2" customFormat="1" ht="43.2" x14ac:dyDescent="0.3">
      <c r="A50" s="1">
        <v>49</v>
      </c>
      <c r="B50" s="2">
        <v>6883239</v>
      </c>
      <c r="C50" s="4">
        <v>45740</v>
      </c>
      <c r="D50" s="2">
        <v>70602</v>
      </c>
      <c r="E50" s="2" t="s">
        <v>678</v>
      </c>
      <c r="F50" s="7" t="s">
        <v>138</v>
      </c>
      <c r="G50" s="7" t="s">
        <v>140</v>
      </c>
      <c r="H50" s="7" t="s">
        <v>468</v>
      </c>
      <c r="I50" s="58">
        <v>49573</v>
      </c>
      <c r="J50" s="2" t="s">
        <v>142</v>
      </c>
      <c r="K50" s="2" t="s">
        <v>126</v>
      </c>
      <c r="L50" s="2" t="s">
        <v>143</v>
      </c>
      <c r="M50" s="4">
        <v>45749</v>
      </c>
      <c r="N50" s="56" t="s">
        <v>776</v>
      </c>
      <c r="Q50" s="57">
        <f t="shared" si="4"/>
        <v>3</v>
      </c>
      <c r="R50" s="29">
        <f t="shared" si="5"/>
        <v>10</v>
      </c>
      <c r="T50" s="2" t="s">
        <v>696</v>
      </c>
      <c r="U50" s="2" t="s">
        <v>465</v>
      </c>
      <c r="V50" s="2" t="s">
        <v>1473</v>
      </c>
      <c r="W50" s="64" t="s">
        <v>426</v>
      </c>
      <c r="X50" s="2">
        <v>20255036876</v>
      </c>
      <c r="Y50" s="14">
        <v>45744</v>
      </c>
      <c r="Z50" s="14">
        <v>45751</v>
      </c>
      <c r="AA50" s="4">
        <v>45749</v>
      </c>
      <c r="AB50" s="4">
        <v>45749</v>
      </c>
      <c r="AC50" s="4">
        <v>45752</v>
      </c>
      <c r="AD50" s="2">
        <v>21703963621</v>
      </c>
      <c r="AE50" s="2" t="s">
        <v>469</v>
      </c>
      <c r="AF50" s="2">
        <v>1</v>
      </c>
      <c r="AG50" s="2">
        <v>241</v>
      </c>
      <c r="AI50" s="2" t="s">
        <v>180</v>
      </c>
      <c r="AK50" s="4">
        <v>45748</v>
      </c>
      <c r="AL50" s="14">
        <v>45749</v>
      </c>
      <c r="AM50" s="4">
        <v>45749</v>
      </c>
      <c r="AO50" s="2">
        <v>9265899</v>
      </c>
      <c r="AP50" s="14">
        <v>45750</v>
      </c>
      <c r="AQ50" s="14">
        <v>45752</v>
      </c>
      <c r="AS50" s="14">
        <v>45754</v>
      </c>
      <c r="AT50" s="44">
        <v>49617</v>
      </c>
      <c r="AU50" s="2" t="s">
        <v>605</v>
      </c>
      <c r="AV50" s="14">
        <v>45754</v>
      </c>
      <c r="AW50" s="14">
        <v>45754</v>
      </c>
      <c r="AY50" s="2">
        <v>9353796</v>
      </c>
      <c r="AZ50" s="14">
        <v>45754</v>
      </c>
      <c r="BA50" s="2">
        <v>6114133</v>
      </c>
      <c r="BB50" s="49">
        <v>1100544</v>
      </c>
      <c r="BC50" s="14">
        <v>45755</v>
      </c>
      <c r="BD50" s="14">
        <v>45755</v>
      </c>
      <c r="BF50" s="14">
        <v>45758</v>
      </c>
      <c r="BG50" s="14">
        <v>45762</v>
      </c>
      <c r="BH50" s="2" t="s">
        <v>775</v>
      </c>
      <c r="BI50" s="2" t="s">
        <v>273</v>
      </c>
    </row>
    <row r="51" spans="1:70" ht="28.8" x14ac:dyDescent="0.3">
      <c r="A51" s="1">
        <v>50</v>
      </c>
      <c r="B51" s="2">
        <v>6729310</v>
      </c>
      <c r="C51" s="30">
        <v>45643</v>
      </c>
      <c r="D51" s="2">
        <v>31815</v>
      </c>
      <c r="E51" s="2" t="s">
        <v>678</v>
      </c>
      <c r="F51" s="7" t="s">
        <v>219</v>
      </c>
      <c r="G51" s="7" t="s">
        <v>519</v>
      </c>
      <c r="H51" s="7" t="s">
        <v>520</v>
      </c>
      <c r="I51" s="58">
        <v>49622</v>
      </c>
      <c r="J51" s="1" t="s">
        <v>142</v>
      </c>
      <c r="K51" s="15" t="s">
        <v>126</v>
      </c>
      <c r="L51" s="15" t="s">
        <v>143</v>
      </c>
      <c r="M51" s="4">
        <v>45753</v>
      </c>
      <c r="N51" s="56" t="s">
        <v>788</v>
      </c>
      <c r="O51" s="1">
        <v>420</v>
      </c>
      <c r="Q51" s="57">
        <f t="shared" si="4"/>
        <v>3</v>
      </c>
      <c r="R51" s="29">
        <f t="shared" si="5"/>
        <v>7</v>
      </c>
      <c r="T51" s="49" t="s">
        <v>778</v>
      </c>
      <c r="U51" s="1" t="s">
        <v>521</v>
      </c>
      <c r="V51" s="2" t="s">
        <v>384</v>
      </c>
      <c r="W51" s="64" t="s">
        <v>421</v>
      </c>
      <c r="X51" s="2">
        <v>20255039821</v>
      </c>
      <c r="Y51" s="14">
        <v>45754</v>
      </c>
      <c r="Z51" s="14">
        <v>45757</v>
      </c>
      <c r="AA51" s="4">
        <v>45753</v>
      </c>
      <c r="AB51" s="4">
        <v>45753</v>
      </c>
      <c r="AC51" s="4">
        <v>45756</v>
      </c>
      <c r="AD51" s="2">
        <v>23210555145</v>
      </c>
      <c r="AE51" s="2" t="s">
        <v>522</v>
      </c>
      <c r="AF51" s="2">
        <v>1</v>
      </c>
      <c r="AG51" s="2">
        <v>315</v>
      </c>
      <c r="AH51" s="2"/>
      <c r="AI51" s="2" t="s">
        <v>181</v>
      </c>
      <c r="AJ51" s="2"/>
      <c r="AK51" s="4">
        <v>45753</v>
      </c>
      <c r="AL51" s="14">
        <v>45754</v>
      </c>
      <c r="AM51" s="4">
        <v>45754</v>
      </c>
      <c r="AN51" s="2"/>
      <c r="AO51" s="61">
        <v>9353751</v>
      </c>
      <c r="AP51" s="14">
        <v>45754</v>
      </c>
      <c r="AQ51" s="14">
        <v>45756</v>
      </c>
      <c r="AS51" s="5">
        <v>45758</v>
      </c>
      <c r="AT51" s="58">
        <v>49701</v>
      </c>
      <c r="AU51" s="2" t="s">
        <v>605</v>
      </c>
      <c r="AV51" s="14">
        <v>45758</v>
      </c>
      <c r="AW51" s="5">
        <v>45758</v>
      </c>
      <c r="AY51" s="2">
        <v>9778497</v>
      </c>
      <c r="AZ51" s="14">
        <v>45761</v>
      </c>
      <c r="BA51" s="15">
        <v>2755179</v>
      </c>
      <c r="BB51" s="2">
        <v>495932</v>
      </c>
      <c r="BC51" s="14">
        <v>45761</v>
      </c>
      <c r="BD51" s="15" t="s">
        <v>777</v>
      </c>
      <c r="BF51" s="14">
        <v>45763</v>
      </c>
      <c r="BG51" s="14">
        <v>45763</v>
      </c>
      <c r="BH51" s="2" t="s">
        <v>787</v>
      </c>
      <c r="BI51" s="2" t="s">
        <v>273</v>
      </c>
      <c r="BQ51" s="2"/>
      <c r="BR51" s="1"/>
    </row>
    <row r="52" spans="1:70" ht="43.2" x14ac:dyDescent="0.3">
      <c r="A52" s="1">
        <v>51</v>
      </c>
      <c r="B52" s="2">
        <v>6729306</v>
      </c>
      <c r="C52" s="30">
        <v>45643</v>
      </c>
      <c r="D52" s="2">
        <v>159075</v>
      </c>
      <c r="E52" s="2" t="s">
        <v>678</v>
      </c>
      <c r="F52" s="7" t="s">
        <v>523</v>
      </c>
      <c r="G52" s="7" t="s">
        <v>524</v>
      </c>
      <c r="H52" s="7" t="s">
        <v>525</v>
      </c>
      <c r="I52" s="58">
        <v>49624</v>
      </c>
      <c r="J52" s="1" t="s">
        <v>142</v>
      </c>
      <c r="K52" s="15" t="s">
        <v>126</v>
      </c>
      <c r="L52" s="15" t="s">
        <v>143</v>
      </c>
      <c r="M52" s="4">
        <v>45753</v>
      </c>
      <c r="N52" s="56" t="s">
        <v>788</v>
      </c>
      <c r="O52" s="1">
        <v>1780</v>
      </c>
      <c r="Q52" s="57">
        <f t="shared" si="4"/>
        <v>3</v>
      </c>
      <c r="R52" s="29">
        <f t="shared" si="5"/>
        <v>7</v>
      </c>
      <c r="T52" s="49" t="s">
        <v>779</v>
      </c>
      <c r="U52" s="1" t="s">
        <v>526</v>
      </c>
      <c r="V52" s="2" t="s">
        <v>384</v>
      </c>
      <c r="W52" s="64" t="s">
        <v>421</v>
      </c>
      <c r="X52" s="2">
        <v>20255039820</v>
      </c>
      <c r="Y52" s="14">
        <v>45754</v>
      </c>
      <c r="Z52" s="14">
        <v>45757</v>
      </c>
      <c r="AA52" s="4">
        <v>45753</v>
      </c>
      <c r="AB52" s="4">
        <v>45753</v>
      </c>
      <c r="AC52" s="4">
        <v>45756</v>
      </c>
      <c r="AD52" s="2">
        <v>23210555145</v>
      </c>
      <c r="AE52" s="2" t="s">
        <v>527</v>
      </c>
      <c r="AF52" s="2">
        <v>5</v>
      </c>
      <c r="AG52" s="2">
        <v>1575</v>
      </c>
      <c r="AH52" s="2"/>
      <c r="AI52" s="2" t="s">
        <v>181</v>
      </c>
      <c r="AJ52" s="2"/>
      <c r="AK52" s="4">
        <v>45753</v>
      </c>
      <c r="AL52" s="14">
        <v>45754</v>
      </c>
      <c r="AM52" s="4">
        <v>45754</v>
      </c>
      <c r="AN52" s="2"/>
      <c r="AO52" s="61">
        <v>9353766</v>
      </c>
      <c r="AP52" s="14">
        <v>45754</v>
      </c>
      <c r="AQ52" s="14">
        <v>45756</v>
      </c>
      <c r="AS52" s="5">
        <v>45758</v>
      </c>
      <c r="AT52" s="58">
        <v>49702</v>
      </c>
      <c r="AU52" s="15" t="s">
        <v>605</v>
      </c>
      <c r="AV52" s="14">
        <v>45758</v>
      </c>
      <c r="AW52" s="5">
        <v>45758</v>
      </c>
      <c r="AY52" s="2">
        <v>9478650</v>
      </c>
      <c r="AZ52" s="14">
        <v>45761</v>
      </c>
      <c r="BA52" s="15">
        <v>13775895</v>
      </c>
      <c r="BB52" s="2">
        <v>2479661</v>
      </c>
      <c r="BC52" s="14">
        <v>45761</v>
      </c>
      <c r="BD52" s="32">
        <v>45762</v>
      </c>
      <c r="BF52" s="14">
        <v>45763</v>
      </c>
      <c r="BG52" s="14">
        <v>45763</v>
      </c>
      <c r="BH52" s="2" t="s">
        <v>787</v>
      </c>
      <c r="BI52" s="2" t="s">
        <v>273</v>
      </c>
      <c r="BQ52" s="2"/>
      <c r="BR52" s="1"/>
    </row>
    <row r="53" spans="1:70" s="2" customFormat="1" ht="18" customHeight="1" x14ac:dyDescent="0.3">
      <c r="A53" s="1">
        <v>52</v>
      </c>
      <c r="B53" s="1">
        <v>6886397</v>
      </c>
      <c r="C53" s="74">
        <v>45742</v>
      </c>
      <c r="D53" s="1">
        <v>194996</v>
      </c>
      <c r="E53" s="1" t="s">
        <v>678</v>
      </c>
      <c r="F53" s="8" t="s">
        <v>138</v>
      </c>
      <c r="G53" s="8" t="s">
        <v>140</v>
      </c>
      <c r="H53" s="8" t="s">
        <v>449</v>
      </c>
      <c r="I53" s="83">
        <v>49563</v>
      </c>
      <c r="J53" s="1" t="s">
        <v>142</v>
      </c>
      <c r="K53" s="1" t="s">
        <v>126</v>
      </c>
      <c r="L53" s="1" t="s">
        <v>854</v>
      </c>
      <c r="M53" s="77">
        <v>45756</v>
      </c>
      <c r="N53" s="66" t="s">
        <v>850</v>
      </c>
      <c r="O53" s="1">
        <v>747</v>
      </c>
      <c r="P53" s="5">
        <v>45907</v>
      </c>
      <c r="Q53" s="67">
        <f t="shared" si="4"/>
        <v>6</v>
      </c>
      <c r="R53" s="29">
        <f t="shared" si="5"/>
        <v>6</v>
      </c>
      <c r="S53" s="1"/>
      <c r="T53" s="2" t="s">
        <v>806</v>
      </c>
      <c r="U53" s="1" t="s">
        <v>160</v>
      </c>
      <c r="V53" s="2" t="s">
        <v>335</v>
      </c>
      <c r="W53" s="1" t="s">
        <v>163</v>
      </c>
      <c r="X53" s="2">
        <v>20255039366</v>
      </c>
      <c r="Y53" s="14">
        <v>45751</v>
      </c>
      <c r="Z53" s="5">
        <v>45758</v>
      </c>
      <c r="AA53" s="69">
        <v>45756</v>
      </c>
      <c r="AB53" s="69">
        <v>45756</v>
      </c>
      <c r="AC53" s="5">
        <v>45762</v>
      </c>
      <c r="AD53" s="1">
        <v>23210556674</v>
      </c>
      <c r="AE53" s="1" t="s">
        <v>450</v>
      </c>
      <c r="AF53" s="1">
        <v>3</v>
      </c>
      <c r="AG53" s="1">
        <v>661</v>
      </c>
      <c r="AH53" s="1"/>
      <c r="AI53" s="1" t="s">
        <v>180</v>
      </c>
      <c r="AJ53" s="1"/>
      <c r="AK53" s="3">
        <v>45747</v>
      </c>
      <c r="AL53" s="5">
        <v>45748</v>
      </c>
      <c r="AM53" s="3">
        <v>45749</v>
      </c>
      <c r="AN53" s="1"/>
      <c r="AO53" s="1">
        <v>9419989</v>
      </c>
      <c r="AP53" s="14">
        <v>45758</v>
      </c>
      <c r="AQ53" s="14">
        <v>45762</v>
      </c>
      <c r="AR53" s="8" t="s">
        <v>686</v>
      </c>
      <c r="AS53" s="5">
        <v>45762</v>
      </c>
      <c r="AT53" s="58">
        <v>49762</v>
      </c>
      <c r="AU53" s="1" t="s">
        <v>74</v>
      </c>
      <c r="AV53" s="5">
        <v>45762</v>
      </c>
      <c r="AW53" s="5">
        <v>45763</v>
      </c>
      <c r="AX53" s="1"/>
      <c r="AY53" s="2">
        <v>9516359</v>
      </c>
      <c r="AZ53" s="14">
        <v>45763</v>
      </c>
      <c r="BA53" s="1">
        <v>16886654</v>
      </c>
      <c r="BB53" s="1">
        <v>3039598</v>
      </c>
      <c r="BC53" s="5">
        <v>45763</v>
      </c>
      <c r="BD53" s="5">
        <v>45764</v>
      </c>
      <c r="BE53" s="1"/>
      <c r="BF53" s="14">
        <v>45766</v>
      </c>
      <c r="BG53" s="14">
        <v>45768</v>
      </c>
      <c r="BH53" s="2" t="s">
        <v>849</v>
      </c>
      <c r="BI53" s="2" t="s">
        <v>273</v>
      </c>
      <c r="BJ53" s="1"/>
      <c r="BK53" s="1"/>
      <c r="BL53" s="1"/>
      <c r="BM53" s="1"/>
      <c r="BN53" s="1"/>
      <c r="BO53" s="1"/>
      <c r="BP53" s="1"/>
      <c r="BQ53" s="1"/>
      <c r="BR53" s="1"/>
    </row>
    <row r="54" spans="1:70" s="2" customFormat="1" ht="18" customHeight="1" x14ac:dyDescent="0.3">
      <c r="A54" s="1">
        <v>53</v>
      </c>
      <c r="B54" s="1">
        <v>6886291</v>
      </c>
      <c r="C54" s="74">
        <v>45741</v>
      </c>
      <c r="D54" s="1">
        <v>67240</v>
      </c>
      <c r="E54" s="1" t="s">
        <v>678</v>
      </c>
      <c r="F54" s="8" t="s">
        <v>138</v>
      </c>
      <c r="G54" s="8" t="s">
        <v>140</v>
      </c>
      <c r="H54" s="8" t="s">
        <v>201</v>
      </c>
      <c r="I54" s="83">
        <v>49569</v>
      </c>
      <c r="J54" s="1" t="s">
        <v>142</v>
      </c>
      <c r="K54" s="1" t="s">
        <v>126</v>
      </c>
      <c r="L54" s="1" t="s">
        <v>854</v>
      </c>
      <c r="M54" s="77">
        <v>45756</v>
      </c>
      <c r="N54" s="66" t="s">
        <v>848</v>
      </c>
      <c r="O54" s="1">
        <v>260</v>
      </c>
      <c r="P54" s="1"/>
      <c r="Q54" s="67">
        <f t="shared" si="4"/>
        <v>6</v>
      </c>
      <c r="R54" s="29">
        <f t="shared" si="5"/>
        <v>6</v>
      </c>
      <c r="S54" s="1"/>
      <c r="T54" s="2" t="s">
        <v>698</v>
      </c>
      <c r="U54" s="1" t="s">
        <v>465</v>
      </c>
      <c r="V54" s="2" t="s">
        <v>1473</v>
      </c>
      <c r="W54" s="1" t="s">
        <v>426</v>
      </c>
      <c r="X54" s="2">
        <v>20255039371</v>
      </c>
      <c r="Y54" s="5">
        <v>45751</v>
      </c>
      <c r="Z54" s="5">
        <v>45758</v>
      </c>
      <c r="AA54" s="3">
        <v>45756</v>
      </c>
      <c r="AB54" s="3">
        <v>45756</v>
      </c>
      <c r="AC54" s="5">
        <v>45762</v>
      </c>
      <c r="AD54" s="1">
        <v>23210556674</v>
      </c>
      <c r="AE54" s="1" t="s">
        <v>466</v>
      </c>
      <c r="AF54" s="1">
        <v>1</v>
      </c>
      <c r="AG54" s="1">
        <v>230</v>
      </c>
      <c r="AH54" s="1"/>
      <c r="AI54" s="1" t="s">
        <v>180</v>
      </c>
      <c r="AJ54" s="1"/>
      <c r="AK54" s="3">
        <v>45747</v>
      </c>
      <c r="AL54" s="5">
        <v>45748</v>
      </c>
      <c r="AM54" s="3">
        <v>45749</v>
      </c>
      <c r="AN54" s="1"/>
      <c r="AO54" s="1">
        <v>9419988</v>
      </c>
      <c r="AP54" s="14">
        <v>45758</v>
      </c>
      <c r="AQ54" s="14">
        <v>45762</v>
      </c>
      <c r="AR54" s="8" t="s">
        <v>686</v>
      </c>
      <c r="AS54" s="5">
        <v>45763</v>
      </c>
      <c r="AT54" s="58">
        <v>49774</v>
      </c>
      <c r="AU54" s="1" t="s">
        <v>74</v>
      </c>
      <c r="AV54" s="5">
        <v>45763</v>
      </c>
      <c r="AW54" s="5">
        <v>45763</v>
      </c>
      <c r="AX54" s="1"/>
      <c r="AY54" s="2">
        <v>9525749</v>
      </c>
      <c r="AZ54" s="14">
        <v>45763</v>
      </c>
      <c r="BA54" s="1">
        <v>5822984</v>
      </c>
      <c r="BB54" s="1">
        <v>1048137</v>
      </c>
      <c r="BC54" s="5">
        <v>45399</v>
      </c>
      <c r="BD54" s="5">
        <v>45764</v>
      </c>
      <c r="BE54" s="1"/>
      <c r="BF54" s="14">
        <v>45766</v>
      </c>
      <c r="BG54" s="14">
        <v>45768</v>
      </c>
      <c r="BH54" s="2" t="s">
        <v>847</v>
      </c>
      <c r="BI54" s="2" t="s">
        <v>273</v>
      </c>
      <c r="BJ54" s="1"/>
      <c r="BK54" s="1"/>
      <c r="BL54" s="1"/>
      <c r="BM54" s="1"/>
      <c r="BN54" s="1"/>
      <c r="BO54" s="1"/>
      <c r="BP54" s="1"/>
      <c r="BQ54" s="1"/>
      <c r="BR54" s="1"/>
    </row>
    <row r="55" spans="1:70" ht="18" customHeight="1" x14ac:dyDescent="0.3">
      <c r="A55" s="1">
        <v>54</v>
      </c>
      <c r="B55" s="1">
        <v>6730564</v>
      </c>
      <c r="C55" s="74">
        <v>45647</v>
      </c>
      <c r="D55" s="1">
        <v>31815</v>
      </c>
      <c r="E55" s="1" t="s">
        <v>678</v>
      </c>
      <c r="F55" s="8" t="s">
        <v>536</v>
      </c>
      <c r="G55" s="8" t="s">
        <v>537</v>
      </c>
      <c r="H55" s="8" t="s">
        <v>520</v>
      </c>
      <c r="I55" s="83">
        <v>49626</v>
      </c>
      <c r="J55" s="1" t="s">
        <v>142</v>
      </c>
      <c r="K55" s="1" t="s">
        <v>126</v>
      </c>
      <c r="L55" s="1" t="s">
        <v>854</v>
      </c>
      <c r="M55" s="77">
        <v>45753</v>
      </c>
      <c r="N55" s="66" t="s">
        <v>852</v>
      </c>
      <c r="O55" s="1">
        <v>328</v>
      </c>
      <c r="P55" s="1"/>
      <c r="Q55" s="67">
        <f t="shared" si="4"/>
        <v>3</v>
      </c>
      <c r="R55" s="29">
        <f t="shared" si="5"/>
        <v>12</v>
      </c>
      <c r="S55" s="1"/>
      <c r="T55" s="2" t="s">
        <v>808</v>
      </c>
      <c r="U55" s="1" t="s">
        <v>538</v>
      </c>
      <c r="V55" s="1" t="s">
        <v>204</v>
      </c>
      <c r="W55" s="1" t="s">
        <v>203</v>
      </c>
      <c r="X55" s="2">
        <v>20255039817</v>
      </c>
      <c r="Y55" s="5">
        <v>45754</v>
      </c>
      <c r="Z55" s="5">
        <v>45757</v>
      </c>
      <c r="AA55" s="3">
        <v>45753</v>
      </c>
      <c r="AB55" s="3">
        <v>45753</v>
      </c>
      <c r="AC55" s="3">
        <v>45756</v>
      </c>
      <c r="AD55" s="1">
        <v>23210555156</v>
      </c>
      <c r="AE55" s="1" t="s">
        <v>539</v>
      </c>
      <c r="AF55" s="1">
        <v>1</v>
      </c>
      <c r="AG55" s="1">
        <v>290</v>
      </c>
      <c r="AH55" s="1"/>
      <c r="AI55" s="1" t="s">
        <v>181</v>
      </c>
      <c r="AJ55" s="1"/>
      <c r="AK55" s="3">
        <v>45753</v>
      </c>
      <c r="AL55" s="5">
        <v>45754</v>
      </c>
      <c r="AM55" s="5">
        <v>45754</v>
      </c>
      <c r="AN55" s="1"/>
      <c r="AO55" s="1">
        <v>9353817</v>
      </c>
      <c r="AP55" s="14">
        <v>45754</v>
      </c>
      <c r="AQ55" s="14">
        <v>45756</v>
      </c>
      <c r="AR55" s="1"/>
      <c r="AS55" s="5">
        <v>45763</v>
      </c>
      <c r="AT55" s="58">
        <v>49721</v>
      </c>
      <c r="AU55" s="1" t="s">
        <v>74</v>
      </c>
      <c r="AV55" s="5">
        <v>45763</v>
      </c>
      <c r="AW55" s="5">
        <v>45763</v>
      </c>
      <c r="AX55" s="1"/>
      <c r="AY55" s="2">
        <v>9527103</v>
      </c>
      <c r="AZ55" s="14">
        <v>45763</v>
      </c>
      <c r="BA55" s="1">
        <v>2755179</v>
      </c>
      <c r="BB55" s="1">
        <v>495932</v>
      </c>
      <c r="BC55" s="5">
        <v>45764</v>
      </c>
      <c r="BD55" s="5">
        <v>45765</v>
      </c>
      <c r="BE55" s="1"/>
      <c r="BF55" s="14">
        <v>45766</v>
      </c>
      <c r="BG55" s="14">
        <v>45768</v>
      </c>
      <c r="BH55" s="2" t="s">
        <v>851</v>
      </c>
      <c r="BI55" s="2" t="s">
        <v>273</v>
      </c>
      <c r="BJ55" s="1"/>
      <c r="BK55" s="1"/>
      <c r="BL55" s="1"/>
      <c r="BM55" s="1" t="s">
        <v>785</v>
      </c>
      <c r="BN55" s="1"/>
      <c r="BO55" s="1"/>
      <c r="BP55" s="1"/>
      <c r="BQ55" s="1"/>
      <c r="BR55" s="1"/>
    </row>
    <row r="56" spans="1:70" ht="18" customHeight="1" x14ac:dyDescent="0.3">
      <c r="A56" s="1">
        <v>55</v>
      </c>
      <c r="B56" s="8" t="s">
        <v>552</v>
      </c>
      <c r="C56" s="75" t="s">
        <v>553</v>
      </c>
      <c r="D56" s="8" t="s">
        <v>554</v>
      </c>
      <c r="E56" s="1" t="s">
        <v>678</v>
      </c>
      <c r="F56" s="8" t="s">
        <v>555</v>
      </c>
      <c r="G56" s="8" t="s">
        <v>556</v>
      </c>
      <c r="H56" s="8" t="s">
        <v>557</v>
      </c>
      <c r="I56" s="83">
        <v>49629</v>
      </c>
      <c r="J56" s="1" t="s">
        <v>142</v>
      </c>
      <c r="K56" s="1" t="s">
        <v>126</v>
      </c>
      <c r="L56" s="1" t="s">
        <v>854</v>
      </c>
      <c r="M56" s="77">
        <v>45753</v>
      </c>
      <c r="N56" s="66" t="s">
        <v>846</v>
      </c>
      <c r="O56" s="1">
        <v>3381</v>
      </c>
      <c r="P56" s="1"/>
      <c r="Q56" s="67">
        <f t="shared" si="4"/>
        <v>5</v>
      </c>
      <c r="R56" s="29">
        <f t="shared" si="5"/>
        <v>10</v>
      </c>
      <c r="S56" s="1"/>
      <c r="T56" s="2" t="s">
        <v>805</v>
      </c>
      <c r="U56" s="8" t="s">
        <v>558</v>
      </c>
      <c r="V56" s="1" t="s">
        <v>645</v>
      </c>
      <c r="W56" s="1" t="s">
        <v>426</v>
      </c>
      <c r="X56" s="2">
        <v>20255039825</v>
      </c>
      <c r="Y56" s="5">
        <v>45754</v>
      </c>
      <c r="Z56" s="5">
        <v>45757</v>
      </c>
      <c r="AA56" s="3">
        <v>45753</v>
      </c>
      <c r="AB56" s="3">
        <v>45753</v>
      </c>
      <c r="AC56" s="3">
        <v>45758</v>
      </c>
      <c r="AD56" s="1">
        <v>23210555160</v>
      </c>
      <c r="AE56" s="1" t="s">
        <v>559</v>
      </c>
      <c r="AF56" s="1">
        <v>5</v>
      </c>
      <c r="AG56" s="1">
        <v>1268</v>
      </c>
      <c r="AH56" s="1"/>
      <c r="AI56" s="1" t="s">
        <v>181</v>
      </c>
      <c r="AJ56" s="1"/>
      <c r="AK56" s="3">
        <v>45753</v>
      </c>
      <c r="AL56" s="5">
        <v>45754</v>
      </c>
      <c r="AM56" s="3">
        <v>45754</v>
      </c>
      <c r="AN56" s="1"/>
      <c r="AO56" s="1">
        <v>9353845</v>
      </c>
      <c r="AP56" s="14">
        <v>45754</v>
      </c>
      <c r="AQ56" s="14">
        <v>45758</v>
      </c>
      <c r="AR56" s="1"/>
      <c r="AS56" s="5">
        <v>45762</v>
      </c>
      <c r="AT56" s="58">
        <v>49756</v>
      </c>
      <c r="AU56" s="1" t="s">
        <v>74</v>
      </c>
      <c r="AV56" s="5">
        <v>45762</v>
      </c>
      <c r="AW56" s="5">
        <v>45762</v>
      </c>
      <c r="AX56" s="1"/>
      <c r="AY56" s="2">
        <v>9502406</v>
      </c>
      <c r="AZ56" s="14">
        <v>45762</v>
      </c>
      <c r="BA56" s="1">
        <v>11388073</v>
      </c>
      <c r="BB56" s="1">
        <v>2049853</v>
      </c>
      <c r="BC56" s="5">
        <v>45763</v>
      </c>
      <c r="BD56" s="5">
        <v>45764</v>
      </c>
      <c r="BE56" s="1"/>
      <c r="BF56" s="14">
        <v>45766</v>
      </c>
      <c r="BG56" s="14">
        <v>45768</v>
      </c>
      <c r="BH56" s="2" t="s">
        <v>845</v>
      </c>
      <c r="BI56" s="2" t="s">
        <v>282</v>
      </c>
      <c r="BJ56" s="1"/>
      <c r="BK56" s="1"/>
      <c r="BL56" s="1"/>
      <c r="BM56" s="1"/>
      <c r="BN56" s="1"/>
      <c r="BO56" s="1"/>
      <c r="BP56" s="1"/>
      <c r="BQ56" s="1"/>
      <c r="BR56" s="1"/>
    </row>
    <row r="57" spans="1:70" ht="18" customHeight="1" x14ac:dyDescent="0.3">
      <c r="A57" s="1">
        <v>56</v>
      </c>
      <c r="B57" s="1">
        <v>6888627</v>
      </c>
      <c r="C57" s="74">
        <v>45747</v>
      </c>
      <c r="D57" s="1">
        <v>40344</v>
      </c>
      <c r="E57" s="1" t="s">
        <v>678</v>
      </c>
      <c r="F57" s="8" t="s">
        <v>131</v>
      </c>
      <c r="G57" s="8" t="s">
        <v>567</v>
      </c>
      <c r="H57" s="8" t="s">
        <v>568</v>
      </c>
      <c r="I57" s="83">
        <v>49631</v>
      </c>
      <c r="J57" s="1" t="s">
        <v>142</v>
      </c>
      <c r="K57" s="1" t="s">
        <v>126</v>
      </c>
      <c r="L57" s="1" t="s">
        <v>854</v>
      </c>
      <c r="M57" s="77">
        <v>45754</v>
      </c>
      <c r="N57" s="66" t="s">
        <v>792</v>
      </c>
      <c r="P57" s="5">
        <v>45907</v>
      </c>
      <c r="Q57" s="67">
        <f t="shared" si="4"/>
        <v>2</v>
      </c>
      <c r="R57" s="29">
        <f t="shared" si="5"/>
        <v>8</v>
      </c>
      <c r="S57" s="1"/>
      <c r="T57" s="2" t="s">
        <v>780</v>
      </c>
      <c r="U57" s="1" t="s">
        <v>569</v>
      </c>
      <c r="V57" s="1" t="s">
        <v>844</v>
      </c>
      <c r="W57" s="1" t="s">
        <v>380</v>
      </c>
      <c r="X57" s="2">
        <v>20255039398</v>
      </c>
      <c r="Y57" s="5">
        <v>45754</v>
      </c>
      <c r="Z57" s="5">
        <v>45758</v>
      </c>
      <c r="AA57" s="3">
        <v>45754</v>
      </c>
      <c r="AB57" s="3">
        <v>45754</v>
      </c>
      <c r="AC57" s="3">
        <v>45756</v>
      </c>
      <c r="AD57" s="1">
        <v>17605524934</v>
      </c>
      <c r="AE57" s="1" t="s">
        <v>570</v>
      </c>
      <c r="AF57" s="1">
        <v>1</v>
      </c>
      <c r="AG57" s="1">
        <v>143</v>
      </c>
      <c r="AH57" s="1"/>
      <c r="AI57" s="1" t="s">
        <v>180</v>
      </c>
      <c r="AJ57" s="1"/>
      <c r="AK57" s="3">
        <v>45752</v>
      </c>
      <c r="AL57" s="5">
        <v>45754</v>
      </c>
      <c r="AM57" s="5">
        <v>45754</v>
      </c>
      <c r="AN57" s="1"/>
      <c r="AO57" s="1">
        <v>9353859</v>
      </c>
      <c r="AP57" s="14">
        <v>45754</v>
      </c>
      <c r="AQ57" s="14">
        <v>45756</v>
      </c>
      <c r="AR57" s="1"/>
      <c r="AS57" s="5">
        <v>45759</v>
      </c>
      <c r="AT57" s="58">
        <v>49718</v>
      </c>
      <c r="AU57" s="1" t="s">
        <v>605</v>
      </c>
      <c r="AV57" s="5">
        <v>45759</v>
      </c>
      <c r="AW57" s="5">
        <v>45761</v>
      </c>
      <c r="AX57" s="1"/>
      <c r="AY57" s="2">
        <v>9478612</v>
      </c>
      <c r="AZ57" s="14">
        <v>45761</v>
      </c>
      <c r="BA57" s="1">
        <v>3493790</v>
      </c>
      <c r="BB57" s="1">
        <v>628882</v>
      </c>
      <c r="BC57" s="5">
        <v>45761</v>
      </c>
      <c r="BD57" s="5">
        <v>45762</v>
      </c>
      <c r="BE57" s="1"/>
      <c r="BF57" s="14">
        <v>45763</v>
      </c>
      <c r="BG57" s="14">
        <v>45764</v>
      </c>
      <c r="BH57" s="2" t="s">
        <v>793</v>
      </c>
      <c r="BI57" s="2" t="s">
        <v>273</v>
      </c>
      <c r="BJ57" s="1"/>
      <c r="BK57" s="1"/>
      <c r="BL57" s="1"/>
      <c r="BM57" s="1"/>
      <c r="BN57" s="1"/>
      <c r="BO57" s="1"/>
      <c r="BP57" s="1"/>
      <c r="BQ57" s="1"/>
      <c r="BR57" s="1"/>
    </row>
    <row r="58" spans="1:70" ht="18" customHeight="1" x14ac:dyDescent="0.3">
      <c r="A58" s="1">
        <v>57</v>
      </c>
      <c r="B58" s="1">
        <v>6730255</v>
      </c>
      <c r="C58" s="74">
        <v>45645</v>
      </c>
      <c r="D58" s="1">
        <v>12726</v>
      </c>
      <c r="E58" s="1" t="s">
        <v>678</v>
      </c>
      <c r="F58" s="8" t="s">
        <v>573</v>
      </c>
      <c r="G58" s="8" t="s">
        <v>574</v>
      </c>
      <c r="H58" s="8" t="s">
        <v>575</v>
      </c>
      <c r="I58" s="83">
        <v>49635</v>
      </c>
      <c r="J58" s="1" t="s">
        <v>142</v>
      </c>
      <c r="K58" s="1" t="s">
        <v>126</v>
      </c>
      <c r="L58" s="1" t="s">
        <v>854</v>
      </c>
      <c r="M58" s="77">
        <v>45755</v>
      </c>
      <c r="N58" s="66" t="s">
        <v>846</v>
      </c>
      <c r="P58" s="1"/>
      <c r="Q58" s="67">
        <f t="shared" si="4"/>
        <v>3</v>
      </c>
      <c r="R58" s="29">
        <f t="shared" si="5"/>
        <v>10</v>
      </c>
      <c r="S58" s="1"/>
      <c r="T58" s="2" t="s">
        <v>809</v>
      </c>
      <c r="U58" s="1" t="s">
        <v>576</v>
      </c>
      <c r="V58" s="1" t="s">
        <v>645</v>
      </c>
      <c r="W58" s="79" t="s">
        <v>426</v>
      </c>
      <c r="X58" s="2" t="s">
        <v>691</v>
      </c>
      <c r="Y58" s="5">
        <v>45754</v>
      </c>
      <c r="Z58" s="5">
        <v>45757</v>
      </c>
      <c r="AA58" s="3">
        <v>45755</v>
      </c>
      <c r="AB58" s="3">
        <v>45755</v>
      </c>
      <c r="AC58" s="3">
        <v>45758</v>
      </c>
      <c r="AD58" s="1">
        <v>91018002051</v>
      </c>
      <c r="AE58" s="1" t="s">
        <v>613</v>
      </c>
      <c r="AF58" s="1">
        <v>1</v>
      </c>
      <c r="AG58" s="1">
        <v>133</v>
      </c>
      <c r="AH58" s="1"/>
      <c r="AI58" s="1" t="s">
        <v>611</v>
      </c>
      <c r="AJ58" s="1"/>
      <c r="AK58" s="3">
        <v>45753</v>
      </c>
      <c r="AL58" s="5">
        <v>45755</v>
      </c>
      <c r="AM58" s="3">
        <v>45755</v>
      </c>
      <c r="AN58" s="1"/>
      <c r="AO58" s="71">
        <v>9372331</v>
      </c>
      <c r="AP58" s="14">
        <v>45755</v>
      </c>
      <c r="AQ58" s="14">
        <v>45758</v>
      </c>
      <c r="AR58" s="1"/>
      <c r="AS58" s="5">
        <v>45762</v>
      </c>
      <c r="AT58" s="58">
        <v>49761</v>
      </c>
      <c r="AU58" s="1" t="s">
        <v>605</v>
      </c>
      <c r="AV58" s="5">
        <v>45762</v>
      </c>
      <c r="AW58" s="5">
        <v>45763</v>
      </c>
      <c r="AX58" s="1"/>
      <c r="AY58" s="2">
        <v>9525643</v>
      </c>
      <c r="AZ58" s="14">
        <v>45763</v>
      </c>
      <c r="BA58" s="1">
        <v>1102072</v>
      </c>
      <c r="BB58" s="1">
        <v>198373</v>
      </c>
      <c r="BC58" s="5">
        <v>45764</v>
      </c>
      <c r="BD58" s="5">
        <v>45764</v>
      </c>
      <c r="BE58" s="1"/>
      <c r="BF58" s="14">
        <v>45766</v>
      </c>
      <c r="BG58" s="14">
        <v>45768</v>
      </c>
      <c r="BH58" s="2" t="s">
        <v>845</v>
      </c>
      <c r="BI58" s="2" t="s">
        <v>282</v>
      </c>
      <c r="BJ58" s="1"/>
      <c r="BK58" s="1"/>
      <c r="BL58" s="1"/>
      <c r="BM58" s="1"/>
      <c r="BN58" s="1"/>
      <c r="BO58" s="1"/>
      <c r="BP58" s="1"/>
      <c r="BQ58" s="1"/>
      <c r="BR58" s="1"/>
    </row>
    <row r="59" spans="1:70" ht="18" customHeight="1" x14ac:dyDescent="0.3">
      <c r="A59" s="1">
        <v>58</v>
      </c>
      <c r="B59" s="1">
        <v>6888596</v>
      </c>
      <c r="C59" s="74">
        <v>45747</v>
      </c>
      <c r="D59" s="1">
        <v>3362</v>
      </c>
      <c r="E59" s="1" t="s">
        <v>678</v>
      </c>
      <c r="F59" s="8" t="s">
        <v>131</v>
      </c>
      <c r="G59" s="8" t="s">
        <v>567</v>
      </c>
      <c r="H59" s="8" t="s">
        <v>615</v>
      </c>
      <c r="I59" s="83">
        <v>49655</v>
      </c>
      <c r="J59" s="1" t="s">
        <v>142</v>
      </c>
      <c r="K59" s="1" t="s">
        <v>126</v>
      </c>
      <c r="L59" s="1" t="s">
        <v>854</v>
      </c>
      <c r="M59" s="77">
        <v>45754</v>
      </c>
      <c r="N59" s="66" t="s">
        <v>850</v>
      </c>
      <c r="O59" s="1">
        <v>3490</v>
      </c>
      <c r="P59" s="1"/>
      <c r="Q59" s="67">
        <f t="shared" si="4"/>
        <v>4</v>
      </c>
      <c r="R59" s="29">
        <f t="shared" si="5"/>
        <v>10</v>
      </c>
      <c r="S59" s="1"/>
      <c r="T59" s="2" t="s">
        <v>807</v>
      </c>
      <c r="U59" s="1" t="s">
        <v>160</v>
      </c>
      <c r="V59" s="2" t="s">
        <v>335</v>
      </c>
      <c r="W59" s="1" t="s">
        <v>163</v>
      </c>
      <c r="X59" s="2">
        <v>20255039405</v>
      </c>
      <c r="Y59" s="5">
        <v>45751</v>
      </c>
      <c r="Z59" s="5">
        <v>45758</v>
      </c>
      <c r="AA59" s="3">
        <v>45754</v>
      </c>
      <c r="AB59" s="3">
        <v>45754</v>
      </c>
      <c r="AC59" s="3">
        <v>45758</v>
      </c>
      <c r="AD59" s="1">
        <v>17605524934</v>
      </c>
      <c r="AE59" s="1" t="s">
        <v>616</v>
      </c>
      <c r="AF59" s="1">
        <v>1</v>
      </c>
      <c r="AG59" s="1">
        <v>18</v>
      </c>
      <c r="AH59" s="1"/>
      <c r="AI59" s="1" t="s">
        <v>180</v>
      </c>
      <c r="AJ59" s="1"/>
      <c r="AK59" s="3">
        <v>45755</v>
      </c>
      <c r="AL59" s="5">
        <v>45755</v>
      </c>
      <c r="AM59" s="5">
        <v>45755</v>
      </c>
      <c r="AN59" s="1"/>
      <c r="AO59" s="71">
        <v>9376758</v>
      </c>
      <c r="AP59" s="14">
        <v>45756</v>
      </c>
      <c r="AQ59" s="14">
        <v>45758</v>
      </c>
      <c r="AR59" s="8" t="s">
        <v>617</v>
      </c>
      <c r="AS59" s="5">
        <v>45762</v>
      </c>
      <c r="AT59" s="58">
        <v>49765</v>
      </c>
      <c r="AU59" s="1" t="s">
        <v>74</v>
      </c>
      <c r="AV59" s="5">
        <v>45762</v>
      </c>
      <c r="AW59" s="5">
        <v>45763</v>
      </c>
      <c r="AX59" s="1"/>
      <c r="AY59" s="2">
        <v>9516358</v>
      </c>
      <c r="AZ59" s="14">
        <v>45763</v>
      </c>
      <c r="BA59" s="1">
        <v>291149</v>
      </c>
      <c r="BB59" s="1">
        <v>52407</v>
      </c>
      <c r="BC59" s="5">
        <v>45763</v>
      </c>
      <c r="BD59" s="5">
        <v>45764</v>
      </c>
      <c r="BE59" s="1"/>
      <c r="BF59" s="14">
        <v>45766</v>
      </c>
      <c r="BG59" s="14">
        <v>45768</v>
      </c>
      <c r="BH59" s="2" t="s">
        <v>849</v>
      </c>
      <c r="BI59" s="2" t="s">
        <v>273</v>
      </c>
      <c r="BJ59" s="1"/>
      <c r="BK59" s="1"/>
      <c r="BL59" s="1"/>
      <c r="BM59" s="1"/>
      <c r="BN59" s="1"/>
      <c r="BO59" s="1"/>
      <c r="BP59" s="1"/>
      <c r="BQ59" s="1"/>
      <c r="BR59" s="1"/>
    </row>
    <row r="60" spans="1:70" ht="18" customHeight="1" x14ac:dyDescent="0.3">
      <c r="A60" s="1">
        <v>59</v>
      </c>
      <c r="B60" s="1">
        <v>6732558</v>
      </c>
      <c r="C60" s="74">
        <v>45656</v>
      </c>
      <c r="D60" s="1">
        <v>127260</v>
      </c>
      <c r="E60" s="1" t="s">
        <v>678</v>
      </c>
      <c r="F60" s="8" t="s">
        <v>219</v>
      </c>
      <c r="G60" s="8" t="s">
        <v>519</v>
      </c>
      <c r="H60" s="8" t="s">
        <v>582</v>
      </c>
      <c r="I60" s="83">
        <v>49673</v>
      </c>
      <c r="J60" s="1" t="s">
        <v>142</v>
      </c>
      <c r="K60" s="1" t="s">
        <v>126</v>
      </c>
      <c r="L60" s="1" t="s">
        <v>854</v>
      </c>
      <c r="M60" s="77">
        <v>45757</v>
      </c>
      <c r="N60" s="66" t="s">
        <v>848</v>
      </c>
      <c r="O60" s="1">
        <v>4645</v>
      </c>
      <c r="P60" s="1"/>
      <c r="Q60" s="67">
        <f t="shared" si="4"/>
        <v>5</v>
      </c>
      <c r="R60" s="29">
        <f t="shared" si="5"/>
        <v>6</v>
      </c>
      <c r="S60" s="1"/>
      <c r="U60" s="1" t="s">
        <v>649</v>
      </c>
      <c r="V60" s="2" t="s">
        <v>1473</v>
      </c>
      <c r="W60" s="71" t="s">
        <v>426</v>
      </c>
      <c r="X60" s="2">
        <v>20255039330</v>
      </c>
      <c r="Y60" s="5">
        <v>45751</v>
      </c>
      <c r="Z60" s="5">
        <v>45758</v>
      </c>
      <c r="AA60" s="3">
        <v>45756</v>
      </c>
      <c r="AB60" s="3">
        <v>45757</v>
      </c>
      <c r="AC60" s="5">
        <v>45762</v>
      </c>
      <c r="AD60" s="1">
        <v>17608001910</v>
      </c>
      <c r="AE60" s="1" t="s">
        <v>670</v>
      </c>
      <c r="AF60" s="1">
        <v>4</v>
      </c>
      <c r="AG60" s="1">
        <v>1178.5</v>
      </c>
      <c r="AH60" s="1"/>
      <c r="AI60" s="1" t="s">
        <v>180</v>
      </c>
      <c r="AJ60" s="1"/>
      <c r="AK60" s="3">
        <v>45755</v>
      </c>
      <c r="AL60" s="5">
        <v>45756</v>
      </c>
      <c r="AM60" s="3">
        <v>45756</v>
      </c>
      <c r="AN60" s="1"/>
      <c r="AO60" s="1">
        <v>9419993</v>
      </c>
      <c r="AP60" s="14">
        <v>45758</v>
      </c>
      <c r="AQ60" s="14">
        <v>45762</v>
      </c>
      <c r="AR60" s="8" t="s">
        <v>686</v>
      </c>
      <c r="AS60" s="5">
        <v>45763</v>
      </c>
      <c r="AT60" s="58">
        <v>49781</v>
      </c>
      <c r="AU60" s="1" t="s">
        <v>74</v>
      </c>
      <c r="AV60" s="5">
        <v>45763</v>
      </c>
      <c r="AW60" s="5">
        <v>45763</v>
      </c>
      <c r="AX60" s="1"/>
      <c r="AY60" s="2">
        <v>9534010</v>
      </c>
      <c r="AZ60" s="14">
        <v>45764</v>
      </c>
      <c r="BA60" s="1">
        <v>11020716</v>
      </c>
      <c r="BB60" s="1">
        <v>1983729</v>
      </c>
      <c r="BC60" s="5">
        <v>45764</v>
      </c>
      <c r="BD60" s="5">
        <v>45764</v>
      </c>
      <c r="BE60" s="1"/>
      <c r="BF60" s="14">
        <v>45766</v>
      </c>
      <c r="BG60" s="14">
        <v>45768</v>
      </c>
      <c r="BH60" s="2" t="s">
        <v>847</v>
      </c>
      <c r="BI60" s="2" t="s">
        <v>273</v>
      </c>
      <c r="BJ60" s="1"/>
      <c r="BK60" s="1"/>
      <c r="BL60" s="1"/>
      <c r="BM60" s="1"/>
      <c r="BN60" s="1"/>
      <c r="BO60" s="1"/>
      <c r="BP60" s="1"/>
      <c r="BQ60" s="1"/>
      <c r="BR60" s="1"/>
    </row>
    <row r="61" spans="1:70" ht="18" customHeight="1" x14ac:dyDescent="0.3">
      <c r="A61" s="1">
        <v>60</v>
      </c>
      <c r="B61" s="8" t="s">
        <v>583</v>
      </c>
      <c r="C61" s="75" t="s">
        <v>584</v>
      </c>
      <c r="D61" s="8" t="s">
        <v>585</v>
      </c>
      <c r="E61" s="1" t="s">
        <v>678</v>
      </c>
      <c r="F61" s="8" t="s">
        <v>586</v>
      </c>
      <c r="G61" s="8" t="s">
        <v>587</v>
      </c>
      <c r="H61" s="8" t="s">
        <v>588</v>
      </c>
      <c r="I61" s="83">
        <v>49643</v>
      </c>
      <c r="J61" s="2" t="s">
        <v>142</v>
      </c>
      <c r="K61" s="1" t="s">
        <v>126</v>
      </c>
      <c r="L61" s="1" t="s">
        <v>854</v>
      </c>
      <c r="M61" s="77">
        <v>45755</v>
      </c>
      <c r="N61" s="70" t="s">
        <v>872</v>
      </c>
      <c r="P61" s="1"/>
      <c r="Q61" s="67">
        <f t="shared" si="4"/>
        <v>3</v>
      </c>
      <c r="R61" s="29">
        <f t="shared" si="5"/>
        <v>12</v>
      </c>
      <c r="S61" s="1"/>
      <c r="T61" s="2" t="s">
        <v>813</v>
      </c>
      <c r="U61" s="8" t="s">
        <v>589</v>
      </c>
      <c r="V61" s="1" t="s">
        <v>161</v>
      </c>
      <c r="W61" s="1" t="s">
        <v>454</v>
      </c>
      <c r="X61" s="2" t="s">
        <v>690</v>
      </c>
      <c r="Y61" s="5">
        <v>45754</v>
      </c>
      <c r="Z61" s="5">
        <v>45757</v>
      </c>
      <c r="AA61" s="3">
        <v>45755</v>
      </c>
      <c r="AB61" s="3">
        <v>45755</v>
      </c>
      <c r="AC61" s="3">
        <v>45758</v>
      </c>
      <c r="AD61" s="1">
        <v>91018002062</v>
      </c>
      <c r="AE61" s="1" t="s">
        <v>608</v>
      </c>
      <c r="AF61" s="1">
        <v>3</v>
      </c>
      <c r="AG61" s="1">
        <v>546</v>
      </c>
      <c r="AH61" s="1"/>
      <c r="AI61" s="1" t="s">
        <v>260</v>
      </c>
      <c r="AJ61" s="1"/>
      <c r="AK61" s="3">
        <v>45753</v>
      </c>
      <c r="AL61" s="5">
        <v>45755</v>
      </c>
      <c r="AM61" s="3">
        <v>45755</v>
      </c>
      <c r="AN61" s="1"/>
      <c r="AO61" s="71">
        <v>9376760</v>
      </c>
      <c r="AP61" s="14">
        <v>45756</v>
      </c>
      <c r="AQ61" s="14">
        <v>45758</v>
      </c>
      <c r="AR61" s="1"/>
      <c r="AS61" s="5">
        <v>45762</v>
      </c>
      <c r="AT61" s="58">
        <v>49770</v>
      </c>
      <c r="AU61" s="1" t="s">
        <v>74</v>
      </c>
      <c r="AV61" s="5">
        <v>45762</v>
      </c>
      <c r="AW61" s="5">
        <v>45763</v>
      </c>
      <c r="AX61" s="1"/>
      <c r="AY61" s="2">
        <v>9526018</v>
      </c>
      <c r="AZ61" s="14">
        <v>45763</v>
      </c>
      <c r="BA61" s="1">
        <v>4591965</v>
      </c>
      <c r="BB61" s="1">
        <v>826554</v>
      </c>
      <c r="BC61" s="5">
        <v>45764</v>
      </c>
      <c r="BD61" s="5">
        <v>45764</v>
      </c>
      <c r="BE61" s="1"/>
      <c r="BF61" s="14">
        <v>45766</v>
      </c>
      <c r="BG61" s="14">
        <v>45770</v>
      </c>
      <c r="BH61" s="2" t="s">
        <v>871</v>
      </c>
      <c r="BI61" s="2" t="s">
        <v>273</v>
      </c>
      <c r="BJ61" s="1"/>
      <c r="BK61" s="1"/>
      <c r="BL61" s="1"/>
      <c r="BM61" s="1"/>
      <c r="BN61" s="1"/>
      <c r="BO61" s="1"/>
      <c r="BP61" s="1"/>
      <c r="BQ61" s="1"/>
      <c r="BR61" s="1"/>
    </row>
    <row r="62" spans="1:70" ht="18" customHeight="1" x14ac:dyDescent="0.3">
      <c r="A62" s="1">
        <v>61</v>
      </c>
      <c r="B62" s="8" t="s">
        <v>590</v>
      </c>
      <c r="C62" s="75" t="s">
        <v>584</v>
      </c>
      <c r="D62" s="8" t="s">
        <v>591</v>
      </c>
      <c r="E62" s="1" t="s">
        <v>678</v>
      </c>
      <c r="F62" s="8" t="s">
        <v>592</v>
      </c>
      <c r="G62" s="8" t="s">
        <v>593</v>
      </c>
      <c r="H62" s="8" t="s">
        <v>594</v>
      </c>
      <c r="I62" s="83">
        <v>49645</v>
      </c>
      <c r="J62" s="2" t="s">
        <v>142</v>
      </c>
      <c r="K62" s="1" t="s">
        <v>126</v>
      </c>
      <c r="L62" s="1" t="s">
        <v>854</v>
      </c>
      <c r="M62" s="77">
        <v>45755</v>
      </c>
      <c r="N62" s="70" t="s">
        <v>873</v>
      </c>
      <c r="P62" s="1"/>
      <c r="Q62" s="67">
        <f t="shared" si="4"/>
        <v>3</v>
      </c>
      <c r="R62" s="29">
        <f t="shared" si="5"/>
        <v>12</v>
      </c>
      <c r="S62" s="1"/>
      <c r="T62" s="2" t="s">
        <v>812</v>
      </c>
      <c r="U62" s="8" t="s">
        <v>595</v>
      </c>
      <c r="V62" s="1" t="s">
        <v>239</v>
      </c>
      <c r="W62" s="1" t="s">
        <v>454</v>
      </c>
      <c r="X62" s="2" t="s">
        <v>688</v>
      </c>
      <c r="Y62" s="5">
        <v>45754</v>
      </c>
      <c r="Z62" s="5">
        <v>45757</v>
      </c>
      <c r="AA62" s="3">
        <v>45755</v>
      </c>
      <c r="AB62" s="3">
        <v>45755</v>
      </c>
      <c r="AC62" s="3">
        <v>45758</v>
      </c>
      <c r="AD62" s="1">
        <v>91018002040</v>
      </c>
      <c r="AE62" s="1" t="s">
        <v>609</v>
      </c>
      <c r="AF62" s="1">
        <v>3</v>
      </c>
      <c r="AG62" s="1">
        <v>189</v>
      </c>
      <c r="AH62" s="1"/>
      <c r="AI62" s="1" t="s">
        <v>260</v>
      </c>
      <c r="AJ62" s="1"/>
      <c r="AK62" s="3">
        <v>45754</v>
      </c>
      <c r="AL62" s="5">
        <v>45755</v>
      </c>
      <c r="AM62" s="3">
        <v>45755</v>
      </c>
      <c r="AN62" s="1"/>
      <c r="AO62" s="71">
        <v>9376759</v>
      </c>
      <c r="AP62" s="14">
        <v>45756</v>
      </c>
      <c r="AQ62" s="14">
        <v>45758</v>
      </c>
      <c r="AR62" s="1"/>
      <c r="AS62" s="5">
        <v>45762</v>
      </c>
      <c r="AT62" s="58">
        <v>49768</v>
      </c>
      <c r="AU62" s="1" t="s">
        <v>74</v>
      </c>
      <c r="AV62" s="5">
        <v>45762</v>
      </c>
      <c r="AW62" s="5">
        <v>45763</v>
      </c>
      <c r="AX62" s="1"/>
      <c r="AY62" s="2">
        <v>9525109</v>
      </c>
      <c r="AZ62" s="14">
        <v>45763</v>
      </c>
      <c r="BA62" s="1">
        <v>1469429</v>
      </c>
      <c r="BB62" s="1">
        <v>264497</v>
      </c>
      <c r="BC62" s="1" t="s">
        <v>789</v>
      </c>
      <c r="BD62" s="5">
        <v>45764</v>
      </c>
      <c r="BE62" s="1"/>
      <c r="BF62" s="14">
        <v>45766</v>
      </c>
      <c r="BG62" s="14">
        <v>45770</v>
      </c>
      <c r="BH62" s="2" t="s">
        <v>874</v>
      </c>
      <c r="BI62" s="2" t="s">
        <v>273</v>
      </c>
      <c r="BJ62" s="1"/>
      <c r="BK62" s="1"/>
      <c r="BL62" s="1"/>
      <c r="BM62" s="1"/>
      <c r="BN62" s="1"/>
      <c r="BO62" s="1"/>
      <c r="BP62" s="1"/>
      <c r="BQ62" s="1"/>
      <c r="BR62" s="1"/>
    </row>
    <row r="63" spans="1:70" ht="18" customHeight="1" x14ac:dyDescent="0.3">
      <c r="A63" s="1">
        <v>62</v>
      </c>
      <c r="B63" s="1">
        <v>6888626</v>
      </c>
      <c r="C63" s="74">
        <v>45747</v>
      </c>
      <c r="D63" s="1">
        <v>36982</v>
      </c>
      <c r="E63" s="1" t="s">
        <v>678</v>
      </c>
      <c r="F63" s="8" t="s">
        <v>131</v>
      </c>
      <c r="G63" s="8" t="s">
        <v>567</v>
      </c>
      <c r="H63" s="8" t="s">
        <v>618</v>
      </c>
      <c r="I63" s="83">
        <v>49657</v>
      </c>
      <c r="J63" s="2" t="s">
        <v>142</v>
      </c>
      <c r="K63" s="1" t="s">
        <v>126</v>
      </c>
      <c r="L63" s="1" t="s">
        <v>854</v>
      </c>
      <c r="M63" s="77">
        <v>45754</v>
      </c>
      <c r="N63" s="70" t="s">
        <v>872</v>
      </c>
      <c r="P63" s="1"/>
      <c r="Q63" s="67">
        <f t="shared" si="4"/>
        <v>4</v>
      </c>
      <c r="R63" s="29">
        <f t="shared" si="5"/>
        <v>12</v>
      </c>
      <c r="S63" s="1"/>
      <c r="T63" s="2" t="s">
        <v>810</v>
      </c>
      <c r="U63" s="1" t="s">
        <v>619</v>
      </c>
      <c r="V63" s="1" t="s">
        <v>161</v>
      </c>
      <c r="W63" s="1" t="s">
        <v>454</v>
      </c>
      <c r="X63" s="2">
        <v>20255039400</v>
      </c>
      <c r="Y63" s="63">
        <v>45751</v>
      </c>
      <c r="Z63" s="5">
        <v>45758</v>
      </c>
      <c r="AA63" s="3">
        <v>45754</v>
      </c>
      <c r="AB63" s="3">
        <v>45754</v>
      </c>
      <c r="AC63" s="3">
        <v>45758</v>
      </c>
      <c r="AD63" s="1">
        <v>17605524934</v>
      </c>
      <c r="AE63" s="1" t="s">
        <v>620</v>
      </c>
      <c r="AF63" s="1">
        <v>1</v>
      </c>
      <c r="AG63" s="1">
        <v>133</v>
      </c>
      <c r="AH63" s="1"/>
      <c r="AI63" s="1" t="s">
        <v>180</v>
      </c>
      <c r="AJ63" s="1"/>
      <c r="AK63" s="3">
        <v>45755</v>
      </c>
      <c r="AL63" s="5">
        <v>45755</v>
      </c>
      <c r="AM63" s="5">
        <v>45755</v>
      </c>
      <c r="AN63" s="1"/>
      <c r="AO63" s="1">
        <v>9377389</v>
      </c>
      <c r="AP63" s="14">
        <v>45756</v>
      </c>
      <c r="AQ63" s="14">
        <v>45758</v>
      </c>
      <c r="AR63" s="8" t="s">
        <v>617</v>
      </c>
      <c r="AS63" s="5">
        <v>45762</v>
      </c>
      <c r="AT63" s="58">
        <v>49766</v>
      </c>
      <c r="AU63" s="5" t="s">
        <v>74</v>
      </c>
      <c r="AV63" s="5">
        <v>45762</v>
      </c>
      <c r="AW63" s="5">
        <v>45763</v>
      </c>
      <c r="AX63" s="1"/>
      <c r="AY63" s="2">
        <v>9527059</v>
      </c>
      <c r="AZ63" s="14">
        <v>45763</v>
      </c>
      <c r="BA63" s="1">
        <v>3202641</v>
      </c>
      <c r="BB63" s="1">
        <v>576475</v>
      </c>
      <c r="BC63" s="5">
        <v>45764</v>
      </c>
      <c r="BD63" s="5">
        <v>45764</v>
      </c>
      <c r="BE63" s="1"/>
      <c r="BF63" s="14">
        <v>45766</v>
      </c>
      <c r="BG63" s="14">
        <v>45770</v>
      </c>
      <c r="BH63" s="2" t="s">
        <v>871</v>
      </c>
      <c r="BI63" s="2" t="s">
        <v>273</v>
      </c>
      <c r="BJ63" s="1"/>
      <c r="BK63" s="1"/>
      <c r="BL63" s="1"/>
      <c r="BM63" s="1"/>
      <c r="BN63" s="1"/>
      <c r="BO63" s="1"/>
      <c r="BP63" s="1"/>
      <c r="BQ63" s="1"/>
      <c r="BR63" s="1"/>
    </row>
    <row r="64" spans="1:70" s="9" customFormat="1" ht="18" customHeight="1" x14ac:dyDescent="0.3">
      <c r="A64" s="1">
        <v>63</v>
      </c>
      <c r="B64" s="1">
        <v>6885587</v>
      </c>
      <c r="C64" s="74">
        <v>45744</v>
      </c>
      <c r="D64" s="1">
        <v>100860</v>
      </c>
      <c r="E64" s="1" t="s">
        <v>678</v>
      </c>
      <c r="F64" s="8" t="s">
        <v>131</v>
      </c>
      <c r="G64" s="8" t="s">
        <v>646</v>
      </c>
      <c r="H64" s="8" t="s">
        <v>451</v>
      </c>
      <c r="I64" s="83">
        <v>49664</v>
      </c>
      <c r="J64" s="2" t="s">
        <v>142</v>
      </c>
      <c r="K64" s="1" t="s">
        <v>126</v>
      </c>
      <c r="L64" s="1" t="s">
        <v>854</v>
      </c>
      <c r="M64" s="77">
        <v>45756</v>
      </c>
      <c r="N64" s="70" t="s">
        <v>872</v>
      </c>
      <c r="O64" s="1">
        <v>1356</v>
      </c>
      <c r="P64" s="1"/>
      <c r="Q64" s="67">
        <f t="shared" si="4"/>
        <v>6</v>
      </c>
      <c r="R64" s="29">
        <f t="shared" si="5"/>
        <v>8</v>
      </c>
      <c r="S64" s="1"/>
      <c r="T64" s="2" t="s">
        <v>640</v>
      </c>
      <c r="U64" s="1" t="s">
        <v>647</v>
      </c>
      <c r="V64" s="1" t="s">
        <v>161</v>
      </c>
      <c r="W64" s="1" t="s">
        <v>454</v>
      </c>
      <c r="X64" s="2">
        <v>20255039393</v>
      </c>
      <c r="Y64" s="5">
        <v>45751</v>
      </c>
      <c r="Z64" s="5">
        <v>45758</v>
      </c>
      <c r="AA64" s="3">
        <v>45756</v>
      </c>
      <c r="AB64" s="3">
        <v>45756</v>
      </c>
      <c r="AC64" s="5">
        <v>45762</v>
      </c>
      <c r="AD64" s="1">
        <v>61841617531</v>
      </c>
      <c r="AE64" s="1" t="s">
        <v>672</v>
      </c>
      <c r="AF64" s="1">
        <v>2</v>
      </c>
      <c r="AG64" s="1">
        <v>344</v>
      </c>
      <c r="AH64" s="1"/>
      <c r="AI64" s="1" t="s">
        <v>180</v>
      </c>
      <c r="AJ64" s="1"/>
      <c r="AK64" s="3">
        <v>45755</v>
      </c>
      <c r="AL64" s="5">
        <v>45756</v>
      </c>
      <c r="AM64" s="3">
        <v>45756</v>
      </c>
      <c r="AN64" s="1"/>
      <c r="AO64" s="1">
        <v>9419992</v>
      </c>
      <c r="AP64" s="14">
        <v>45758</v>
      </c>
      <c r="AQ64" s="14">
        <v>45762</v>
      </c>
      <c r="AR64" s="8" t="s">
        <v>686</v>
      </c>
      <c r="AS64" s="5">
        <v>45762</v>
      </c>
      <c r="AT64" s="58">
        <v>49769</v>
      </c>
      <c r="AU64" s="1" t="s">
        <v>74</v>
      </c>
      <c r="AV64" s="5">
        <v>45762</v>
      </c>
      <c r="AW64" s="5">
        <v>45763</v>
      </c>
      <c r="AX64" s="1"/>
      <c r="AY64" s="2">
        <v>9527400</v>
      </c>
      <c r="AZ64" s="14">
        <v>45763</v>
      </c>
      <c r="BA64" s="1">
        <v>8734476</v>
      </c>
      <c r="BB64" s="1">
        <v>1572206</v>
      </c>
      <c r="BC64" s="5">
        <v>45764</v>
      </c>
      <c r="BD64" s="5">
        <v>45764</v>
      </c>
      <c r="BE64" s="1"/>
      <c r="BF64" s="14">
        <v>45766</v>
      </c>
      <c r="BG64" s="14">
        <v>45770</v>
      </c>
      <c r="BH64" s="2" t="s">
        <v>871</v>
      </c>
      <c r="BI64" s="2" t="s">
        <v>273</v>
      </c>
      <c r="BJ64" s="1"/>
      <c r="BK64" s="1"/>
      <c r="BL64" s="1"/>
      <c r="BM64" s="1"/>
      <c r="BN64" s="1"/>
      <c r="BO64" s="1"/>
      <c r="BP64" s="1"/>
      <c r="BQ64" s="1"/>
      <c r="BR64" s="1"/>
    </row>
    <row r="65" spans="1:70" s="9" customFormat="1" ht="18" customHeight="1" x14ac:dyDescent="0.3">
      <c r="A65" s="1">
        <v>64</v>
      </c>
      <c r="B65" s="1">
        <v>6885524</v>
      </c>
      <c r="C65" s="74">
        <v>45743</v>
      </c>
      <c r="D65" s="1">
        <v>80688</v>
      </c>
      <c r="E65" s="1" t="s">
        <v>678</v>
      </c>
      <c r="F65" s="8" t="s">
        <v>648</v>
      </c>
      <c r="G65" s="8" t="s">
        <v>646</v>
      </c>
      <c r="H65" s="8" t="s">
        <v>423</v>
      </c>
      <c r="I65" s="83">
        <v>49671</v>
      </c>
      <c r="J65" s="2" t="s">
        <v>142</v>
      </c>
      <c r="K65" s="1" t="s">
        <v>126</v>
      </c>
      <c r="L65" s="1" t="s">
        <v>854</v>
      </c>
      <c r="M65" s="77">
        <v>45757</v>
      </c>
      <c r="N65" s="70" t="s">
        <v>872</v>
      </c>
      <c r="O65" s="1">
        <v>1072</v>
      </c>
      <c r="P65" s="1"/>
      <c r="Q65" s="67">
        <f t="shared" si="4"/>
        <v>5</v>
      </c>
      <c r="R65" s="29">
        <f t="shared" si="5"/>
        <v>8</v>
      </c>
      <c r="S65" s="1"/>
      <c r="T65" s="2" t="s">
        <v>811</v>
      </c>
      <c r="U65" s="8" t="s">
        <v>647</v>
      </c>
      <c r="V65" s="1" t="s">
        <v>161</v>
      </c>
      <c r="W65" s="1" t="s">
        <v>454</v>
      </c>
      <c r="X65" s="2">
        <v>20255039305</v>
      </c>
      <c r="Y65" s="5">
        <v>45751</v>
      </c>
      <c r="Z65" s="5">
        <v>45758</v>
      </c>
      <c r="AA65" s="3">
        <v>45756</v>
      </c>
      <c r="AB65" s="3">
        <v>45757</v>
      </c>
      <c r="AC65" s="5">
        <v>45762</v>
      </c>
      <c r="AD65" s="1">
        <v>17608001910</v>
      </c>
      <c r="AE65" s="1" t="s">
        <v>671</v>
      </c>
      <c r="AF65" s="1">
        <v>1</v>
      </c>
      <c r="AG65" s="1">
        <v>272</v>
      </c>
      <c r="AH65" s="1"/>
      <c r="AI65" s="1" t="s">
        <v>180</v>
      </c>
      <c r="AJ65" s="1"/>
      <c r="AK65" s="3">
        <v>45755</v>
      </c>
      <c r="AL65" s="5">
        <v>45756</v>
      </c>
      <c r="AM65" s="3">
        <v>45756</v>
      </c>
      <c r="AN65" s="1"/>
      <c r="AO65" s="1">
        <v>9419994</v>
      </c>
      <c r="AP65" s="14">
        <v>45758</v>
      </c>
      <c r="AQ65" s="14">
        <v>45762</v>
      </c>
      <c r="AR65" s="8" t="s">
        <v>686</v>
      </c>
      <c r="AS65" s="5">
        <v>45762</v>
      </c>
      <c r="AT65" s="58">
        <v>49767</v>
      </c>
      <c r="AU65" s="1" t="s">
        <v>74</v>
      </c>
      <c r="AV65" s="5">
        <v>45762</v>
      </c>
      <c r="AW65" s="5">
        <v>45763</v>
      </c>
      <c r="AX65" s="1"/>
      <c r="AY65" s="2">
        <v>9527261</v>
      </c>
      <c r="AZ65" s="14">
        <v>45763</v>
      </c>
      <c r="BA65" s="1">
        <v>6987581</v>
      </c>
      <c r="BB65" s="1">
        <v>1257765</v>
      </c>
      <c r="BC65" s="5">
        <v>45764</v>
      </c>
      <c r="BD65" s="5">
        <v>45764</v>
      </c>
      <c r="BE65" s="1"/>
      <c r="BF65" s="14">
        <v>45766</v>
      </c>
      <c r="BG65" s="14">
        <v>45770</v>
      </c>
      <c r="BH65" s="2" t="s">
        <v>871</v>
      </c>
      <c r="BI65" s="2" t="s">
        <v>273</v>
      </c>
      <c r="BJ65" s="1"/>
      <c r="BK65" s="1"/>
      <c r="BL65" s="1"/>
      <c r="BM65" s="1"/>
      <c r="BN65" s="1"/>
      <c r="BO65" s="1"/>
      <c r="BP65" s="1"/>
      <c r="BQ65" s="1"/>
      <c r="BR65" s="1"/>
    </row>
    <row r="66" spans="1:70" ht="18" customHeight="1" x14ac:dyDescent="0.3">
      <c r="A66" s="1">
        <v>65</v>
      </c>
      <c r="B66" s="1">
        <v>6730547</v>
      </c>
      <c r="C66" s="74">
        <v>45647</v>
      </c>
      <c r="D66" s="1">
        <v>80598</v>
      </c>
      <c r="E66" s="1" t="s">
        <v>678</v>
      </c>
      <c r="F66" s="8" t="s">
        <v>540</v>
      </c>
      <c r="G66" s="8" t="s">
        <v>541</v>
      </c>
      <c r="H66" s="8" t="s">
        <v>542</v>
      </c>
      <c r="I66" s="83">
        <v>49627</v>
      </c>
      <c r="J66" s="2" t="s">
        <v>142</v>
      </c>
      <c r="K66" s="1" t="s">
        <v>126</v>
      </c>
      <c r="L66" s="1" t="s">
        <v>854</v>
      </c>
      <c r="M66" s="77">
        <v>45753</v>
      </c>
      <c r="N66" s="66" t="s">
        <v>895</v>
      </c>
      <c r="O66" s="1">
        <v>985</v>
      </c>
      <c r="P66" s="1"/>
      <c r="Q66" s="67">
        <f t="shared" si="4"/>
        <v>3</v>
      </c>
      <c r="R66" s="29">
        <f t="shared" si="5"/>
        <v>15</v>
      </c>
      <c r="S66" s="1"/>
      <c r="T66" s="2" t="s">
        <v>896</v>
      </c>
      <c r="U66" s="1" t="s">
        <v>543</v>
      </c>
      <c r="V66" s="1" t="s">
        <v>645</v>
      </c>
      <c r="W66" s="1" t="s">
        <v>426</v>
      </c>
      <c r="X66" s="2">
        <v>20255039823</v>
      </c>
      <c r="Y66" s="5">
        <v>45754</v>
      </c>
      <c r="Z66" s="5">
        <v>45757</v>
      </c>
      <c r="AA66" s="3">
        <v>45753</v>
      </c>
      <c r="AB66" s="3">
        <v>45753</v>
      </c>
      <c r="AC66" s="3">
        <v>45756</v>
      </c>
      <c r="AD66" s="1">
        <v>23210555156</v>
      </c>
      <c r="AE66" s="1" t="s">
        <v>544</v>
      </c>
      <c r="AF66" s="1">
        <v>3</v>
      </c>
      <c r="AG66" s="1">
        <v>725</v>
      </c>
      <c r="AH66" s="1"/>
      <c r="AI66" s="1" t="s">
        <v>181</v>
      </c>
      <c r="AJ66" s="1"/>
      <c r="AK66" s="3">
        <v>45753</v>
      </c>
      <c r="AL66" s="5">
        <v>45754</v>
      </c>
      <c r="AM66" s="5">
        <v>45754</v>
      </c>
      <c r="AN66" s="1"/>
      <c r="AO66" s="1">
        <v>9353827</v>
      </c>
      <c r="AP66" s="14">
        <v>45754</v>
      </c>
      <c r="AQ66" s="14">
        <v>45756</v>
      </c>
      <c r="AR66" s="1"/>
      <c r="AS66" s="5">
        <v>45763</v>
      </c>
      <c r="AT66" s="58">
        <v>49720</v>
      </c>
      <c r="AU66" s="1" t="s">
        <v>74</v>
      </c>
      <c r="AV66" s="5">
        <v>45763</v>
      </c>
      <c r="AW66" s="5">
        <v>45764</v>
      </c>
      <c r="AX66" s="1"/>
      <c r="AY66" s="2">
        <v>9643606</v>
      </c>
      <c r="AZ66" s="14">
        <v>45769</v>
      </c>
      <c r="BA66" s="1">
        <v>6963667</v>
      </c>
      <c r="BB66" s="1">
        <v>1253460</v>
      </c>
      <c r="BC66" s="5">
        <v>45770</v>
      </c>
      <c r="BD66" s="5">
        <v>45770</v>
      </c>
      <c r="BE66" s="1"/>
      <c r="BF66" s="14">
        <v>45770</v>
      </c>
      <c r="BG66" s="14">
        <v>45771</v>
      </c>
      <c r="BH66" s="2" t="s">
        <v>894</v>
      </c>
      <c r="BI66" s="2" t="s">
        <v>273</v>
      </c>
      <c r="BJ66" s="1"/>
      <c r="BK66" s="1"/>
      <c r="BL66" s="1"/>
      <c r="BM66" s="8" t="s">
        <v>879</v>
      </c>
      <c r="BN66" s="1"/>
      <c r="BO66" s="1"/>
      <c r="BP66" s="1"/>
      <c r="BQ66" s="1"/>
      <c r="BR66" s="1"/>
    </row>
    <row r="67" spans="1:70" ht="18" customHeight="1" x14ac:dyDescent="0.3">
      <c r="A67" s="1">
        <v>66</v>
      </c>
      <c r="B67" s="8" t="s">
        <v>596</v>
      </c>
      <c r="C67" s="75" t="s">
        <v>597</v>
      </c>
      <c r="D67" s="8" t="s">
        <v>598</v>
      </c>
      <c r="E67" s="1" t="s">
        <v>679</v>
      </c>
      <c r="F67" s="1" t="s">
        <v>137</v>
      </c>
      <c r="G67" s="1" t="s">
        <v>599</v>
      </c>
      <c r="H67" s="8" t="s">
        <v>600</v>
      </c>
      <c r="I67" s="83">
        <v>49647</v>
      </c>
      <c r="J67" s="2" t="s">
        <v>142</v>
      </c>
      <c r="K67" s="1" t="s">
        <v>126</v>
      </c>
      <c r="L67" s="1" t="s">
        <v>854</v>
      </c>
      <c r="M67" s="77">
        <v>45755</v>
      </c>
      <c r="N67" s="66" t="s">
        <v>887</v>
      </c>
      <c r="O67" s="1">
        <v>1000</v>
      </c>
      <c r="P67" s="1"/>
      <c r="Q67" s="67">
        <f t="shared" si="4"/>
        <v>8</v>
      </c>
      <c r="R67" s="29">
        <f t="shared" si="5"/>
        <v>8</v>
      </c>
      <c r="S67" s="1"/>
      <c r="T67" s="1" t="s">
        <v>897</v>
      </c>
      <c r="U67" s="8" t="s">
        <v>601</v>
      </c>
      <c r="V67" s="81" t="s">
        <v>755</v>
      </c>
      <c r="W67" s="1" t="s">
        <v>756</v>
      </c>
      <c r="X67" s="2" t="s">
        <v>708</v>
      </c>
      <c r="Y67" s="5">
        <v>45755</v>
      </c>
      <c r="Z67" s="5">
        <v>45758</v>
      </c>
      <c r="AA67" s="3">
        <v>45755</v>
      </c>
      <c r="AB67" s="3">
        <v>45755</v>
      </c>
      <c r="AC67" s="5">
        <v>45763</v>
      </c>
      <c r="AD67" s="1">
        <v>21703646871</v>
      </c>
      <c r="AE67" s="1" t="s">
        <v>637</v>
      </c>
      <c r="AF67" s="1">
        <v>5</v>
      </c>
      <c r="AG67" s="1">
        <v>37</v>
      </c>
      <c r="AH67" s="1"/>
      <c r="AI67" s="1" t="s">
        <v>180</v>
      </c>
      <c r="AJ67" s="1"/>
      <c r="AK67" s="3">
        <v>45754</v>
      </c>
      <c r="AL67" s="5">
        <v>45755</v>
      </c>
      <c r="AM67" s="3">
        <v>45755</v>
      </c>
      <c r="AN67" s="1"/>
      <c r="AO67" s="1">
        <v>9382361</v>
      </c>
      <c r="AP67" s="14" t="s">
        <v>661</v>
      </c>
      <c r="AQ67" s="14">
        <v>45763</v>
      </c>
      <c r="AR67" s="1"/>
      <c r="AS67" s="5">
        <v>45764</v>
      </c>
      <c r="AT67" s="58">
        <v>49805</v>
      </c>
      <c r="AU67" s="1" t="s">
        <v>74</v>
      </c>
      <c r="AV67" s="5">
        <v>45764</v>
      </c>
      <c r="AW67" s="5">
        <v>45764</v>
      </c>
      <c r="AX67" s="1"/>
      <c r="AY67" s="2">
        <v>9624227</v>
      </c>
      <c r="AZ67" s="14">
        <v>45768</v>
      </c>
      <c r="BA67" s="1">
        <v>20487168</v>
      </c>
      <c r="BB67" s="1">
        <v>3687690</v>
      </c>
      <c r="BC67" s="5">
        <v>45769</v>
      </c>
      <c r="BD67" s="5">
        <v>45770</v>
      </c>
      <c r="BE67" s="1"/>
      <c r="BF67" s="14">
        <v>45770</v>
      </c>
      <c r="BG67" s="14">
        <v>45771</v>
      </c>
      <c r="BH67" s="2" t="s">
        <v>886</v>
      </c>
      <c r="BI67" s="2" t="s">
        <v>273</v>
      </c>
      <c r="BJ67" s="1"/>
      <c r="BK67" s="1"/>
      <c r="BL67" s="1"/>
      <c r="BM67" s="1" t="s">
        <v>826</v>
      </c>
      <c r="BN67" s="1"/>
      <c r="BO67" s="1"/>
      <c r="BP67" s="1"/>
      <c r="BQ67" s="1"/>
      <c r="BR67" s="5">
        <v>45768</v>
      </c>
    </row>
    <row r="68" spans="1:70" ht="18" customHeight="1" x14ac:dyDescent="0.3">
      <c r="A68" s="1">
        <v>67</v>
      </c>
      <c r="B68" s="8" t="s">
        <v>630</v>
      </c>
      <c r="C68" s="74">
        <v>45741</v>
      </c>
      <c r="D68" s="8" t="s">
        <v>631</v>
      </c>
      <c r="E68" s="1" t="s">
        <v>129</v>
      </c>
      <c r="F68" s="1" t="s">
        <v>633</v>
      </c>
      <c r="G68" s="1" t="s">
        <v>632</v>
      </c>
      <c r="H68" s="8" t="s">
        <v>634</v>
      </c>
      <c r="I68" s="83">
        <v>49649</v>
      </c>
      <c r="J68" s="2" t="s">
        <v>142</v>
      </c>
      <c r="K68" s="1" t="s">
        <v>126</v>
      </c>
      <c r="L68" s="1" t="s">
        <v>854</v>
      </c>
      <c r="M68" s="77">
        <v>45755</v>
      </c>
      <c r="N68" s="66" t="s">
        <v>888</v>
      </c>
      <c r="O68" s="1">
        <v>1000</v>
      </c>
      <c r="P68" s="1"/>
      <c r="Q68" s="67">
        <f t="shared" si="4"/>
        <v>7</v>
      </c>
      <c r="R68" s="29">
        <f t="shared" si="5"/>
        <v>9</v>
      </c>
      <c r="S68" s="1"/>
      <c r="T68" s="2" t="s">
        <v>855</v>
      </c>
      <c r="U68" s="8" t="s">
        <v>635</v>
      </c>
      <c r="V68" s="81" t="s">
        <v>755</v>
      </c>
      <c r="W68" s="1" t="s">
        <v>756</v>
      </c>
      <c r="X68" s="2" t="s">
        <v>722</v>
      </c>
      <c r="Y68" s="5">
        <v>45755</v>
      </c>
      <c r="Z68" s="72">
        <v>45758</v>
      </c>
      <c r="AA68" s="3">
        <v>45755</v>
      </c>
      <c r="AB68" s="3">
        <v>45755</v>
      </c>
      <c r="AC68" s="5">
        <v>45762</v>
      </c>
      <c r="AD68" s="1">
        <v>21703646871</v>
      </c>
      <c r="AE68" s="1" t="s">
        <v>636</v>
      </c>
      <c r="AF68" s="1">
        <v>5</v>
      </c>
      <c r="AG68" s="1">
        <v>16.5</v>
      </c>
      <c r="AH68" s="1"/>
      <c r="AI68" s="1" t="s">
        <v>180</v>
      </c>
      <c r="AJ68" s="1"/>
      <c r="AK68" s="3">
        <v>45754</v>
      </c>
      <c r="AL68" s="5">
        <v>45755</v>
      </c>
      <c r="AM68" s="3">
        <v>45755</v>
      </c>
      <c r="AN68" s="1"/>
      <c r="AO68" s="1">
        <v>9382359</v>
      </c>
      <c r="AP68" s="14">
        <v>45756</v>
      </c>
      <c r="AQ68" s="14">
        <v>45762</v>
      </c>
      <c r="AR68" s="1"/>
      <c r="AS68" s="5">
        <v>45763</v>
      </c>
      <c r="AT68" s="58">
        <v>49792</v>
      </c>
      <c r="AU68" s="1" t="s">
        <v>74</v>
      </c>
      <c r="AV68" s="5">
        <v>45763</v>
      </c>
      <c r="AW68" s="5">
        <v>45764</v>
      </c>
      <c r="AX68" s="1"/>
      <c r="AY68" s="122">
        <v>9549336</v>
      </c>
      <c r="AZ68" s="123">
        <v>45764</v>
      </c>
      <c r="BA68" s="1" t="s">
        <v>803</v>
      </c>
      <c r="BB68" s="1" t="s">
        <v>802</v>
      </c>
      <c r="BC68" s="5">
        <v>45766</v>
      </c>
      <c r="BD68" s="5">
        <v>45768</v>
      </c>
      <c r="BE68" s="1"/>
      <c r="BF68" s="14">
        <v>45769</v>
      </c>
      <c r="BG68" s="14">
        <v>45771</v>
      </c>
      <c r="BH68" s="2" t="s">
        <v>886</v>
      </c>
      <c r="BI68" s="2" t="s">
        <v>273</v>
      </c>
      <c r="BJ68" s="1"/>
      <c r="BK68" s="1"/>
      <c r="BL68" s="1"/>
      <c r="BM68" s="8" t="s">
        <v>804</v>
      </c>
      <c r="BN68" s="1"/>
      <c r="BO68" s="1"/>
      <c r="BP68" s="1"/>
      <c r="BQ68" s="1"/>
      <c r="BR68" s="1"/>
    </row>
    <row r="69" spans="1:70" ht="18" customHeight="1" x14ac:dyDescent="0.3">
      <c r="A69" s="1">
        <v>68</v>
      </c>
      <c r="B69" s="1">
        <v>6732562</v>
      </c>
      <c r="C69" s="74">
        <v>45654</v>
      </c>
      <c r="D69" s="1">
        <v>159075</v>
      </c>
      <c r="E69" s="1" t="s">
        <v>678</v>
      </c>
      <c r="F69" s="8" t="s">
        <v>219</v>
      </c>
      <c r="G69" s="8" t="s">
        <v>650</v>
      </c>
      <c r="H69" s="8" t="s">
        <v>525</v>
      </c>
      <c r="I69" s="83">
        <v>49677</v>
      </c>
      <c r="J69" s="2" t="s">
        <v>142</v>
      </c>
      <c r="K69" s="1" t="s">
        <v>126</v>
      </c>
      <c r="L69" s="1" t="s">
        <v>854</v>
      </c>
      <c r="M69" s="77">
        <v>56714</v>
      </c>
      <c r="N69" s="66" t="s">
        <v>893</v>
      </c>
      <c r="O69" s="1">
        <v>1678</v>
      </c>
      <c r="P69" s="1"/>
      <c r="Q69" s="67">
        <f t="shared" ref="Q69:Q100" si="6">AQ69-AB69</f>
        <v>4</v>
      </c>
      <c r="R69" s="29">
        <f t="shared" ref="R69:R100" si="7">BG69-AC69</f>
        <v>8</v>
      </c>
      <c r="S69" s="1"/>
      <c r="T69" s="2" t="s">
        <v>898</v>
      </c>
      <c r="U69" s="1" t="s">
        <v>675</v>
      </c>
      <c r="V69" s="1" t="s">
        <v>384</v>
      </c>
      <c r="W69" s="1" t="s">
        <v>421</v>
      </c>
      <c r="X69" s="2">
        <v>20255039326</v>
      </c>
      <c r="Y69" s="5">
        <v>45751</v>
      </c>
      <c r="Z69" s="5">
        <v>45758</v>
      </c>
      <c r="AA69" s="3">
        <v>45759</v>
      </c>
      <c r="AB69" s="3">
        <v>45759</v>
      </c>
      <c r="AC69" s="5">
        <v>45763</v>
      </c>
      <c r="AD69" s="1">
        <v>21703963735</v>
      </c>
      <c r="AE69" s="1" t="s">
        <v>676</v>
      </c>
      <c r="AF69" s="1">
        <v>5</v>
      </c>
      <c r="AG69" s="1">
        <v>1485</v>
      </c>
      <c r="AH69" s="1"/>
      <c r="AI69" s="1" t="s">
        <v>180</v>
      </c>
      <c r="AJ69" s="1"/>
      <c r="AK69" s="3">
        <v>45755</v>
      </c>
      <c r="AL69" s="5">
        <v>45756</v>
      </c>
      <c r="AM69" s="3">
        <v>45756</v>
      </c>
      <c r="AN69" s="1"/>
      <c r="AO69" s="1">
        <v>9475411</v>
      </c>
      <c r="AP69" s="14">
        <v>45761</v>
      </c>
      <c r="AQ69" s="14">
        <v>45763</v>
      </c>
      <c r="AR69" s="1"/>
      <c r="AS69" s="5">
        <v>45764</v>
      </c>
      <c r="AT69" s="58">
        <v>49800</v>
      </c>
      <c r="AU69" s="1" t="s">
        <v>74</v>
      </c>
      <c r="AV69" s="5">
        <v>45764</v>
      </c>
      <c r="AW69" s="5">
        <v>45764</v>
      </c>
      <c r="AX69" s="1"/>
      <c r="AY69" s="2">
        <v>9627639</v>
      </c>
      <c r="AZ69" s="14">
        <v>45768</v>
      </c>
      <c r="BA69" s="1">
        <v>13744080</v>
      </c>
      <c r="BB69" s="1">
        <v>2473934</v>
      </c>
      <c r="BC69" s="5">
        <v>45769</v>
      </c>
      <c r="BD69" s="5">
        <v>45770</v>
      </c>
      <c r="BE69" s="1"/>
      <c r="BF69" s="14">
        <v>45770</v>
      </c>
      <c r="BG69" s="14">
        <v>45771</v>
      </c>
      <c r="BH69" s="2" t="s">
        <v>892</v>
      </c>
      <c r="BI69" s="2" t="s">
        <v>273</v>
      </c>
      <c r="BJ69" s="1"/>
      <c r="BK69" s="1"/>
      <c r="BL69" s="1"/>
      <c r="BM69" s="1"/>
      <c r="BN69" s="1"/>
      <c r="BO69" s="1"/>
      <c r="BP69" s="1"/>
      <c r="BQ69" s="1"/>
      <c r="BR69" s="5">
        <v>45764</v>
      </c>
    </row>
    <row r="70" spans="1:70" ht="18" customHeight="1" x14ac:dyDescent="0.3">
      <c r="A70" s="1">
        <v>69</v>
      </c>
      <c r="B70" s="1">
        <v>6886634</v>
      </c>
      <c r="C70" s="74">
        <v>45746</v>
      </c>
      <c r="D70" s="1">
        <v>53792</v>
      </c>
      <c r="E70" s="1" t="s">
        <v>678</v>
      </c>
      <c r="F70" s="8" t="s">
        <v>131</v>
      </c>
      <c r="G70" s="8" t="s">
        <v>567</v>
      </c>
      <c r="H70" s="8" t="s">
        <v>765</v>
      </c>
      <c r="I70" s="83">
        <v>49738</v>
      </c>
      <c r="J70" s="2" t="s">
        <v>142</v>
      </c>
      <c r="K70" s="1" t="s">
        <v>126</v>
      </c>
      <c r="L70" s="1" t="s">
        <v>854</v>
      </c>
      <c r="M70" s="77">
        <v>45761</v>
      </c>
      <c r="N70" s="66" t="s">
        <v>885</v>
      </c>
      <c r="P70" s="1"/>
      <c r="Q70" s="67">
        <f t="shared" si="6"/>
        <v>3</v>
      </c>
      <c r="R70" s="29">
        <f t="shared" si="7"/>
        <v>7</v>
      </c>
      <c r="S70" s="1"/>
      <c r="U70" s="1" t="s">
        <v>160</v>
      </c>
      <c r="V70" s="2" t="s">
        <v>335</v>
      </c>
      <c r="W70" s="1" t="s">
        <v>163</v>
      </c>
      <c r="X70" s="2">
        <v>20255040715</v>
      </c>
      <c r="Y70" s="14">
        <v>45755</v>
      </c>
      <c r="Z70" s="5">
        <v>45761</v>
      </c>
      <c r="AA70" s="3">
        <v>45761</v>
      </c>
      <c r="AB70" s="3">
        <v>45761</v>
      </c>
      <c r="AC70" s="5">
        <v>45764</v>
      </c>
      <c r="AD70" s="1">
        <v>17605524956</v>
      </c>
      <c r="AE70" s="1" t="s">
        <v>766</v>
      </c>
      <c r="AF70" s="1">
        <v>1</v>
      </c>
      <c r="AG70" s="1">
        <v>190.5</v>
      </c>
      <c r="AH70" s="1"/>
      <c r="AI70" s="1" t="s">
        <v>180</v>
      </c>
      <c r="AJ70" s="1"/>
      <c r="AK70" s="3">
        <v>45761</v>
      </c>
      <c r="AL70" s="5">
        <v>45761</v>
      </c>
      <c r="AM70" s="3">
        <v>45761</v>
      </c>
      <c r="AN70" s="1"/>
      <c r="AO70" s="1">
        <v>9494812</v>
      </c>
      <c r="AP70" s="14">
        <v>45762</v>
      </c>
      <c r="AQ70" s="14">
        <v>45764</v>
      </c>
      <c r="AR70" s="1" t="s">
        <v>767</v>
      </c>
      <c r="AS70" s="5">
        <v>45768</v>
      </c>
      <c r="AT70" s="58">
        <v>49817</v>
      </c>
      <c r="AU70" s="1" t="s">
        <v>74</v>
      </c>
      <c r="AV70" s="5">
        <v>45768</v>
      </c>
      <c r="AW70" s="5">
        <v>45768</v>
      </c>
      <c r="AX70" s="1"/>
      <c r="AY70" s="2">
        <v>9650565</v>
      </c>
      <c r="AZ70" s="14">
        <v>45770</v>
      </c>
      <c r="BA70" s="1">
        <v>4647629</v>
      </c>
      <c r="BB70" s="1">
        <v>836573</v>
      </c>
      <c r="BC70" s="5">
        <v>45770</v>
      </c>
      <c r="BD70" s="5">
        <v>45770</v>
      </c>
      <c r="BE70" s="1"/>
      <c r="BF70" s="14">
        <v>45770</v>
      </c>
      <c r="BG70" s="14">
        <v>45771</v>
      </c>
      <c r="BH70" s="2" t="s">
        <v>884</v>
      </c>
      <c r="BI70" s="2" t="s">
        <v>273</v>
      </c>
      <c r="BJ70" s="1"/>
      <c r="BK70" s="1"/>
      <c r="BL70" s="1"/>
      <c r="BM70" s="1"/>
      <c r="BN70" s="1"/>
      <c r="BO70" s="1"/>
      <c r="BP70" s="1"/>
      <c r="BQ70" s="1"/>
      <c r="BR70" s="5">
        <v>45768</v>
      </c>
    </row>
    <row r="71" spans="1:70" ht="18" customHeight="1" x14ac:dyDescent="0.3">
      <c r="A71" s="1">
        <v>70</v>
      </c>
      <c r="B71" s="1">
        <v>6729300</v>
      </c>
      <c r="C71" s="74">
        <v>45647</v>
      </c>
      <c r="D71" s="1">
        <v>133623</v>
      </c>
      <c r="E71" s="1" t="s">
        <v>678</v>
      </c>
      <c r="F71" s="8" t="s">
        <v>219</v>
      </c>
      <c r="G71" s="8" t="s">
        <v>577</v>
      </c>
      <c r="H71" s="8" t="s">
        <v>578</v>
      </c>
      <c r="I71" s="83">
        <v>49638</v>
      </c>
      <c r="J71" s="2" t="s">
        <v>142</v>
      </c>
      <c r="K71" s="1" t="s">
        <v>126</v>
      </c>
      <c r="L71" s="1" t="s">
        <v>854</v>
      </c>
      <c r="M71" s="77">
        <v>45755</v>
      </c>
      <c r="N71" s="70" t="s">
        <v>917</v>
      </c>
      <c r="P71" s="1"/>
      <c r="Q71" s="67">
        <f t="shared" si="6"/>
        <v>3</v>
      </c>
      <c r="R71" s="29">
        <f t="shared" si="7"/>
        <v>15</v>
      </c>
      <c r="S71" s="1"/>
      <c r="T71" s="1" t="s">
        <v>900</v>
      </c>
      <c r="U71" s="8" t="s">
        <v>579</v>
      </c>
      <c r="V71" s="1" t="s">
        <v>580</v>
      </c>
      <c r="W71" s="1" t="s">
        <v>380</v>
      </c>
      <c r="X71" s="1" t="s">
        <v>692</v>
      </c>
      <c r="Y71" s="5">
        <v>45754</v>
      </c>
      <c r="Z71" s="5">
        <v>45757</v>
      </c>
      <c r="AA71" s="3">
        <v>45755</v>
      </c>
      <c r="AB71" s="3">
        <v>45755</v>
      </c>
      <c r="AC71" s="3">
        <v>45758</v>
      </c>
      <c r="AD71" s="1">
        <v>91018002051</v>
      </c>
      <c r="AE71" s="1" t="s">
        <v>610</v>
      </c>
      <c r="AF71" s="1">
        <v>5</v>
      </c>
      <c r="AG71" s="1">
        <v>1344</v>
      </c>
      <c r="AH71" s="1"/>
      <c r="AI71" s="1" t="s">
        <v>611</v>
      </c>
      <c r="AJ71" s="1"/>
      <c r="AK71" s="3">
        <v>45753</v>
      </c>
      <c r="AL71" s="5">
        <v>45755</v>
      </c>
      <c r="AM71" s="3">
        <v>45755</v>
      </c>
      <c r="AN71" s="1"/>
      <c r="AO71" s="71">
        <v>9371982</v>
      </c>
      <c r="AP71" s="14">
        <v>45755</v>
      </c>
      <c r="AQ71" s="14">
        <v>45758</v>
      </c>
      <c r="AR71" s="1"/>
      <c r="AS71" s="5">
        <v>45762</v>
      </c>
      <c r="AT71" s="58">
        <v>49787</v>
      </c>
      <c r="AU71" s="1" t="s">
        <v>74</v>
      </c>
      <c r="AV71" s="5">
        <v>45763</v>
      </c>
      <c r="AW71" s="5">
        <v>45764</v>
      </c>
      <c r="AX71" s="1"/>
      <c r="AY71" s="2">
        <v>9624985</v>
      </c>
      <c r="AZ71" s="14">
        <v>45768</v>
      </c>
      <c r="BA71" s="1">
        <v>11545027</v>
      </c>
      <c r="BB71" s="1">
        <v>2078105</v>
      </c>
      <c r="BC71" s="5">
        <v>45769</v>
      </c>
      <c r="BD71" s="5">
        <v>45770</v>
      </c>
      <c r="BE71" s="1"/>
      <c r="BF71" s="14">
        <v>45770</v>
      </c>
      <c r="BG71" s="14">
        <v>45773</v>
      </c>
      <c r="BH71" s="2" t="s">
        <v>918</v>
      </c>
      <c r="BI71" s="2" t="s">
        <v>273</v>
      </c>
      <c r="BJ71" s="1"/>
      <c r="BK71" s="1"/>
      <c r="BL71" s="1"/>
      <c r="BM71" s="1"/>
      <c r="BN71" s="1"/>
      <c r="BO71" s="1"/>
      <c r="BP71" s="1"/>
      <c r="BQ71" s="1"/>
      <c r="BR71" s="5">
        <v>45764</v>
      </c>
    </row>
    <row r="72" spans="1:70" ht="18" customHeight="1" x14ac:dyDescent="0.3">
      <c r="A72" s="1">
        <v>71</v>
      </c>
      <c r="B72" s="1">
        <v>6729299</v>
      </c>
      <c r="C72" s="74">
        <v>45649</v>
      </c>
      <c r="D72" s="1">
        <v>127260</v>
      </c>
      <c r="E72" s="1" t="s">
        <v>678</v>
      </c>
      <c r="F72" s="8" t="s">
        <v>581</v>
      </c>
      <c r="G72" s="8" t="s">
        <v>577</v>
      </c>
      <c r="H72" s="8" t="s">
        <v>582</v>
      </c>
      <c r="I72" s="83">
        <v>49642</v>
      </c>
      <c r="J72" s="2" t="s">
        <v>142</v>
      </c>
      <c r="K72" s="1" t="s">
        <v>126</v>
      </c>
      <c r="L72" s="1" t="s">
        <v>854</v>
      </c>
      <c r="M72" s="77">
        <v>45755</v>
      </c>
      <c r="N72" s="70" t="s">
        <v>915</v>
      </c>
      <c r="P72" s="1"/>
      <c r="Q72" s="67">
        <f t="shared" si="6"/>
        <v>3</v>
      </c>
      <c r="R72" s="29">
        <f t="shared" si="7"/>
        <v>14</v>
      </c>
      <c r="S72" s="1"/>
      <c r="T72" s="1" t="s">
        <v>899</v>
      </c>
      <c r="U72" s="8" t="s">
        <v>579</v>
      </c>
      <c r="V72" s="1" t="s">
        <v>580</v>
      </c>
      <c r="W72" s="1" t="s">
        <v>380</v>
      </c>
      <c r="X72" s="1" t="s">
        <v>689</v>
      </c>
      <c r="Y72" s="5">
        <v>45754</v>
      </c>
      <c r="Z72" s="5">
        <v>45757</v>
      </c>
      <c r="AA72" s="3">
        <v>45755</v>
      </c>
      <c r="AB72" s="3">
        <v>45755</v>
      </c>
      <c r="AC72" s="3">
        <v>45758</v>
      </c>
      <c r="AD72" s="1">
        <v>91018002062</v>
      </c>
      <c r="AE72" s="1" t="s">
        <v>612</v>
      </c>
      <c r="AF72" s="1">
        <v>4</v>
      </c>
      <c r="AG72" s="1">
        <v>1275</v>
      </c>
      <c r="AH72" s="1"/>
      <c r="AI72" s="1" t="s">
        <v>611</v>
      </c>
      <c r="AJ72" s="1"/>
      <c r="AK72" s="3">
        <v>45753</v>
      </c>
      <c r="AL72" s="5">
        <v>45755</v>
      </c>
      <c r="AM72" s="3">
        <v>45755</v>
      </c>
      <c r="AN72" s="1"/>
      <c r="AO72" s="71">
        <v>9372166</v>
      </c>
      <c r="AP72" s="14">
        <v>45755</v>
      </c>
      <c r="AQ72" s="14">
        <v>45758</v>
      </c>
      <c r="AR72" s="1"/>
      <c r="AS72" s="5">
        <v>45763</v>
      </c>
      <c r="AT72" s="58">
        <v>49790</v>
      </c>
      <c r="AU72" s="1" t="s">
        <v>74</v>
      </c>
      <c r="AV72" s="5">
        <v>45763</v>
      </c>
      <c r="AW72" s="5">
        <v>45764</v>
      </c>
      <c r="AX72" s="1"/>
      <c r="AY72" s="2">
        <v>9625060</v>
      </c>
      <c r="AZ72" s="14">
        <v>45768</v>
      </c>
      <c r="BA72" s="1">
        <v>10995264</v>
      </c>
      <c r="BB72" s="1">
        <v>1979148</v>
      </c>
      <c r="BC72" s="5">
        <v>45769</v>
      </c>
      <c r="BD72" s="5">
        <v>45770</v>
      </c>
      <c r="BE72" s="1"/>
      <c r="BF72" s="14">
        <v>45770</v>
      </c>
      <c r="BG72" s="14">
        <v>45772</v>
      </c>
      <c r="BH72" s="2" t="s">
        <v>919</v>
      </c>
      <c r="BI72" s="2" t="s">
        <v>273</v>
      </c>
      <c r="BJ72" s="1"/>
      <c r="BK72" s="1"/>
      <c r="BL72" s="1"/>
      <c r="BM72" s="1"/>
      <c r="BN72" s="1"/>
      <c r="BO72" s="1"/>
      <c r="BP72" s="1"/>
      <c r="BQ72" s="1"/>
      <c r="BR72" s="5">
        <v>45764</v>
      </c>
    </row>
    <row r="73" spans="1:70" s="9" customFormat="1" ht="18" customHeight="1" x14ac:dyDescent="0.3">
      <c r="A73" s="1">
        <v>72</v>
      </c>
      <c r="B73" s="1">
        <v>6729298</v>
      </c>
      <c r="C73" s="75" t="s">
        <v>584</v>
      </c>
      <c r="D73" s="1">
        <v>127260</v>
      </c>
      <c r="E73" s="1" t="s">
        <v>678</v>
      </c>
      <c r="F73" s="8" t="s">
        <v>219</v>
      </c>
      <c r="G73" s="8" t="s">
        <v>519</v>
      </c>
      <c r="H73" s="8" t="s">
        <v>582</v>
      </c>
      <c r="I73" s="83">
        <v>49646</v>
      </c>
      <c r="J73" s="2" t="s">
        <v>142</v>
      </c>
      <c r="K73" s="1" t="s">
        <v>126</v>
      </c>
      <c r="L73" s="1" t="s">
        <v>854</v>
      </c>
      <c r="M73" s="77">
        <v>45755</v>
      </c>
      <c r="N73" s="70" t="s">
        <v>915</v>
      </c>
      <c r="O73" s="1"/>
      <c r="P73" s="1"/>
      <c r="Q73" s="67">
        <f t="shared" si="6"/>
        <v>3</v>
      </c>
      <c r="R73" s="29">
        <f t="shared" si="7"/>
        <v>14</v>
      </c>
      <c r="S73" s="1"/>
      <c r="T73" s="1" t="s">
        <v>899</v>
      </c>
      <c r="U73" s="1" t="s">
        <v>579</v>
      </c>
      <c r="V73" s="1" t="s">
        <v>580</v>
      </c>
      <c r="W73" s="1" t="s">
        <v>380</v>
      </c>
      <c r="X73" s="1" t="s">
        <v>687</v>
      </c>
      <c r="Y73" s="5">
        <v>45754</v>
      </c>
      <c r="Z73" s="5">
        <v>45757</v>
      </c>
      <c r="AA73" s="3">
        <v>45755</v>
      </c>
      <c r="AB73" s="3">
        <v>45755</v>
      </c>
      <c r="AC73" s="3">
        <v>45758</v>
      </c>
      <c r="AD73" s="1">
        <v>91018002040</v>
      </c>
      <c r="AE73" s="1" t="s">
        <v>614</v>
      </c>
      <c r="AF73" s="1">
        <v>4</v>
      </c>
      <c r="AG73" s="1">
        <v>1272</v>
      </c>
      <c r="AH73" s="1"/>
      <c r="AI73" s="1" t="s">
        <v>611</v>
      </c>
      <c r="AJ73" s="1"/>
      <c r="AK73" s="3">
        <v>45754</v>
      </c>
      <c r="AL73" s="5">
        <v>45755</v>
      </c>
      <c r="AM73" s="3">
        <v>45755</v>
      </c>
      <c r="AN73" s="1"/>
      <c r="AO73" s="71">
        <v>9372393</v>
      </c>
      <c r="AP73" s="14">
        <v>45755</v>
      </c>
      <c r="AQ73" s="14">
        <v>45758</v>
      </c>
      <c r="AR73" s="1"/>
      <c r="AS73" s="5">
        <v>45763</v>
      </c>
      <c r="AT73" s="58">
        <v>49789</v>
      </c>
      <c r="AU73" s="1" t="s">
        <v>74</v>
      </c>
      <c r="AV73" s="5">
        <v>45763</v>
      </c>
      <c r="AW73" s="5">
        <v>45764</v>
      </c>
      <c r="AX73" s="1"/>
      <c r="AY73" s="2">
        <v>9623668</v>
      </c>
      <c r="AZ73" s="14">
        <v>45768</v>
      </c>
      <c r="BA73" s="1">
        <v>10995264</v>
      </c>
      <c r="BB73" s="1">
        <v>1979148</v>
      </c>
      <c r="BC73" s="5">
        <v>45769</v>
      </c>
      <c r="BD73" s="5">
        <v>45770</v>
      </c>
      <c r="BE73" s="1"/>
      <c r="BF73" s="14">
        <v>45770</v>
      </c>
      <c r="BG73" s="14">
        <v>45772</v>
      </c>
      <c r="BH73" s="2" t="s">
        <v>919</v>
      </c>
      <c r="BI73" s="2" t="s">
        <v>273</v>
      </c>
      <c r="BJ73" s="1"/>
      <c r="BK73" s="1"/>
      <c r="BL73" s="1"/>
      <c r="BM73" s="1"/>
      <c r="BN73" s="1"/>
      <c r="BO73" s="1"/>
      <c r="BP73" s="1"/>
      <c r="BQ73" s="1"/>
      <c r="BR73" s="5">
        <v>45764</v>
      </c>
    </row>
    <row r="74" spans="1:70" ht="18" customHeight="1" x14ac:dyDescent="0.3">
      <c r="A74" s="1">
        <v>73</v>
      </c>
      <c r="B74" s="1">
        <v>6732559</v>
      </c>
      <c r="C74" s="74">
        <v>45654</v>
      </c>
      <c r="D74" s="1">
        <v>74235</v>
      </c>
      <c r="E74" s="1" t="s">
        <v>678</v>
      </c>
      <c r="F74" s="8" t="s">
        <v>219</v>
      </c>
      <c r="G74" s="8" t="s">
        <v>650</v>
      </c>
      <c r="H74" s="8" t="s">
        <v>651</v>
      </c>
      <c r="I74" s="83">
        <v>49676</v>
      </c>
      <c r="J74" s="2" t="s">
        <v>142</v>
      </c>
      <c r="K74" s="1" t="s">
        <v>126</v>
      </c>
      <c r="L74" s="1" t="s">
        <v>854</v>
      </c>
      <c r="M74" s="77">
        <v>45757</v>
      </c>
      <c r="N74" s="70" t="s">
        <v>912</v>
      </c>
      <c r="O74" s="1">
        <v>2727</v>
      </c>
      <c r="P74" s="1"/>
      <c r="Q74" s="67">
        <f t="shared" si="6"/>
        <v>5</v>
      </c>
      <c r="R74" s="29">
        <f t="shared" si="7"/>
        <v>10</v>
      </c>
      <c r="S74" s="1"/>
      <c r="T74" s="1" t="s">
        <v>902</v>
      </c>
      <c r="U74" s="1" t="s">
        <v>649</v>
      </c>
      <c r="V74" s="2" t="s">
        <v>1473</v>
      </c>
      <c r="W74" s="71" t="s">
        <v>426</v>
      </c>
      <c r="X74" s="1">
        <v>20255039328</v>
      </c>
      <c r="Y74" s="5">
        <v>45751</v>
      </c>
      <c r="Z74" s="5">
        <v>45758</v>
      </c>
      <c r="AA74" s="3">
        <v>45756</v>
      </c>
      <c r="AB74" s="3">
        <v>45757</v>
      </c>
      <c r="AC74" s="5">
        <v>45762</v>
      </c>
      <c r="AD74" s="1">
        <v>17608001910</v>
      </c>
      <c r="AE74" s="1" t="s">
        <v>669</v>
      </c>
      <c r="AF74" s="1">
        <v>3</v>
      </c>
      <c r="AG74" s="1">
        <v>692</v>
      </c>
      <c r="AH74" s="1"/>
      <c r="AI74" s="1" t="s">
        <v>180</v>
      </c>
      <c r="AJ74" s="1"/>
      <c r="AK74" s="3">
        <v>45755</v>
      </c>
      <c r="AL74" s="5">
        <v>45756</v>
      </c>
      <c r="AM74" s="3">
        <v>45756</v>
      </c>
      <c r="AN74" s="1"/>
      <c r="AO74" s="1">
        <v>9419990</v>
      </c>
      <c r="AP74" s="14">
        <v>45758</v>
      </c>
      <c r="AQ74" s="14">
        <v>45762</v>
      </c>
      <c r="AR74" s="8" t="s">
        <v>686</v>
      </c>
      <c r="AS74" s="5">
        <v>45763</v>
      </c>
      <c r="AT74" s="58">
        <v>49782</v>
      </c>
      <c r="AU74" s="1" t="s">
        <v>786</v>
      </c>
      <c r="AV74" s="5">
        <v>45763</v>
      </c>
      <c r="AW74" s="5">
        <v>45764</v>
      </c>
      <c r="AX74" s="1"/>
      <c r="AY74" s="2">
        <v>9625347</v>
      </c>
      <c r="AZ74" s="14">
        <v>45768</v>
      </c>
      <c r="BA74" s="1">
        <v>6413904</v>
      </c>
      <c r="BB74" s="2">
        <v>1155452</v>
      </c>
      <c r="BC74" s="5">
        <v>45769</v>
      </c>
      <c r="BD74" s="5">
        <v>45770</v>
      </c>
      <c r="BE74" s="1"/>
      <c r="BF74" s="14">
        <v>45770</v>
      </c>
      <c r="BG74" s="14">
        <v>45772</v>
      </c>
      <c r="BH74" s="2" t="s">
        <v>911</v>
      </c>
      <c r="BI74" s="2" t="s">
        <v>273</v>
      </c>
      <c r="BJ74" s="1"/>
      <c r="BK74" s="1"/>
      <c r="BL74" s="1"/>
      <c r="BM74" s="1"/>
      <c r="BN74" s="1"/>
      <c r="BO74" s="1"/>
      <c r="BP74" s="1"/>
      <c r="BQ74" s="1"/>
      <c r="BR74" s="5">
        <v>45764</v>
      </c>
    </row>
    <row r="75" spans="1:70" ht="18" customHeight="1" x14ac:dyDescent="0.3">
      <c r="A75" s="1">
        <v>74</v>
      </c>
      <c r="B75" s="1">
        <v>6875318</v>
      </c>
      <c r="C75" s="74">
        <v>45734</v>
      </c>
      <c r="D75" s="1">
        <v>93080</v>
      </c>
      <c r="E75" s="1" t="s">
        <v>678</v>
      </c>
      <c r="F75" s="8" t="s">
        <v>224</v>
      </c>
      <c r="G75" s="8" t="s">
        <v>763</v>
      </c>
      <c r="H75" s="8" t="s">
        <v>141</v>
      </c>
      <c r="I75" s="83">
        <v>49733</v>
      </c>
      <c r="J75" s="2" t="s">
        <v>142</v>
      </c>
      <c r="K75" s="1" t="s">
        <v>126</v>
      </c>
      <c r="L75" s="1" t="s">
        <v>854</v>
      </c>
      <c r="M75" s="77">
        <v>45761</v>
      </c>
      <c r="N75" s="70" t="s">
        <v>910</v>
      </c>
      <c r="P75" s="1"/>
      <c r="Q75" s="67">
        <f t="shared" si="6"/>
        <v>3</v>
      </c>
      <c r="R75" s="29">
        <f t="shared" si="7"/>
        <v>8</v>
      </c>
      <c r="S75" s="1"/>
      <c r="T75" s="1" t="s">
        <v>903</v>
      </c>
      <c r="U75" s="8" t="s">
        <v>720</v>
      </c>
      <c r="V75" s="1" t="s">
        <v>239</v>
      </c>
      <c r="W75" s="1" t="s">
        <v>454</v>
      </c>
      <c r="X75" s="68">
        <v>20255040633</v>
      </c>
      <c r="Y75" s="63">
        <v>45755</v>
      </c>
      <c r="Z75" s="5">
        <v>45762</v>
      </c>
      <c r="AA75" s="3">
        <v>45761</v>
      </c>
      <c r="AB75" s="3">
        <v>45761</v>
      </c>
      <c r="AC75" s="5">
        <v>45764</v>
      </c>
      <c r="AD75" s="1">
        <v>17605524960</v>
      </c>
      <c r="AE75" s="1" t="s">
        <v>721</v>
      </c>
      <c r="AF75" s="1">
        <v>1</v>
      </c>
      <c r="AG75" s="1">
        <v>798.5</v>
      </c>
      <c r="AH75" s="1"/>
      <c r="AI75" s="1" t="s">
        <v>180</v>
      </c>
      <c r="AJ75" s="1"/>
      <c r="AK75" s="3">
        <v>45759</v>
      </c>
      <c r="AL75" s="5">
        <v>45761</v>
      </c>
      <c r="AM75" s="5">
        <v>45761</v>
      </c>
      <c r="AN75" s="1"/>
      <c r="AO75" s="1">
        <v>9494810</v>
      </c>
      <c r="AP75" s="14">
        <v>45762</v>
      </c>
      <c r="AQ75" s="14">
        <v>45764</v>
      </c>
      <c r="AR75" s="1" t="s">
        <v>764</v>
      </c>
      <c r="AS75" s="5">
        <v>45768</v>
      </c>
      <c r="AT75" s="58">
        <v>49824</v>
      </c>
      <c r="AU75" s="1" t="s">
        <v>74</v>
      </c>
      <c r="AV75" s="5">
        <v>45768</v>
      </c>
      <c r="AW75" s="5">
        <v>45768</v>
      </c>
      <c r="AX75" s="1"/>
      <c r="AY75" s="2">
        <v>9659557</v>
      </c>
      <c r="AZ75" s="14">
        <v>45770</v>
      </c>
      <c r="BA75" s="1">
        <v>8042112</v>
      </c>
      <c r="BB75" s="1">
        <v>1447580</v>
      </c>
      <c r="BC75" s="5">
        <v>45770</v>
      </c>
      <c r="BD75" s="5">
        <v>45771</v>
      </c>
      <c r="BE75" s="1"/>
      <c r="BF75" s="14">
        <v>45771</v>
      </c>
      <c r="BG75" s="14">
        <v>45772</v>
      </c>
      <c r="BH75" s="2" t="s">
        <v>909</v>
      </c>
      <c r="BI75" s="2" t="s">
        <v>273</v>
      </c>
      <c r="BJ75" s="1"/>
      <c r="BK75" s="1"/>
      <c r="BL75" s="1"/>
      <c r="BM75" s="1"/>
      <c r="BN75" s="1"/>
      <c r="BO75" s="1"/>
      <c r="BP75" s="1"/>
      <c r="BQ75" s="1"/>
      <c r="BR75" s="1"/>
    </row>
    <row r="76" spans="1:70" ht="18" customHeight="1" x14ac:dyDescent="0.3">
      <c r="A76" s="1">
        <v>75</v>
      </c>
      <c r="B76" s="1">
        <v>6729308</v>
      </c>
      <c r="C76" s="74">
        <v>45643</v>
      </c>
      <c r="D76" s="1">
        <v>29694</v>
      </c>
      <c r="E76" s="1" t="s">
        <v>678</v>
      </c>
      <c r="F76" s="8" t="s">
        <v>219</v>
      </c>
      <c r="G76" s="8" t="s">
        <v>519</v>
      </c>
      <c r="H76" s="8" t="s">
        <v>740</v>
      </c>
      <c r="I76" s="83">
        <v>49729</v>
      </c>
      <c r="J76" s="2" t="s">
        <v>142</v>
      </c>
      <c r="K76" s="1" t="s">
        <v>126</v>
      </c>
      <c r="L76" s="1" t="s">
        <v>854</v>
      </c>
      <c r="M76" s="77">
        <v>45761</v>
      </c>
      <c r="N76" s="70" t="s">
        <v>917</v>
      </c>
      <c r="P76" s="1"/>
      <c r="Q76" s="67">
        <f t="shared" si="6"/>
        <v>3</v>
      </c>
      <c r="R76" s="29">
        <f t="shared" si="7"/>
        <v>9</v>
      </c>
      <c r="S76" s="1"/>
      <c r="T76" s="1" t="s">
        <v>901</v>
      </c>
      <c r="U76" s="1" t="s">
        <v>741</v>
      </c>
      <c r="V76" s="1" t="s">
        <v>580</v>
      </c>
      <c r="W76" s="1" t="s">
        <v>380</v>
      </c>
      <c r="X76" s="1">
        <v>2055041956</v>
      </c>
      <c r="Y76" s="5">
        <v>45757</v>
      </c>
      <c r="Z76" s="5">
        <v>45764</v>
      </c>
      <c r="AA76" s="3">
        <v>45761</v>
      </c>
      <c r="AB76" s="3">
        <v>45761</v>
      </c>
      <c r="AC76" s="5">
        <v>45764</v>
      </c>
      <c r="AD76" s="1" t="s">
        <v>742</v>
      </c>
      <c r="AE76" s="1" t="s">
        <v>743</v>
      </c>
      <c r="AF76" s="1">
        <v>1</v>
      </c>
      <c r="AG76" s="1">
        <v>290.5</v>
      </c>
      <c r="AH76" s="1"/>
      <c r="AI76" s="1" t="s">
        <v>180</v>
      </c>
      <c r="AJ76" s="1"/>
      <c r="AK76" s="3">
        <v>45759</v>
      </c>
      <c r="AL76" s="5">
        <v>45761</v>
      </c>
      <c r="AM76" s="3">
        <v>45761</v>
      </c>
      <c r="AN76" s="1"/>
      <c r="AO76" s="1">
        <v>9493945</v>
      </c>
      <c r="AP76" s="14">
        <v>45762</v>
      </c>
      <c r="AQ76" s="14">
        <v>45764</v>
      </c>
      <c r="AR76" s="1"/>
      <c r="AS76" s="5">
        <v>45768</v>
      </c>
      <c r="AT76" s="58">
        <v>49827</v>
      </c>
      <c r="AU76" s="1" t="s">
        <v>74</v>
      </c>
      <c r="AV76" s="5">
        <v>45768</v>
      </c>
      <c r="AW76" s="5">
        <v>45768</v>
      </c>
      <c r="AX76" s="1"/>
      <c r="AY76" s="2">
        <v>9643610</v>
      </c>
      <c r="AZ76" s="14">
        <v>45769</v>
      </c>
      <c r="BA76" s="1">
        <v>2565562</v>
      </c>
      <c r="BB76" s="1">
        <v>461801</v>
      </c>
      <c r="BC76" s="5">
        <v>45770</v>
      </c>
      <c r="BD76" s="5">
        <v>45770</v>
      </c>
      <c r="BE76" s="1"/>
      <c r="BF76" s="14">
        <v>45770</v>
      </c>
      <c r="BG76" s="14">
        <v>45773</v>
      </c>
      <c r="BH76" s="2" t="s">
        <v>918</v>
      </c>
      <c r="BI76" s="2" t="s">
        <v>273</v>
      </c>
      <c r="BJ76" s="1"/>
      <c r="BK76" s="1"/>
      <c r="BL76" s="1"/>
      <c r="BM76" s="1"/>
      <c r="BN76" s="1"/>
      <c r="BO76" s="1"/>
      <c r="BP76" s="1"/>
      <c r="BQ76" s="1"/>
      <c r="BR76" s="5">
        <v>45768</v>
      </c>
    </row>
    <row r="77" spans="1:70" ht="18" customHeight="1" x14ac:dyDescent="0.3">
      <c r="A77" s="1">
        <v>76</v>
      </c>
      <c r="B77" s="8" t="s">
        <v>663</v>
      </c>
      <c r="C77" s="75" t="s">
        <v>664</v>
      </c>
      <c r="D77" s="8" t="s">
        <v>665</v>
      </c>
      <c r="E77" s="1" t="s">
        <v>678</v>
      </c>
      <c r="F77" s="8" t="s">
        <v>219</v>
      </c>
      <c r="G77" s="8" t="s">
        <v>650</v>
      </c>
      <c r="H77" s="8" t="s">
        <v>666</v>
      </c>
      <c r="I77" s="83">
        <v>49663</v>
      </c>
      <c r="J77" s="2" t="s">
        <v>142</v>
      </c>
      <c r="K77" s="1" t="s">
        <v>126</v>
      </c>
      <c r="L77" s="1" t="s">
        <v>854</v>
      </c>
      <c r="M77" s="77">
        <v>45756</v>
      </c>
      <c r="N77" s="70" t="s">
        <v>935</v>
      </c>
      <c r="O77" s="1">
        <v>6700</v>
      </c>
      <c r="P77" s="1"/>
      <c r="Q77" s="67">
        <f t="shared" si="6"/>
        <v>6</v>
      </c>
      <c r="R77" s="29">
        <f t="shared" si="7"/>
        <v>13</v>
      </c>
      <c r="S77" s="1"/>
      <c r="T77" s="1" t="s">
        <v>914</v>
      </c>
      <c r="U77" s="8" t="s">
        <v>667</v>
      </c>
      <c r="V77" s="1" t="s">
        <v>384</v>
      </c>
      <c r="W77" s="1" t="s">
        <v>421</v>
      </c>
      <c r="X77" s="68">
        <v>20255039539</v>
      </c>
      <c r="Y77" s="5">
        <v>45751</v>
      </c>
      <c r="Z77" s="5">
        <v>45758</v>
      </c>
      <c r="AA77" s="3">
        <v>45756</v>
      </c>
      <c r="AB77" s="3">
        <v>45756</v>
      </c>
      <c r="AC77" s="5">
        <v>45762</v>
      </c>
      <c r="AD77" s="1">
        <v>17608002665</v>
      </c>
      <c r="AE77" s="1" t="s">
        <v>668</v>
      </c>
      <c r="AF77" s="1">
        <v>6</v>
      </c>
      <c r="AG77" s="1">
        <v>1700</v>
      </c>
      <c r="AH77" s="1"/>
      <c r="AI77" s="1" t="s">
        <v>180</v>
      </c>
      <c r="AJ77" s="1"/>
      <c r="AK77" s="3">
        <v>45755</v>
      </c>
      <c r="AL77" s="5">
        <v>45756</v>
      </c>
      <c r="AM77" s="3">
        <v>45756</v>
      </c>
      <c r="AN77" s="1"/>
      <c r="AO77" s="1">
        <v>9419946</v>
      </c>
      <c r="AP77" s="14">
        <v>45758</v>
      </c>
      <c r="AQ77" s="14">
        <v>45762</v>
      </c>
      <c r="AR77" s="1"/>
      <c r="AS77" s="5">
        <v>45763</v>
      </c>
      <c r="AT77" s="58">
        <v>49788</v>
      </c>
      <c r="AU77" s="1" t="s">
        <v>74</v>
      </c>
      <c r="AV77" s="5">
        <v>45763</v>
      </c>
      <c r="AW77" s="5">
        <v>45764</v>
      </c>
      <c r="AX77" s="1"/>
      <c r="AY77" s="2">
        <v>9680626</v>
      </c>
      <c r="AZ77" s="2" t="s">
        <v>889</v>
      </c>
      <c r="BA77" s="1">
        <v>15393370</v>
      </c>
      <c r="BB77" s="1">
        <v>2770806</v>
      </c>
      <c r="BC77" s="5">
        <v>45771</v>
      </c>
      <c r="BD77" s="5">
        <v>45772</v>
      </c>
      <c r="BE77" s="1"/>
      <c r="BF77" s="14">
        <v>45773</v>
      </c>
      <c r="BG77" s="14">
        <v>45775</v>
      </c>
      <c r="BH77" s="2" t="s">
        <v>936</v>
      </c>
      <c r="BI77" s="2" t="s">
        <v>273</v>
      </c>
      <c r="BJ77" s="1"/>
      <c r="BK77" s="1"/>
      <c r="BL77" s="1"/>
      <c r="BM77" s="1"/>
      <c r="BN77" s="1"/>
      <c r="BO77" s="1"/>
      <c r="BP77" s="1"/>
      <c r="BQ77" s="1"/>
      <c r="BR77" s="1"/>
    </row>
    <row r="78" spans="1:70" ht="18" customHeight="1" x14ac:dyDescent="0.3">
      <c r="A78" s="1">
        <v>77</v>
      </c>
      <c r="B78" s="1">
        <v>6732316</v>
      </c>
      <c r="C78" s="74">
        <v>45652</v>
      </c>
      <c r="D78" s="1">
        <v>159075</v>
      </c>
      <c r="E78" s="1" t="s">
        <v>678</v>
      </c>
      <c r="F78" s="8" t="s">
        <v>219</v>
      </c>
      <c r="G78" s="8" t="s">
        <v>650</v>
      </c>
      <c r="H78" s="8" t="s">
        <v>525</v>
      </c>
      <c r="I78" s="83">
        <v>49678</v>
      </c>
      <c r="J78" s="2" t="s">
        <v>142</v>
      </c>
      <c r="K78" s="1" t="s">
        <v>126</v>
      </c>
      <c r="L78" s="1" t="s">
        <v>854</v>
      </c>
      <c r="M78" s="77">
        <v>45757</v>
      </c>
      <c r="N78" s="70" t="s">
        <v>934</v>
      </c>
      <c r="O78" s="1">
        <v>35011</v>
      </c>
      <c r="P78" s="1"/>
      <c r="Q78" s="67">
        <f t="shared" si="6"/>
        <v>6</v>
      </c>
      <c r="R78" s="29">
        <f t="shared" si="7"/>
        <v>12</v>
      </c>
      <c r="S78" s="1"/>
      <c r="T78" s="88" t="s">
        <v>913</v>
      </c>
      <c r="U78" s="1" t="s">
        <v>673</v>
      </c>
      <c r="V78" s="1" t="s">
        <v>384</v>
      </c>
      <c r="W78" s="1" t="s">
        <v>421</v>
      </c>
      <c r="X78" s="68">
        <v>20255039571</v>
      </c>
      <c r="Y78" s="5">
        <v>45751</v>
      </c>
      <c r="Z78" s="5">
        <v>45758</v>
      </c>
      <c r="AA78" s="3">
        <v>45757</v>
      </c>
      <c r="AB78" s="3">
        <v>45757</v>
      </c>
      <c r="AC78" s="5">
        <v>45763</v>
      </c>
      <c r="AD78" s="1">
        <v>61841617586</v>
      </c>
      <c r="AE78" s="1" t="s">
        <v>674</v>
      </c>
      <c r="AF78" s="1">
        <v>5</v>
      </c>
      <c r="AG78" s="1">
        <v>1485</v>
      </c>
      <c r="AH78" s="1"/>
      <c r="AI78" s="1" t="s">
        <v>180</v>
      </c>
      <c r="AJ78" s="1"/>
      <c r="AK78" s="3">
        <v>45756</v>
      </c>
      <c r="AL78" s="5">
        <v>45756</v>
      </c>
      <c r="AM78" s="3">
        <v>45756</v>
      </c>
      <c r="AN78" s="1"/>
      <c r="AO78" s="1">
        <v>9431462</v>
      </c>
      <c r="AP78" s="14">
        <v>45758</v>
      </c>
      <c r="AQ78" s="14">
        <v>45763</v>
      </c>
      <c r="AR78" s="1"/>
      <c r="AS78" s="5">
        <v>45771</v>
      </c>
      <c r="AT78" s="58">
        <v>49808</v>
      </c>
      <c r="AU78" s="1" t="s">
        <v>74</v>
      </c>
      <c r="AV78" s="5">
        <v>45771</v>
      </c>
      <c r="AW78" s="5">
        <v>45771</v>
      </c>
      <c r="AX78" s="1"/>
      <c r="AY78" s="2">
        <v>9679545</v>
      </c>
      <c r="AZ78" s="14">
        <v>45771</v>
      </c>
      <c r="BA78" s="1">
        <v>13744080</v>
      </c>
      <c r="BB78" s="1">
        <v>2473934</v>
      </c>
      <c r="BC78" s="5">
        <v>45771</v>
      </c>
      <c r="BD78" s="5">
        <v>45772</v>
      </c>
      <c r="BE78" s="1"/>
      <c r="BF78" s="14">
        <v>45773</v>
      </c>
      <c r="BG78" s="14">
        <v>45775</v>
      </c>
      <c r="BH78" s="2" t="s">
        <v>932</v>
      </c>
      <c r="BI78" s="2" t="s">
        <v>273</v>
      </c>
      <c r="BJ78" s="1"/>
      <c r="BK78" s="1"/>
      <c r="BL78" s="1"/>
      <c r="BM78" s="8" t="s">
        <v>880</v>
      </c>
      <c r="BN78" s="1"/>
      <c r="BO78" s="1"/>
      <c r="BP78" s="1"/>
      <c r="BQ78" s="5">
        <v>45771</v>
      </c>
      <c r="BR78" s="5">
        <v>45771</v>
      </c>
    </row>
    <row r="79" spans="1:70" ht="18" customHeight="1" x14ac:dyDescent="0.3">
      <c r="A79" s="1">
        <v>78</v>
      </c>
      <c r="B79" s="1">
        <v>6885582</v>
      </c>
      <c r="C79" s="74">
        <v>45744</v>
      </c>
      <c r="D79" s="1">
        <v>77326</v>
      </c>
      <c r="E79" s="1" t="s">
        <v>678</v>
      </c>
      <c r="F79" s="8" t="s">
        <v>131</v>
      </c>
      <c r="G79" s="8" t="s">
        <v>567</v>
      </c>
      <c r="H79" s="8" t="s">
        <v>718</v>
      </c>
      <c r="I79" s="83">
        <v>49728</v>
      </c>
      <c r="J79" s="2" t="s">
        <v>142</v>
      </c>
      <c r="K79" s="1" t="s">
        <v>126</v>
      </c>
      <c r="L79" s="1" t="s">
        <v>854</v>
      </c>
      <c r="M79" s="77">
        <v>45761</v>
      </c>
      <c r="N79" s="70" t="s">
        <v>938</v>
      </c>
      <c r="P79" s="1"/>
      <c r="Q79" s="67">
        <f t="shared" si="6"/>
        <v>3</v>
      </c>
      <c r="R79" s="29">
        <f t="shared" si="7"/>
        <v>12</v>
      </c>
      <c r="S79" s="1"/>
      <c r="T79" s="1">
        <v>1977</v>
      </c>
      <c r="U79" s="1" t="s">
        <v>569</v>
      </c>
      <c r="V79" s="1" t="s">
        <v>844</v>
      </c>
      <c r="W79" s="1" t="s">
        <v>380</v>
      </c>
      <c r="X79" s="68">
        <v>20255040734</v>
      </c>
      <c r="Y79" s="5">
        <v>45755</v>
      </c>
      <c r="Z79" s="5">
        <v>45761</v>
      </c>
      <c r="AA79" s="3">
        <v>45761</v>
      </c>
      <c r="AB79" s="3">
        <v>45761</v>
      </c>
      <c r="AC79" s="5">
        <v>45764</v>
      </c>
      <c r="AD79" s="1">
        <v>17605524960</v>
      </c>
      <c r="AE79" s="1" t="s">
        <v>719</v>
      </c>
      <c r="AF79" s="1">
        <v>1</v>
      </c>
      <c r="AG79" s="1">
        <v>261</v>
      </c>
      <c r="AH79" s="1"/>
      <c r="AI79" s="1" t="s">
        <v>180</v>
      </c>
      <c r="AJ79" s="1"/>
      <c r="AK79" s="3">
        <v>45759</v>
      </c>
      <c r="AL79" s="5">
        <v>45761</v>
      </c>
      <c r="AM79" s="5">
        <v>45761</v>
      </c>
      <c r="AN79" s="1"/>
      <c r="AO79" s="1">
        <v>9493942</v>
      </c>
      <c r="AP79" s="14">
        <v>45762</v>
      </c>
      <c r="AQ79" s="14">
        <v>45764</v>
      </c>
      <c r="AR79" s="1" t="s">
        <v>764</v>
      </c>
      <c r="AS79" s="5">
        <v>45770</v>
      </c>
      <c r="AT79" s="58">
        <v>49829</v>
      </c>
      <c r="AU79" s="1" t="s">
        <v>74</v>
      </c>
      <c r="AV79" s="5">
        <v>45770</v>
      </c>
      <c r="AW79" s="1" t="s">
        <v>875</v>
      </c>
      <c r="AX79" s="1"/>
      <c r="AY79" s="2">
        <v>9680623</v>
      </c>
      <c r="AZ79" s="2" t="s">
        <v>889</v>
      </c>
      <c r="BA79" s="1">
        <v>6680966</v>
      </c>
      <c r="BB79" s="1">
        <v>1202574</v>
      </c>
      <c r="BC79" s="5">
        <v>45771</v>
      </c>
      <c r="BD79" s="5">
        <v>45775</v>
      </c>
      <c r="BE79" s="1"/>
      <c r="BF79" s="14">
        <v>45775</v>
      </c>
      <c r="BG79" s="14">
        <v>45776</v>
      </c>
      <c r="BH79" s="2" t="s">
        <v>937</v>
      </c>
      <c r="BI79" s="2" t="s">
        <v>273</v>
      </c>
      <c r="BJ79" s="1"/>
      <c r="BK79" s="1"/>
      <c r="BL79" s="1"/>
      <c r="BM79" s="1"/>
      <c r="BN79" s="1"/>
      <c r="BO79" s="1"/>
      <c r="BP79" s="1"/>
      <c r="BQ79" s="5">
        <v>45770</v>
      </c>
      <c r="BR79" s="5">
        <v>45770</v>
      </c>
    </row>
    <row r="80" spans="1:70" ht="18" customHeight="1" x14ac:dyDescent="0.3">
      <c r="A80" s="1">
        <v>79</v>
      </c>
      <c r="B80" s="1">
        <v>6732565</v>
      </c>
      <c r="C80" s="74">
        <v>45656</v>
      </c>
      <c r="D80" s="1">
        <v>159075</v>
      </c>
      <c r="E80" s="1" t="s">
        <v>678</v>
      </c>
      <c r="F80" s="8" t="s">
        <v>219</v>
      </c>
      <c r="G80" s="8" t="s">
        <v>519</v>
      </c>
      <c r="H80" s="8" t="s">
        <v>525</v>
      </c>
      <c r="I80" s="83">
        <v>49730</v>
      </c>
      <c r="J80" s="2" t="s">
        <v>142</v>
      </c>
      <c r="K80" s="1" t="s">
        <v>126</v>
      </c>
      <c r="L80" s="1" t="s">
        <v>854</v>
      </c>
      <c r="M80" s="77">
        <v>45761</v>
      </c>
      <c r="N80" s="70" t="s">
        <v>933</v>
      </c>
      <c r="P80" s="1"/>
      <c r="Q80" s="67">
        <f t="shared" si="6"/>
        <v>3</v>
      </c>
      <c r="R80" s="29">
        <f t="shared" si="7"/>
        <v>11</v>
      </c>
      <c r="S80" s="1"/>
      <c r="T80" s="88" t="s">
        <v>913</v>
      </c>
      <c r="U80" s="1" t="s">
        <v>675</v>
      </c>
      <c r="V80" s="1" t="s">
        <v>384</v>
      </c>
      <c r="W80" s="1" t="s">
        <v>421</v>
      </c>
      <c r="X80" s="68">
        <v>20255040730</v>
      </c>
      <c r="Y80" s="5">
        <v>45755</v>
      </c>
      <c r="Z80" s="5">
        <v>45762</v>
      </c>
      <c r="AA80" s="3">
        <v>45761</v>
      </c>
      <c r="AB80" s="3">
        <v>45761</v>
      </c>
      <c r="AC80" s="5">
        <v>45764</v>
      </c>
      <c r="AD80" s="1">
        <v>17605524956</v>
      </c>
      <c r="AE80" s="1" t="s">
        <v>773</v>
      </c>
      <c r="AF80" s="1">
        <v>5</v>
      </c>
      <c r="AG80" s="1">
        <v>1473</v>
      </c>
      <c r="AH80" s="1"/>
      <c r="AI80" s="1" t="s">
        <v>180</v>
      </c>
      <c r="AJ80" s="1"/>
      <c r="AK80" s="3">
        <v>45759</v>
      </c>
      <c r="AL80" s="5">
        <v>45761</v>
      </c>
      <c r="AM80" s="3">
        <v>45761</v>
      </c>
      <c r="AN80" s="1"/>
      <c r="AO80" s="1">
        <v>9493947</v>
      </c>
      <c r="AP80" s="14">
        <v>45762</v>
      </c>
      <c r="AQ80" s="14">
        <v>45764</v>
      </c>
      <c r="AR80" s="1"/>
      <c r="AS80" s="5">
        <v>45769</v>
      </c>
      <c r="AT80" s="58">
        <v>49826</v>
      </c>
      <c r="AU80" s="1" t="s">
        <v>74</v>
      </c>
      <c r="AV80" s="5">
        <v>45769</v>
      </c>
      <c r="AW80" s="5">
        <v>45770</v>
      </c>
      <c r="AX80" s="1"/>
      <c r="AY80" s="2">
        <v>9679859</v>
      </c>
      <c r="AZ80" s="4">
        <v>45771</v>
      </c>
      <c r="BA80" s="1">
        <v>13744080</v>
      </c>
      <c r="BB80" s="1">
        <v>2473934</v>
      </c>
      <c r="BC80" s="5">
        <v>45771</v>
      </c>
      <c r="BD80" s="5">
        <v>45772</v>
      </c>
      <c r="BE80" s="1"/>
      <c r="BF80" s="14">
        <v>45773</v>
      </c>
      <c r="BG80" s="14">
        <v>45775</v>
      </c>
      <c r="BH80" s="2" t="s">
        <v>932</v>
      </c>
      <c r="BI80" s="2" t="s">
        <v>273</v>
      </c>
      <c r="BJ80" s="1"/>
      <c r="BK80" s="1"/>
      <c r="BL80" s="1"/>
      <c r="BM80" s="8" t="s">
        <v>876</v>
      </c>
      <c r="BN80" s="1"/>
      <c r="BO80" s="1"/>
      <c r="BP80" s="1"/>
      <c r="BQ80" s="5">
        <v>45770</v>
      </c>
      <c r="BR80" s="5">
        <v>45771</v>
      </c>
    </row>
    <row r="81" spans="1:70" ht="18" customHeight="1" x14ac:dyDescent="0.3">
      <c r="A81" s="1">
        <v>80</v>
      </c>
      <c r="B81" s="1">
        <v>6898626</v>
      </c>
      <c r="C81" s="74">
        <v>45758</v>
      </c>
      <c r="D81" s="1">
        <v>67240</v>
      </c>
      <c r="E81" s="1" t="s">
        <v>840</v>
      </c>
      <c r="F81" s="8" t="s">
        <v>648</v>
      </c>
      <c r="G81" s="8" t="s">
        <v>646</v>
      </c>
      <c r="H81" s="8" t="s">
        <v>201</v>
      </c>
      <c r="I81" s="83">
        <v>49860</v>
      </c>
      <c r="J81" s="2" t="s">
        <v>142</v>
      </c>
      <c r="K81" s="1" t="s">
        <v>126</v>
      </c>
      <c r="L81" s="1" t="s">
        <v>854</v>
      </c>
      <c r="M81" s="77">
        <v>45769</v>
      </c>
      <c r="N81" s="70" t="s">
        <v>967</v>
      </c>
      <c r="P81" s="1"/>
      <c r="Q81" s="67">
        <f t="shared" si="6"/>
        <v>2</v>
      </c>
      <c r="R81" s="29">
        <f t="shared" si="7"/>
        <v>8</v>
      </c>
      <c r="S81" s="1"/>
      <c r="T81" s="1" t="s">
        <v>940</v>
      </c>
      <c r="U81" s="1" t="s">
        <v>841</v>
      </c>
      <c r="V81" s="2" t="s">
        <v>335</v>
      </c>
      <c r="W81" s="1" t="s">
        <v>163</v>
      </c>
      <c r="X81" s="1">
        <v>20255044816</v>
      </c>
      <c r="Y81" s="5">
        <v>45764</v>
      </c>
      <c r="Z81" s="5">
        <v>45771</v>
      </c>
      <c r="AA81" s="3">
        <v>45769</v>
      </c>
      <c r="AB81" s="3">
        <v>45769</v>
      </c>
      <c r="AC81" s="5">
        <v>45771</v>
      </c>
      <c r="AD81" s="1">
        <v>23210557245</v>
      </c>
      <c r="AE81" s="1" t="s">
        <v>842</v>
      </c>
      <c r="AF81" s="1">
        <v>1</v>
      </c>
      <c r="AG81" s="1">
        <v>231</v>
      </c>
      <c r="AH81" s="1"/>
      <c r="AI81" s="1" t="s">
        <v>180</v>
      </c>
      <c r="AJ81" s="1"/>
      <c r="AK81" s="3">
        <v>45768</v>
      </c>
      <c r="AL81" s="5">
        <v>45768</v>
      </c>
      <c r="AM81" s="3">
        <v>45768</v>
      </c>
      <c r="AN81" s="1"/>
      <c r="AO81" s="1">
        <v>9647070</v>
      </c>
      <c r="AP81" s="14">
        <v>45769</v>
      </c>
      <c r="AQ81" s="14">
        <v>45771</v>
      </c>
      <c r="AR81" s="1"/>
      <c r="AS81" s="5">
        <v>45771</v>
      </c>
      <c r="AT81" s="58">
        <v>49889</v>
      </c>
      <c r="AU81" s="1" t="s">
        <v>74</v>
      </c>
      <c r="AV81" s="5">
        <v>45406</v>
      </c>
      <c r="AW81" s="5">
        <v>45772</v>
      </c>
      <c r="AX81" s="1"/>
      <c r="AY81" s="2">
        <v>9741716</v>
      </c>
      <c r="AZ81" s="14">
        <v>45775</v>
      </c>
      <c r="BA81" s="1" t="s">
        <v>924</v>
      </c>
      <c r="BB81" s="1" t="s">
        <v>925</v>
      </c>
      <c r="BC81" s="5">
        <v>45775</v>
      </c>
      <c r="BD81" s="5">
        <v>45776</v>
      </c>
      <c r="BE81" s="1"/>
      <c r="BF81" s="14">
        <v>45777</v>
      </c>
      <c r="BG81" s="14">
        <v>45779</v>
      </c>
      <c r="BH81" s="2" t="s">
        <v>966</v>
      </c>
      <c r="BI81" s="2" t="s">
        <v>282</v>
      </c>
      <c r="BJ81" s="1"/>
      <c r="BK81" s="1"/>
      <c r="BL81" s="1"/>
      <c r="BM81" s="8" t="s">
        <v>890</v>
      </c>
      <c r="BN81" s="1"/>
      <c r="BO81" s="1"/>
      <c r="BP81" s="1"/>
      <c r="BQ81" s="5">
        <v>45772</v>
      </c>
      <c r="BR81" s="5">
        <v>45772</v>
      </c>
    </row>
    <row r="82" spans="1:70" ht="18" customHeight="1" x14ac:dyDescent="0.3">
      <c r="A82" s="1">
        <v>81</v>
      </c>
      <c r="B82" s="1">
        <v>6897322</v>
      </c>
      <c r="C82" s="74">
        <v>45761</v>
      </c>
      <c r="D82" s="1">
        <v>100860</v>
      </c>
      <c r="E82" s="1" t="s">
        <v>840</v>
      </c>
      <c r="F82" s="8" t="s">
        <v>648</v>
      </c>
      <c r="G82" s="8" t="s">
        <v>646</v>
      </c>
      <c r="H82" s="8" t="s">
        <v>451</v>
      </c>
      <c r="I82" s="83">
        <v>49859</v>
      </c>
      <c r="J82" s="2" t="s">
        <v>142</v>
      </c>
      <c r="K82" s="1" t="s">
        <v>126</v>
      </c>
      <c r="L82" s="1" t="s">
        <v>854</v>
      </c>
      <c r="M82" s="77">
        <v>45769</v>
      </c>
      <c r="N82" s="70" t="s">
        <v>968</v>
      </c>
      <c r="P82" s="1"/>
      <c r="Q82" s="67">
        <f t="shared" si="6"/>
        <v>2</v>
      </c>
      <c r="R82" s="29">
        <f t="shared" si="7"/>
        <v>8</v>
      </c>
      <c r="S82" s="1"/>
      <c r="T82" s="1" t="s">
        <v>939</v>
      </c>
      <c r="U82" s="1" t="s">
        <v>841</v>
      </c>
      <c r="V82" s="2" t="s">
        <v>335</v>
      </c>
      <c r="W82" s="1" t="s">
        <v>163</v>
      </c>
      <c r="X82" s="1">
        <v>20255044827</v>
      </c>
      <c r="Y82" s="5">
        <v>45764</v>
      </c>
      <c r="Z82" s="5">
        <v>45771</v>
      </c>
      <c r="AA82" s="3">
        <v>45769</v>
      </c>
      <c r="AB82" s="3">
        <v>45769</v>
      </c>
      <c r="AC82" s="5">
        <v>45771</v>
      </c>
      <c r="AD82" s="1">
        <v>23210557245</v>
      </c>
      <c r="AE82" s="1" t="s">
        <v>843</v>
      </c>
      <c r="AF82" s="1">
        <v>2</v>
      </c>
      <c r="AG82" s="1">
        <v>347</v>
      </c>
      <c r="AH82" s="1"/>
      <c r="AI82" s="1" t="s">
        <v>180</v>
      </c>
      <c r="AJ82" s="1"/>
      <c r="AK82" s="3">
        <v>45768</v>
      </c>
      <c r="AL82" s="5">
        <v>45768</v>
      </c>
      <c r="AM82" s="3">
        <v>45769</v>
      </c>
      <c r="AN82" s="1"/>
      <c r="AO82" s="1">
        <v>9647145</v>
      </c>
      <c r="AP82" s="14">
        <v>45769</v>
      </c>
      <c r="AQ82" s="14">
        <v>45771</v>
      </c>
      <c r="AR82" s="1"/>
      <c r="AS82" s="5">
        <v>45771</v>
      </c>
      <c r="AT82" s="58">
        <v>49888</v>
      </c>
      <c r="AU82" s="1" t="s">
        <v>74</v>
      </c>
      <c r="AV82" s="5">
        <v>45771</v>
      </c>
      <c r="AW82" s="5">
        <v>45772</v>
      </c>
      <c r="AX82" s="1"/>
      <c r="AY82" s="2">
        <v>9741718</v>
      </c>
      <c r="AZ82" s="14">
        <v>45775</v>
      </c>
      <c r="BA82" s="1" t="s">
        <v>926</v>
      </c>
      <c r="BB82" s="1" t="s">
        <v>927</v>
      </c>
      <c r="BC82" s="5">
        <v>45775</v>
      </c>
      <c r="BD82" s="5">
        <v>45776</v>
      </c>
      <c r="BE82" s="1"/>
      <c r="BF82" s="14">
        <v>45777</v>
      </c>
      <c r="BG82" s="14">
        <v>45779</v>
      </c>
      <c r="BH82" s="2" t="s">
        <v>966</v>
      </c>
      <c r="BI82" s="2" t="s">
        <v>282</v>
      </c>
      <c r="BJ82" s="1"/>
      <c r="BK82" s="1"/>
      <c r="BL82" s="1"/>
      <c r="BM82" s="8" t="s">
        <v>891</v>
      </c>
      <c r="BN82" s="1"/>
      <c r="BO82" s="1"/>
      <c r="BP82" s="1"/>
      <c r="BQ82" s="5">
        <v>45772</v>
      </c>
      <c r="BR82" s="5">
        <v>45772</v>
      </c>
    </row>
    <row r="83" spans="1:70" ht="18" customHeight="1" x14ac:dyDescent="0.3">
      <c r="A83" s="1">
        <v>82</v>
      </c>
      <c r="B83" s="1">
        <v>250408379</v>
      </c>
      <c r="C83" s="74">
        <v>45762</v>
      </c>
      <c r="D83" s="1">
        <v>25440</v>
      </c>
      <c r="E83" s="1" t="s">
        <v>677</v>
      </c>
      <c r="F83" s="1" t="s">
        <v>414</v>
      </c>
      <c r="G83" s="1" t="s">
        <v>415</v>
      </c>
      <c r="H83" s="1">
        <v>4</v>
      </c>
      <c r="I83" s="83">
        <v>49850</v>
      </c>
      <c r="J83" s="2" t="s">
        <v>142</v>
      </c>
      <c r="K83" s="1" t="s">
        <v>126</v>
      </c>
      <c r="L83" s="1" t="s">
        <v>854</v>
      </c>
      <c r="M83" s="77">
        <v>45769</v>
      </c>
      <c r="N83" s="70" t="s">
        <v>969</v>
      </c>
      <c r="P83" s="1"/>
      <c r="Q83" s="67">
        <f t="shared" si="6"/>
        <v>3</v>
      </c>
      <c r="R83" s="29">
        <f t="shared" si="7"/>
        <v>7</v>
      </c>
      <c r="S83" s="1"/>
      <c r="T83" s="1" t="s">
        <v>713</v>
      </c>
      <c r="U83" s="1" t="s">
        <v>416</v>
      </c>
      <c r="V83" s="81" t="s">
        <v>755</v>
      </c>
      <c r="W83" s="1" t="s">
        <v>827</v>
      </c>
      <c r="X83" s="1" t="s">
        <v>828</v>
      </c>
      <c r="Y83" s="5">
        <v>45764</v>
      </c>
      <c r="Z83" s="5">
        <v>45768</v>
      </c>
      <c r="AA83" s="3">
        <v>45769</v>
      </c>
      <c r="AB83" s="3">
        <v>45769</v>
      </c>
      <c r="AC83" s="5">
        <v>45772</v>
      </c>
      <c r="AD83" s="1" t="s">
        <v>829</v>
      </c>
      <c r="AE83" s="1">
        <v>4840705950</v>
      </c>
      <c r="AF83" s="1">
        <v>4</v>
      </c>
      <c r="AG83" s="1">
        <v>11</v>
      </c>
      <c r="AH83" s="1"/>
      <c r="AI83" s="1" t="s">
        <v>179</v>
      </c>
      <c r="AJ83" s="1"/>
      <c r="AK83" s="3">
        <v>45768</v>
      </c>
      <c r="AL83" s="5">
        <v>45768</v>
      </c>
      <c r="AM83" s="3">
        <v>45768</v>
      </c>
      <c r="AN83" s="1"/>
      <c r="AO83" s="1">
        <v>9659460</v>
      </c>
      <c r="AP83" s="14">
        <v>45770</v>
      </c>
      <c r="AQ83" s="14">
        <v>45772</v>
      </c>
      <c r="AR83" s="1"/>
      <c r="AS83" s="5">
        <v>45773</v>
      </c>
      <c r="AT83" s="58">
        <v>49901</v>
      </c>
      <c r="AU83" s="1" t="s">
        <v>74</v>
      </c>
      <c r="AV83" s="5">
        <v>45773</v>
      </c>
      <c r="AW83" s="5">
        <v>45775</v>
      </c>
      <c r="AX83" s="1"/>
      <c r="AY83" s="2">
        <v>9757607</v>
      </c>
      <c r="AZ83" s="14">
        <v>45775</v>
      </c>
      <c r="BA83" s="1">
        <v>2198016</v>
      </c>
      <c r="BB83" s="1">
        <v>395643</v>
      </c>
      <c r="BC83" s="5">
        <v>45776</v>
      </c>
      <c r="BD83" s="5">
        <v>45776</v>
      </c>
      <c r="BE83" s="1"/>
      <c r="BF83" s="14">
        <v>45777</v>
      </c>
      <c r="BG83" s="14">
        <v>45779</v>
      </c>
      <c r="BH83" s="2" t="s">
        <v>775</v>
      </c>
      <c r="BI83" s="2" t="s">
        <v>282</v>
      </c>
      <c r="BJ83" s="1"/>
      <c r="BK83" s="1"/>
      <c r="BL83" s="1"/>
      <c r="BM83" s="1"/>
      <c r="BN83" s="1"/>
      <c r="BO83" s="1"/>
      <c r="BP83" s="1"/>
      <c r="BQ83" s="5">
        <v>45775</v>
      </c>
      <c r="BR83" s="5">
        <v>45775</v>
      </c>
    </row>
    <row r="84" spans="1:70" ht="18" customHeight="1" x14ac:dyDescent="0.3">
      <c r="A84" s="1">
        <v>83</v>
      </c>
      <c r="B84" s="1">
        <v>250403026</v>
      </c>
      <c r="C84" s="74">
        <v>45762</v>
      </c>
      <c r="D84" s="1">
        <v>24221.08</v>
      </c>
      <c r="E84" s="1" t="s">
        <v>677</v>
      </c>
      <c r="F84" s="1" t="s">
        <v>130</v>
      </c>
      <c r="G84" s="1" t="s">
        <v>830</v>
      </c>
      <c r="H84" s="1">
        <v>4</v>
      </c>
      <c r="I84" s="83">
        <v>49851</v>
      </c>
      <c r="J84" s="2" t="s">
        <v>142</v>
      </c>
      <c r="K84" s="1" t="s">
        <v>126</v>
      </c>
      <c r="L84" s="1" t="s">
        <v>854</v>
      </c>
      <c r="M84" s="77">
        <v>45769</v>
      </c>
      <c r="N84" s="70" t="s">
        <v>970</v>
      </c>
      <c r="P84" s="1"/>
      <c r="Q84" s="67">
        <f t="shared" si="6"/>
        <v>3</v>
      </c>
      <c r="R84" s="29">
        <f t="shared" si="7"/>
        <v>7</v>
      </c>
      <c r="S84" s="1"/>
      <c r="T84" s="1" t="s">
        <v>942</v>
      </c>
      <c r="U84" s="1" t="s">
        <v>831</v>
      </c>
      <c r="V84" s="81" t="s">
        <v>755</v>
      </c>
      <c r="W84" s="1" t="s">
        <v>827</v>
      </c>
      <c r="X84" s="1" t="s">
        <v>832</v>
      </c>
      <c r="Y84" s="5">
        <v>45764</v>
      </c>
      <c r="Z84" s="5">
        <v>45768</v>
      </c>
      <c r="AA84" s="3">
        <v>45769</v>
      </c>
      <c r="AB84" s="3">
        <v>45769</v>
      </c>
      <c r="AC84" s="5">
        <v>45772</v>
      </c>
      <c r="AD84" s="1" t="s">
        <v>829</v>
      </c>
      <c r="AE84" s="1">
        <v>4840705951</v>
      </c>
      <c r="AF84" s="1">
        <v>4</v>
      </c>
      <c r="AG84" s="1">
        <v>12</v>
      </c>
      <c r="AH84" s="1"/>
      <c r="AI84" s="1" t="s">
        <v>179</v>
      </c>
      <c r="AJ84" s="1"/>
      <c r="AK84" s="3">
        <v>45768</v>
      </c>
      <c r="AL84" s="5">
        <v>45768</v>
      </c>
      <c r="AM84" s="3">
        <v>45768</v>
      </c>
      <c r="AN84" s="1"/>
      <c r="AO84" s="1">
        <v>9659453</v>
      </c>
      <c r="AP84" s="14">
        <v>45770</v>
      </c>
      <c r="AQ84" s="14">
        <v>45772</v>
      </c>
      <c r="AR84" s="1"/>
      <c r="AS84" s="5">
        <v>45773</v>
      </c>
      <c r="AT84" s="58">
        <v>49902</v>
      </c>
      <c r="AU84" s="1" t="s">
        <v>74</v>
      </c>
      <c r="AV84" s="5">
        <v>45773</v>
      </c>
      <c r="AW84" s="5">
        <v>45775</v>
      </c>
      <c r="AX84" s="1"/>
      <c r="AY84" s="2">
        <v>9758163</v>
      </c>
      <c r="AZ84" s="14">
        <v>45775</v>
      </c>
      <c r="BA84" s="1">
        <v>2092701</v>
      </c>
      <c r="BB84" s="1">
        <v>376686</v>
      </c>
      <c r="BC84" s="5">
        <v>45776</v>
      </c>
      <c r="BD84" s="5">
        <v>45776</v>
      </c>
      <c r="BE84" s="1"/>
      <c r="BF84" s="14">
        <v>45777</v>
      </c>
      <c r="BG84" s="14">
        <v>45779</v>
      </c>
      <c r="BH84" s="2" t="s">
        <v>775</v>
      </c>
      <c r="BI84" s="2" t="s">
        <v>282</v>
      </c>
      <c r="BJ84" s="1"/>
      <c r="BK84" s="1"/>
      <c r="BL84" s="1"/>
      <c r="BM84" s="1"/>
      <c r="BN84" s="1"/>
      <c r="BO84" s="1"/>
      <c r="BP84" s="1"/>
      <c r="BQ84" s="5">
        <v>45775</v>
      </c>
      <c r="BR84" s="5">
        <v>45775</v>
      </c>
    </row>
    <row r="85" spans="1:70" ht="18" customHeight="1" x14ac:dyDescent="0.3">
      <c r="A85" s="1">
        <v>84</v>
      </c>
      <c r="B85" s="1">
        <v>250408800</v>
      </c>
      <c r="C85" s="74">
        <v>45764</v>
      </c>
      <c r="D85" s="1">
        <v>66214</v>
      </c>
      <c r="E85" s="1" t="s">
        <v>677</v>
      </c>
      <c r="F85" s="1" t="s">
        <v>132</v>
      </c>
      <c r="G85" s="1" t="s">
        <v>323</v>
      </c>
      <c r="H85" s="1">
        <v>25</v>
      </c>
      <c r="I85" s="83">
        <v>49852</v>
      </c>
      <c r="J85" s="2" t="s">
        <v>142</v>
      </c>
      <c r="K85" s="1" t="s">
        <v>126</v>
      </c>
      <c r="L85" s="1" t="s">
        <v>854</v>
      </c>
      <c r="M85" s="77">
        <v>45769</v>
      </c>
      <c r="N85" s="70" t="s">
        <v>969</v>
      </c>
      <c r="P85" s="1"/>
      <c r="Q85" s="67">
        <f t="shared" si="6"/>
        <v>3</v>
      </c>
      <c r="R85" s="29">
        <f t="shared" si="7"/>
        <v>7</v>
      </c>
      <c r="S85" s="1"/>
      <c r="T85" s="1" t="s">
        <v>943</v>
      </c>
      <c r="U85" s="1" t="s">
        <v>833</v>
      </c>
      <c r="V85" s="81" t="s">
        <v>755</v>
      </c>
      <c r="W85" s="1" t="s">
        <v>827</v>
      </c>
      <c r="X85" s="1" t="s">
        <v>834</v>
      </c>
      <c r="Y85" s="5">
        <v>45765</v>
      </c>
      <c r="Z85" s="5">
        <v>45770</v>
      </c>
      <c r="AA85" s="3">
        <v>45769</v>
      </c>
      <c r="AB85" s="3">
        <v>45769</v>
      </c>
      <c r="AC85" s="5">
        <v>45772</v>
      </c>
      <c r="AD85" s="1" t="s">
        <v>829</v>
      </c>
      <c r="AE85" s="1">
        <v>4840706056</v>
      </c>
      <c r="AF85" s="1">
        <v>1</v>
      </c>
      <c r="AG85" s="1">
        <v>87</v>
      </c>
      <c r="AH85" s="1"/>
      <c r="AI85" s="1" t="s">
        <v>179</v>
      </c>
      <c r="AJ85" s="1"/>
      <c r="AK85" s="3">
        <v>45768</v>
      </c>
      <c r="AL85" s="5">
        <v>45768</v>
      </c>
      <c r="AM85" s="3">
        <v>45768</v>
      </c>
      <c r="AN85" s="1"/>
      <c r="AO85" s="1">
        <v>9659463</v>
      </c>
      <c r="AP85" s="14">
        <v>45770</v>
      </c>
      <c r="AQ85" s="14">
        <v>45772</v>
      </c>
      <c r="AR85" s="1"/>
      <c r="AS85" s="5">
        <v>45773</v>
      </c>
      <c r="AT85" s="58">
        <v>49903</v>
      </c>
      <c r="AU85" s="1" t="s">
        <v>74</v>
      </c>
      <c r="AV85" s="5">
        <v>45773</v>
      </c>
      <c r="AW85" s="5">
        <v>45775</v>
      </c>
      <c r="AX85" s="1"/>
      <c r="AY85" s="2">
        <v>9758165</v>
      </c>
      <c r="AZ85" s="14">
        <v>45775</v>
      </c>
      <c r="BA85" s="1">
        <v>5720890</v>
      </c>
      <c r="BB85" s="1">
        <v>1029760</v>
      </c>
      <c r="BC85" s="5">
        <v>45776</v>
      </c>
      <c r="BD85" s="5">
        <v>45776</v>
      </c>
      <c r="BE85" s="1"/>
      <c r="BF85" s="14">
        <v>45777</v>
      </c>
      <c r="BG85" s="14">
        <v>45779</v>
      </c>
      <c r="BH85" s="2" t="s">
        <v>775</v>
      </c>
      <c r="BI85" s="2" t="s">
        <v>282</v>
      </c>
      <c r="BJ85" s="1"/>
      <c r="BK85" s="1"/>
      <c r="BL85" s="1"/>
      <c r="BM85" s="1"/>
      <c r="BN85" s="1"/>
      <c r="BO85" s="1"/>
      <c r="BP85" s="1"/>
      <c r="BQ85" s="5">
        <v>45775</v>
      </c>
      <c r="BR85" s="5">
        <v>45775</v>
      </c>
    </row>
    <row r="86" spans="1:70" ht="18" customHeight="1" x14ac:dyDescent="0.3">
      <c r="A86" s="1">
        <v>85</v>
      </c>
      <c r="B86" s="1">
        <v>250408798</v>
      </c>
      <c r="C86" s="74">
        <v>45764</v>
      </c>
      <c r="D86" s="1">
        <v>5297.12</v>
      </c>
      <c r="E86" s="1" t="s">
        <v>677</v>
      </c>
      <c r="F86" s="1" t="s">
        <v>132</v>
      </c>
      <c r="G86" s="1" t="s">
        <v>323</v>
      </c>
      <c r="H86" s="1">
        <v>2</v>
      </c>
      <c r="I86" s="83">
        <v>49856</v>
      </c>
      <c r="J86" s="2" t="s">
        <v>142</v>
      </c>
      <c r="K86" s="1" t="s">
        <v>126</v>
      </c>
      <c r="L86" s="1" t="s">
        <v>854</v>
      </c>
      <c r="M86" s="77">
        <v>45769</v>
      </c>
      <c r="N86" s="70" t="s">
        <v>969</v>
      </c>
      <c r="P86" s="1"/>
      <c r="Q86" s="67">
        <f t="shared" si="6"/>
        <v>3</v>
      </c>
      <c r="R86" s="29">
        <f t="shared" si="7"/>
        <v>7</v>
      </c>
      <c r="S86" s="1"/>
      <c r="T86" s="1">
        <v>34</v>
      </c>
      <c r="U86" s="1" t="s">
        <v>835</v>
      </c>
      <c r="V86" s="81" t="s">
        <v>755</v>
      </c>
      <c r="W86" s="1" t="s">
        <v>827</v>
      </c>
      <c r="X86" s="1" t="s">
        <v>836</v>
      </c>
      <c r="Y86" s="5">
        <v>45765</v>
      </c>
      <c r="Z86" s="5">
        <v>45770</v>
      </c>
      <c r="AA86" s="3">
        <v>45769</v>
      </c>
      <c r="AB86" s="3">
        <v>45769</v>
      </c>
      <c r="AC86" s="5">
        <v>45772</v>
      </c>
      <c r="AD86" s="1" t="s">
        <v>829</v>
      </c>
      <c r="AE86" s="1">
        <v>4840706058</v>
      </c>
      <c r="AF86" s="1">
        <v>2</v>
      </c>
      <c r="AG86" s="1">
        <v>3.5</v>
      </c>
      <c r="AH86" s="1"/>
      <c r="AI86" s="1" t="s">
        <v>179</v>
      </c>
      <c r="AJ86" s="1"/>
      <c r="AK86" s="3">
        <v>45768</v>
      </c>
      <c r="AL86" s="5">
        <v>45768</v>
      </c>
      <c r="AM86" s="3">
        <v>45768</v>
      </c>
      <c r="AN86" s="1"/>
      <c r="AO86" s="1">
        <v>9656300</v>
      </c>
      <c r="AP86" s="14">
        <v>45770</v>
      </c>
      <c r="AQ86" s="14">
        <v>45772</v>
      </c>
      <c r="AR86" s="1"/>
      <c r="AS86" s="5">
        <v>45773</v>
      </c>
      <c r="AT86" s="58">
        <v>49905</v>
      </c>
      <c r="AU86" s="1" t="s">
        <v>74</v>
      </c>
      <c r="AV86" s="5">
        <v>45773</v>
      </c>
      <c r="AW86" s="5">
        <v>45775</v>
      </c>
      <c r="AX86" s="1"/>
      <c r="AY86" s="2">
        <v>9758288</v>
      </c>
      <c r="AZ86" s="14">
        <v>45775</v>
      </c>
      <c r="BA86" s="1">
        <v>457671</v>
      </c>
      <c r="BB86" s="1">
        <v>82381</v>
      </c>
      <c r="BC86" s="5">
        <v>45776</v>
      </c>
      <c r="BD86" s="5">
        <v>45776</v>
      </c>
      <c r="BE86" s="1"/>
      <c r="BF86" s="14">
        <v>45777</v>
      </c>
      <c r="BG86" s="14">
        <v>45779</v>
      </c>
      <c r="BH86" s="2" t="s">
        <v>775</v>
      </c>
      <c r="BI86" s="2" t="s">
        <v>282</v>
      </c>
      <c r="BJ86" s="1"/>
      <c r="BK86" s="1"/>
      <c r="BL86" s="1"/>
      <c r="BM86" s="1"/>
      <c r="BN86" s="1"/>
      <c r="BO86" s="5"/>
      <c r="BP86" s="1"/>
      <c r="BQ86" s="5">
        <v>45775</v>
      </c>
      <c r="BR86" s="5">
        <v>45775</v>
      </c>
    </row>
    <row r="87" spans="1:70" ht="18" customHeight="1" x14ac:dyDescent="0.3">
      <c r="A87" s="1">
        <v>86</v>
      </c>
      <c r="B87" s="1">
        <v>250409803</v>
      </c>
      <c r="C87" s="74">
        <v>45764</v>
      </c>
      <c r="D87" s="1">
        <v>12110.54</v>
      </c>
      <c r="E87" s="1" t="s">
        <v>677</v>
      </c>
      <c r="F87" s="1" t="s">
        <v>130</v>
      </c>
      <c r="G87" s="1" t="s">
        <v>830</v>
      </c>
      <c r="H87" s="1">
        <v>2</v>
      </c>
      <c r="I87" s="83">
        <v>49855</v>
      </c>
      <c r="J87" s="2" t="s">
        <v>142</v>
      </c>
      <c r="K87" s="1" t="s">
        <v>126</v>
      </c>
      <c r="L87" s="1" t="s">
        <v>854</v>
      </c>
      <c r="M87" s="77">
        <v>45769</v>
      </c>
      <c r="N87" s="70" t="s">
        <v>969</v>
      </c>
      <c r="P87" s="1"/>
      <c r="Q87" s="67">
        <f t="shared" si="6"/>
        <v>3</v>
      </c>
      <c r="R87" s="29">
        <f t="shared" si="7"/>
        <v>7</v>
      </c>
      <c r="S87" s="1"/>
      <c r="T87" s="1" t="s">
        <v>944</v>
      </c>
      <c r="U87" s="1" t="s">
        <v>833</v>
      </c>
      <c r="V87" s="81" t="s">
        <v>755</v>
      </c>
      <c r="W87" s="1" t="s">
        <v>827</v>
      </c>
      <c r="X87" s="1" t="s">
        <v>837</v>
      </c>
      <c r="Y87" s="5">
        <v>45765</v>
      </c>
      <c r="Z87" s="5">
        <v>45770</v>
      </c>
      <c r="AA87" s="3">
        <v>45769</v>
      </c>
      <c r="AB87" s="3">
        <v>45769</v>
      </c>
      <c r="AC87" s="5">
        <v>45772</v>
      </c>
      <c r="AD87" s="1" t="s">
        <v>829</v>
      </c>
      <c r="AE87" s="1">
        <v>4840706057</v>
      </c>
      <c r="AF87" s="1">
        <v>2</v>
      </c>
      <c r="AG87" s="1">
        <v>6</v>
      </c>
      <c r="AH87" s="1"/>
      <c r="AI87" s="1" t="s">
        <v>179</v>
      </c>
      <c r="AJ87" s="1"/>
      <c r="AK87" s="3">
        <v>45768</v>
      </c>
      <c r="AL87" s="5">
        <v>45768</v>
      </c>
      <c r="AM87" s="3">
        <v>45768</v>
      </c>
      <c r="AN87" s="1"/>
      <c r="AO87" s="1">
        <v>9656303</v>
      </c>
      <c r="AP87" s="14">
        <v>45770</v>
      </c>
      <c r="AQ87" s="14">
        <v>45772</v>
      </c>
      <c r="AR87" s="1"/>
      <c r="AS87" s="5">
        <v>45773</v>
      </c>
      <c r="AT87" s="58">
        <v>49904</v>
      </c>
      <c r="AU87" s="1" t="s">
        <v>74</v>
      </c>
      <c r="AV87" s="5">
        <v>45773</v>
      </c>
      <c r="AW87" s="5">
        <v>45775</v>
      </c>
      <c r="AX87" s="1"/>
      <c r="AY87" s="2">
        <v>9758285</v>
      </c>
      <c r="AZ87" s="14">
        <v>45775</v>
      </c>
      <c r="BA87" s="1">
        <v>1046351</v>
      </c>
      <c r="BB87" s="1">
        <v>188343</v>
      </c>
      <c r="BC87" s="5">
        <v>45776</v>
      </c>
      <c r="BD87" s="5">
        <v>45776</v>
      </c>
      <c r="BE87" s="1"/>
      <c r="BF87" s="14">
        <v>45777</v>
      </c>
      <c r="BG87" s="14">
        <v>45779</v>
      </c>
      <c r="BH87" s="2" t="s">
        <v>775</v>
      </c>
      <c r="BI87" s="2" t="s">
        <v>282</v>
      </c>
      <c r="BJ87" s="1"/>
      <c r="BK87" s="1"/>
      <c r="BL87" s="1"/>
      <c r="BM87" s="1"/>
      <c r="BN87" s="1"/>
      <c r="BO87" s="5"/>
      <c r="BP87" s="1"/>
      <c r="BQ87" s="5">
        <v>45775</v>
      </c>
      <c r="BR87" s="5">
        <v>45775</v>
      </c>
    </row>
    <row r="88" spans="1:70" ht="18" customHeight="1" x14ac:dyDescent="0.3">
      <c r="A88" s="1">
        <v>87</v>
      </c>
      <c r="B88" s="1">
        <v>250408796</v>
      </c>
      <c r="C88" s="74">
        <v>45764</v>
      </c>
      <c r="D88" s="1">
        <v>36345.72</v>
      </c>
      <c r="E88" s="1" t="s">
        <v>677</v>
      </c>
      <c r="F88" s="1" t="s">
        <v>135</v>
      </c>
      <c r="G88" s="1" t="s">
        <v>417</v>
      </c>
      <c r="H88" s="1">
        <v>2</v>
      </c>
      <c r="I88" s="83">
        <v>49857</v>
      </c>
      <c r="J88" s="2" t="s">
        <v>142</v>
      </c>
      <c r="K88" s="1" t="s">
        <v>126</v>
      </c>
      <c r="L88" s="1" t="s">
        <v>854</v>
      </c>
      <c r="M88" s="77">
        <v>45769</v>
      </c>
      <c r="N88" s="70" t="s">
        <v>970</v>
      </c>
      <c r="P88" s="1"/>
      <c r="Q88" s="67">
        <f t="shared" si="6"/>
        <v>3</v>
      </c>
      <c r="R88" s="29">
        <f t="shared" si="7"/>
        <v>7</v>
      </c>
      <c r="S88" s="1"/>
      <c r="T88" s="1"/>
      <c r="U88" s="1" t="s">
        <v>838</v>
      </c>
      <c r="V88" s="81" t="s">
        <v>755</v>
      </c>
      <c r="W88" s="1" t="s">
        <v>827</v>
      </c>
      <c r="X88" s="1" t="s">
        <v>839</v>
      </c>
      <c r="Y88" s="5">
        <v>45765</v>
      </c>
      <c r="Z88" s="5">
        <v>45770</v>
      </c>
      <c r="AA88" s="3">
        <v>45769</v>
      </c>
      <c r="AB88" s="3">
        <v>45769</v>
      </c>
      <c r="AC88" s="5">
        <v>45772</v>
      </c>
      <c r="AD88" s="1" t="s">
        <v>829</v>
      </c>
      <c r="AE88" s="1">
        <v>4840706059</v>
      </c>
      <c r="AF88" s="1">
        <v>2</v>
      </c>
      <c r="AG88" s="1">
        <v>12.5</v>
      </c>
      <c r="AH88" s="1"/>
      <c r="AI88" s="1" t="s">
        <v>179</v>
      </c>
      <c r="AJ88" s="1"/>
      <c r="AK88" s="3">
        <v>45768</v>
      </c>
      <c r="AL88" s="5">
        <v>45768</v>
      </c>
      <c r="AM88" s="3">
        <v>45768</v>
      </c>
      <c r="AN88" s="1"/>
      <c r="AO88" s="1">
        <v>9659465</v>
      </c>
      <c r="AP88" s="14">
        <v>45770</v>
      </c>
      <c r="AQ88" s="14">
        <v>45772</v>
      </c>
      <c r="AR88" s="1"/>
      <c r="AS88" s="5">
        <v>45773</v>
      </c>
      <c r="AT88" s="58">
        <v>49906</v>
      </c>
      <c r="AU88" s="1" t="s">
        <v>74</v>
      </c>
      <c r="AV88" s="5">
        <v>45773</v>
      </c>
      <c r="AW88" s="5">
        <v>45775</v>
      </c>
      <c r="AX88" s="1"/>
      <c r="AY88" s="2">
        <v>9763470</v>
      </c>
      <c r="AZ88" s="14">
        <v>45776</v>
      </c>
      <c r="BA88" s="1">
        <v>3140270</v>
      </c>
      <c r="BB88" s="1">
        <v>565249</v>
      </c>
      <c r="BC88" s="5">
        <v>45776</v>
      </c>
      <c r="BD88" s="5">
        <v>45776</v>
      </c>
      <c r="BE88" s="1"/>
      <c r="BF88" s="14">
        <v>45777</v>
      </c>
      <c r="BG88" s="14">
        <v>45779</v>
      </c>
      <c r="BH88" s="2" t="s">
        <v>775</v>
      </c>
      <c r="BI88" s="2" t="s">
        <v>282</v>
      </c>
      <c r="BJ88" s="1"/>
      <c r="BK88" s="1"/>
      <c r="BL88" s="1"/>
      <c r="BM88" s="1"/>
      <c r="BN88" s="1"/>
      <c r="BO88" s="1"/>
      <c r="BP88" s="1"/>
      <c r="BQ88" s="5">
        <v>45775</v>
      </c>
      <c r="BR88" s="5">
        <v>45775</v>
      </c>
    </row>
    <row r="89" spans="1:70" s="9" customFormat="1" ht="18" customHeight="1" x14ac:dyDescent="0.3">
      <c r="A89" s="1">
        <v>88</v>
      </c>
      <c r="B89" s="1">
        <v>6729322</v>
      </c>
      <c r="C89" s="74">
        <v>45645</v>
      </c>
      <c r="D89" s="1">
        <v>159075</v>
      </c>
      <c r="E89" s="1" t="s">
        <v>678</v>
      </c>
      <c r="F89" s="8" t="s">
        <v>642</v>
      </c>
      <c r="G89" s="8" t="s">
        <v>643</v>
      </c>
      <c r="H89" s="8" t="s">
        <v>525</v>
      </c>
      <c r="I89" s="83">
        <v>49659</v>
      </c>
      <c r="J89" s="2" t="s">
        <v>142</v>
      </c>
      <c r="K89" s="1" t="s">
        <v>126</v>
      </c>
      <c r="L89" s="1" t="s">
        <v>854</v>
      </c>
      <c r="M89" s="77">
        <v>45755</v>
      </c>
      <c r="N89" s="70" t="s">
        <v>975</v>
      </c>
      <c r="O89" s="1">
        <v>11627</v>
      </c>
      <c r="P89" s="1"/>
      <c r="Q89" s="67">
        <f t="shared" si="6"/>
        <v>7</v>
      </c>
      <c r="R89" s="29">
        <f t="shared" si="7"/>
        <v>17</v>
      </c>
      <c r="S89" s="1"/>
      <c r="T89" s="1" t="s">
        <v>898</v>
      </c>
      <c r="U89" s="1" t="s">
        <v>644</v>
      </c>
      <c r="V89" s="1" t="s">
        <v>645</v>
      </c>
      <c r="W89" s="71" t="s">
        <v>426</v>
      </c>
      <c r="X89" s="1">
        <v>20255039315</v>
      </c>
      <c r="Y89" s="5">
        <v>45751</v>
      </c>
      <c r="Z89" s="5">
        <v>45758</v>
      </c>
      <c r="AA89" s="3">
        <v>45755</v>
      </c>
      <c r="AB89" s="3">
        <v>45755</v>
      </c>
      <c r="AC89" s="5">
        <v>45762</v>
      </c>
      <c r="AD89" s="1">
        <v>61841617483</v>
      </c>
      <c r="AE89" s="1" t="s">
        <v>662</v>
      </c>
      <c r="AF89" s="1">
        <v>5</v>
      </c>
      <c r="AG89" s="1">
        <v>1475</v>
      </c>
      <c r="AH89" s="1"/>
      <c r="AI89" s="1" t="s">
        <v>180</v>
      </c>
      <c r="AJ89" s="1"/>
      <c r="AK89" s="3">
        <v>45755</v>
      </c>
      <c r="AL89" s="5">
        <v>45756</v>
      </c>
      <c r="AM89" s="3">
        <v>45756</v>
      </c>
      <c r="AN89" s="1"/>
      <c r="AO89" s="1">
        <v>9389608</v>
      </c>
      <c r="AP89" s="14">
        <v>45756</v>
      </c>
      <c r="AQ89" s="14">
        <v>45762</v>
      </c>
      <c r="AR89" s="1"/>
      <c r="AS89" s="5">
        <v>45762</v>
      </c>
      <c r="AT89" s="58">
        <v>49779</v>
      </c>
      <c r="AU89" s="1" t="s">
        <v>74</v>
      </c>
      <c r="AV89" s="5">
        <v>45763</v>
      </c>
      <c r="AW89" s="5">
        <v>45764</v>
      </c>
      <c r="AX89" s="1"/>
      <c r="AY89" s="2">
        <v>9741720</v>
      </c>
      <c r="AZ89" s="14">
        <v>45775</v>
      </c>
      <c r="BA89" s="1" t="s">
        <v>920</v>
      </c>
      <c r="BB89" s="1" t="s">
        <v>921</v>
      </c>
      <c r="BC89" s="5">
        <v>45775</v>
      </c>
      <c r="BD89" s="5">
        <v>45777</v>
      </c>
      <c r="BE89" s="1"/>
      <c r="BF89" s="14">
        <v>45777</v>
      </c>
      <c r="BG89" s="14">
        <v>45779</v>
      </c>
      <c r="BH89" s="2" t="s">
        <v>971</v>
      </c>
      <c r="BI89" s="2" t="s">
        <v>273</v>
      </c>
      <c r="BJ89" s="1"/>
      <c r="BK89" s="1"/>
      <c r="BL89" s="1"/>
      <c r="BM89" s="1" t="s">
        <v>906</v>
      </c>
      <c r="BN89" s="1"/>
      <c r="BO89" s="1"/>
      <c r="BP89" s="1"/>
      <c r="BQ89" s="1"/>
      <c r="BR89" s="5">
        <v>45764</v>
      </c>
    </row>
    <row r="90" spans="1:70" ht="18" customHeight="1" x14ac:dyDescent="0.3">
      <c r="A90" s="1">
        <v>89</v>
      </c>
      <c r="B90" s="8" t="s">
        <v>703</v>
      </c>
      <c r="C90" s="75" t="s">
        <v>704</v>
      </c>
      <c r="D90" s="8" t="s">
        <v>705</v>
      </c>
      <c r="E90" s="1" t="s">
        <v>678</v>
      </c>
      <c r="F90" s="8" t="s">
        <v>707</v>
      </c>
      <c r="G90" s="8" t="s">
        <v>652</v>
      </c>
      <c r="H90" s="8" t="s">
        <v>706</v>
      </c>
      <c r="I90" s="83">
        <v>49680</v>
      </c>
      <c r="J90" s="2" t="s">
        <v>142</v>
      </c>
      <c r="K90" s="1" t="s">
        <v>126</v>
      </c>
      <c r="L90" s="1" t="s">
        <v>854</v>
      </c>
      <c r="M90" s="77">
        <v>45758</v>
      </c>
      <c r="N90" s="70" t="s">
        <v>976</v>
      </c>
      <c r="O90" s="1">
        <v>1980</v>
      </c>
      <c r="P90" s="1"/>
      <c r="Q90" s="67">
        <f t="shared" si="6"/>
        <v>4</v>
      </c>
      <c r="R90" s="29">
        <f t="shared" si="7"/>
        <v>16</v>
      </c>
      <c r="S90" s="5"/>
      <c r="T90" s="1" t="s">
        <v>945</v>
      </c>
      <c r="U90" s="1" t="s">
        <v>644</v>
      </c>
      <c r="V90" s="1" t="s">
        <v>645</v>
      </c>
      <c r="W90" s="71" t="s">
        <v>426</v>
      </c>
      <c r="X90" s="1">
        <v>20255039291</v>
      </c>
      <c r="Y90" s="5">
        <v>45751</v>
      </c>
      <c r="Z90" s="5">
        <v>45758</v>
      </c>
      <c r="AA90" s="3">
        <v>45759</v>
      </c>
      <c r="AB90" s="3">
        <v>45759</v>
      </c>
      <c r="AC90" s="5">
        <v>45763</v>
      </c>
      <c r="AD90" s="1">
        <v>21703963735</v>
      </c>
      <c r="AE90" s="1" t="s">
        <v>693</v>
      </c>
      <c r="AF90" s="1">
        <v>6</v>
      </c>
      <c r="AG90" s="1">
        <v>1672</v>
      </c>
      <c r="AH90" s="1"/>
      <c r="AI90" s="1" t="s">
        <v>180</v>
      </c>
      <c r="AJ90" s="1"/>
      <c r="AK90" s="3">
        <v>45755</v>
      </c>
      <c r="AL90" s="5">
        <v>45757</v>
      </c>
      <c r="AM90" s="3">
        <v>45757</v>
      </c>
      <c r="AN90" s="1"/>
      <c r="AO90" s="1">
        <v>9475088</v>
      </c>
      <c r="AP90" s="14">
        <v>45761</v>
      </c>
      <c r="AQ90" s="14">
        <v>45763</v>
      </c>
      <c r="AR90" s="1"/>
      <c r="AS90" s="5">
        <v>45764</v>
      </c>
      <c r="AT90" s="58">
        <v>49807</v>
      </c>
      <c r="AU90" s="1" t="s">
        <v>74</v>
      </c>
      <c r="AV90" s="5">
        <v>45764</v>
      </c>
      <c r="AW90" s="5">
        <v>45765</v>
      </c>
      <c r="AX90" s="1"/>
      <c r="AY90" s="2">
        <v>9758167</v>
      </c>
      <c r="AZ90" s="14">
        <v>45775</v>
      </c>
      <c r="BA90" s="1">
        <v>15393370</v>
      </c>
      <c r="BB90" s="1">
        <v>2770807</v>
      </c>
      <c r="BC90" s="5">
        <v>45776</v>
      </c>
      <c r="BD90" s="5">
        <v>45777</v>
      </c>
      <c r="BE90" s="1"/>
      <c r="BF90" s="14">
        <v>45777</v>
      </c>
      <c r="BG90" s="14">
        <v>45779</v>
      </c>
      <c r="BH90" s="2" t="s">
        <v>971</v>
      </c>
      <c r="BI90" s="2" t="s">
        <v>273</v>
      </c>
      <c r="BJ90" s="1"/>
      <c r="BK90" s="1"/>
      <c r="BL90" s="1"/>
      <c r="BM90" s="1"/>
      <c r="BN90" s="1"/>
      <c r="BO90" s="1"/>
      <c r="BP90" s="1"/>
      <c r="BQ90" s="1"/>
      <c r="BR90" s="1"/>
    </row>
    <row r="91" spans="1:70" ht="18" customHeight="1" x14ac:dyDescent="0.3">
      <c r="A91" s="1">
        <v>90</v>
      </c>
      <c r="B91" s="1">
        <v>6729323</v>
      </c>
      <c r="C91" s="74">
        <v>45645</v>
      </c>
      <c r="D91" s="1">
        <v>159075</v>
      </c>
      <c r="E91" s="1" t="s">
        <v>678</v>
      </c>
      <c r="F91" s="8" t="s">
        <v>642</v>
      </c>
      <c r="G91" s="8" t="s">
        <v>652</v>
      </c>
      <c r="H91" s="8" t="s">
        <v>525</v>
      </c>
      <c r="I91" s="83">
        <v>49686</v>
      </c>
      <c r="J91" s="2" t="s">
        <v>142</v>
      </c>
      <c r="K91" s="1" t="s">
        <v>126</v>
      </c>
      <c r="L91" s="1" t="s">
        <v>854</v>
      </c>
      <c r="M91" s="77">
        <v>45760</v>
      </c>
      <c r="N91" s="70" t="s">
        <v>973</v>
      </c>
      <c r="P91" s="1"/>
      <c r="Q91" s="67">
        <f t="shared" si="6"/>
        <v>3</v>
      </c>
      <c r="R91" s="29">
        <f t="shared" si="7"/>
        <v>16</v>
      </c>
      <c r="S91" s="1"/>
      <c r="T91" s="1" t="s">
        <v>898</v>
      </c>
      <c r="U91" s="8" t="s">
        <v>644</v>
      </c>
      <c r="V91" s="1" t="s">
        <v>645</v>
      </c>
      <c r="W91" s="71" t="s">
        <v>426</v>
      </c>
      <c r="X91" s="1">
        <v>20255039548</v>
      </c>
      <c r="Y91" s="5">
        <v>45751</v>
      </c>
      <c r="Z91" s="5">
        <v>45758</v>
      </c>
      <c r="AA91" s="3">
        <v>45760</v>
      </c>
      <c r="AB91" s="3">
        <v>45760</v>
      </c>
      <c r="AC91" s="5">
        <v>45763</v>
      </c>
      <c r="AD91" s="1">
        <v>21703963761</v>
      </c>
      <c r="AE91" s="1" t="s">
        <v>694</v>
      </c>
      <c r="AF91" s="1">
        <v>5</v>
      </c>
      <c r="AG91" s="1">
        <v>1475</v>
      </c>
      <c r="AH91" s="1"/>
      <c r="AI91" s="1" t="s">
        <v>180</v>
      </c>
      <c r="AJ91" s="1"/>
      <c r="AK91" s="3">
        <v>45755</v>
      </c>
      <c r="AL91" s="5">
        <v>45757</v>
      </c>
      <c r="AM91" s="3">
        <v>45757</v>
      </c>
      <c r="AN91" s="1"/>
      <c r="AO91" s="1">
        <v>9475470</v>
      </c>
      <c r="AP91" s="14">
        <v>45761</v>
      </c>
      <c r="AQ91" s="14">
        <v>45763</v>
      </c>
      <c r="AR91" s="1"/>
      <c r="AS91" s="5">
        <v>45764</v>
      </c>
      <c r="AT91" s="58">
        <v>49811</v>
      </c>
      <c r="AU91" s="1" t="s">
        <v>74</v>
      </c>
      <c r="AV91" s="5">
        <v>45764</v>
      </c>
      <c r="AW91" s="5">
        <v>45765</v>
      </c>
      <c r="AX91" s="1"/>
      <c r="AY91" s="2">
        <v>9741722</v>
      </c>
      <c r="AZ91" s="14">
        <v>45775</v>
      </c>
      <c r="BA91" s="1" t="s">
        <v>920</v>
      </c>
      <c r="BB91" s="1" t="s">
        <v>921</v>
      </c>
      <c r="BC91" s="5">
        <v>45775</v>
      </c>
      <c r="BD91" s="5">
        <v>45777</v>
      </c>
      <c r="BE91" s="1"/>
      <c r="BF91" s="14">
        <v>45777</v>
      </c>
      <c r="BG91" s="14">
        <v>45779</v>
      </c>
      <c r="BH91" s="2" t="s">
        <v>972</v>
      </c>
      <c r="BI91" s="2" t="s">
        <v>282</v>
      </c>
      <c r="BJ91" s="1"/>
      <c r="BK91" s="1"/>
      <c r="BL91" s="1"/>
      <c r="BM91" s="1"/>
      <c r="BN91" s="1"/>
      <c r="BO91" s="1"/>
      <c r="BP91" s="1"/>
      <c r="BQ91" s="1"/>
      <c r="BR91" s="5">
        <v>45768</v>
      </c>
    </row>
    <row r="92" spans="1:70" s="9" customFormat="1" ht="18" customHeight="1" x14ac:dyDescent="0.3">
      <c r="A92" s="1">
        <v>91</v>
      </c>
      <c r="B92" s="73" t="s">
        <v>654</v>
      </c>
      <c r="C92" s="75" t="s">
        <v>655</v>
      </c>
      <c r="D92" s="8" t="s">
        <v>656</v>
      </c>
      <c r="E92" s="1" t="s">
        <v>678</v>
      </c>
      <c r="F92" s="8" t="s">
        <v>657</v>
      </c>
      <c r="G92" s="82" t="s">
        <v>658</v>
      </c>
      <c r="H92" s="8" t="s">
        <v>659</v>
      </c>
      <c r="I92" s="83">
        <v>49685</v>
      </c>
      <c r="J92" s="2" t="s">
        <v>142</v>
      </c>
      <c r="K92" s="1" t="s">
        <v>126</v>
      </c>
      <c r="L92" s="1" t="s">
        <v>854</v>
      </c>
      <c r="M92" s="77">
        <v>45760</v>
      </c>
      <c r="N92" s="70" t="s">
        <v>974</v>
      </c>
      <c r="O92" s="1"/>
      <c r="P92" s="1"/>
      <c r="Q92" s="67">
        <f t="shared" si="6"/>
        <v>3</v>
      </c>
      <c r="R92" s="29">
        <f t="shared" si="7"/>
        <v>16</v>
      </c>
      <c r="S92" s="1"/>
      <c r="T92" s="1" t="s">
        <v>959</v>
      </c>
      <c r="U92" s="8" t="s">
        <v>660</v>
      </c>
      <c r="V92" s="1" t="s">
        <v>645</v>
      </c>
      <c r="W92" s="71" t="s">
        <v>426</v>
      </c>
      <c r="X92" s="1">
        <v>20255039545</v>
      </c>
      <c r="Y92" s="5">
        <v>45751</v>
      </c>
      <c r="Z92" s="72">
        <v>45758</v>
      </c>
      <c r="AA92" s="3">
        <v>45760</v>
      </c>
      <c r="AB92" s="3">
        <v>45760</v>
      </c>
      <c r="AC92" s="5">
        <v>45763</v>
      </c>
      <c r="AD92" s="1">
        <v>21703963761</v>
      </c>
      <c r="AE92" s="1" t="s">
        <v>695</v>
      </c>
      <c r="AF92" s="1">
        <v>5</v>
      </c>
      <c r="AG92" s="1">
        <v>1223</v>
      </c>
      <c r="AH92" s="1"/>
      <c r="AI92" s="1" t="s">
        <v>180</v>
      </c>
      <c r="AJ92" s="1"/>
      <c r="AK92" s="3">
        <v>45755</v>
      </c>
      <c r="AL92" s="5">
        <v>45757</v>
      </c>
      <c r="AM92" s="3">
        <v>45757</v>
      </c>
      <c r="AN92" s="1"/>
      <c r="AO92" s="1">
        <v>9475413</v>
      </c>
      <c r="AP92" s="14">
        <v>45761</v>
      </c>
      <c r="AQ92" s="14">
        <v>45763</v>
      </c>
      <c r="AR92" s="1"/>
      <c r="AS92" s="5">
        <v>45764</v>
      </c>
      <c r="AT92" s="58">
        <v>49810</v>
      </c>
      <c r="AU92" s="1" t="s">
        <v>74</v>
      </c>
      <c r="AV92" s="5">
        <v>45764</v>
      </c>
      <c r="AW92" s="5">
        <v>45765</v>
      </c>
      <c r="AX92" s="1"/>
      <c r="AY92" s="2">
        <v>9741723</v>
      </c>
      <c r="AZ92" s="14">
        <v>45775</v>
      </c>
      <c r="BA92" s="1" t="s">
        <v>928</v>
      </c>
      <c r="BB92" s="1" t="s">
        <v>929</v>
      </c>
      <c r="BC92" s="5">
        <v>45775</v>
      </c>
      <c r="BD92" s="5">
        <v>45777</v>
      </c>
      <c r="BE92" s="1"/>
      <c r="BF92" s="14">
        <v>45777</v>
      </c>
      <c r="BG92" s="14">
        <v>45779</v>
      </c>
      <c r="BH92" s="2" t="s">
        <v>972</v>
      </c>
      <c r="BI92" s="2" t="s">
        <v>282</v>
      </c>
      <c r="BJ92" s="1"/>
      <c r="BK92" s="1"/>
      <c r="BL92" s="1"/>
      <c r="BM92" s="1"/>
      <c r="BN92" s="1"/>
      <c r="BO92" s="1"/>
      <c r="BP92" s="1"/>
      <c r="BQ92" s="1"/>
      <c r="BR92" s="1"/>
    </row>
    <row r="93" spans="1:70" ht="18" customHeight="1" x14ac:dyDescent="0.3">
      <c r="A93" s="1">
        <v>92</v>
      </c>
      <c r="B93" s="1">
        <v>6732557</v>
      </c>
      <c r="C93" s="74">
        <v>45654</v>
      </c>
      <c r="D93" s="1">
        <v>159075</v>
      </c>
      <c r="E93" s="1" t="s">
        <v>678</v>
      </c>
      <c r="F93" s="8" t="s">
        <v>219</v>
      </c>
      <c r="G93" s="8" t="s">
        <v>519</v>
      </c>
      <c r="H93" s="8" t="s">
        <v>525</v>
      </c>
      <c r="I93" s="83">
        <v>49734</v>
      </c>
      <c r="J93" s="2" t="s">
        <v>142</v>
      </c>
      <c r="K93" s="1" t="s">
        <v>126</v>
      </c>
      <c r="L93" s="1" t="s">
        <v>854</v>
      </c>
      <c r="M93" s="77">
        <v>45761</v>
      </c>
      <c r="N93" s="70" t="s">
        <v>978</v>
      </c>
      <c r="P93" s="1"/>
      <c r="Q93" s="67">
        <f t="shared" si="6"/>
        <v>3</v>
      </c>
      <c r="R93" s="29">
        <f t="shared" si="7"/>
        <v>15</v>
      </c>
      <c r="S93" s="1"/>
      <c r="T93" s="1" t="s">
        <v>913</v>
      </c>
      <c r="U93" s="8" t="s">
        <v>768</v>
      </c>
      <c r="V93" s="2" t="s">
        <v>1473</v>
      </c>
      <c r="W93" s="71" t="s">
        <v>426</v>
      </c>
      <c r="X93" s="1">
        <v>20255040709</v>
      </c>
      <c r="Y93" s="5">
        <v>45755</v>
      </c>
      <c r="Z93" s="5">
        <v>45761</v>
      </c>
      <c r="AA93" s="3">
        <v>45761</v>
      </c>
      <c r="AB93" s="3">
        <v>45761</v>
      </c>
      <c r="AC93" s="5">
        <v>45764</v>
      </c>
      <c r="AD93" s="1">
        <v>17605524956</v>
      </c>
      <c r="AE93" s="1" t="s">
        <v>769</v>
      </c>
      <c r="AF93" s="1">
        <v>5</v>
      </c>
      <c r="AG93" s="1">
        <v>1485</v>
      </c>
      <c r="AH93" s="1"/>
      <c r="AI93" s="1" t="s">
        <v>180</v>
      </c>
      <c r="AJ93" s="1"/>
      <c r="AK93" s="3">
        <v>45759</v>
      </c>
      <c r="AL93" s="5">
        <v>45761</v>
      </c>
      <c r="AM93" s="3">
        <v>45761</v>
      </c>
      <c r="AN93" s="1"/>
      <c r="AO93" s="1">
        <v>9493939</v>
      </c>
      <c r="AP93" s="14">
        <v>45762</v>
      </c>
      <c r="AQ93" s="14">
        <v>45764</v>
      </c>
      <c r="AR93" s="1"/>
      <c r="AS93" s="5">
        <v>45769</v>
      </c>
      <c r="AT93" s="58">
        <v>49823</v>
      </c>
      <c r="AU93" s="1" t="s">
        <v>74</v>
      </c>
      <c r="AV93" s="5">
        <v>45769</v>
      </c>
      <c r="AW93" s="5">
        <v>45770</v>
      </c>
      <c r="AX93" s="1"/>
      <c r="AY93" s="2">
        <v>9741715</v>
      </c>
      <c r="AZ93" s="14">
        <v>45775</v>
      </c>
      <c r="BA93" t="s">
        <v>920</v>
      </c>
      <c r="BB93" s="1" t="s">
        <v>921</v>
      </c>
      <c r="BC93" s="5">
        <v>45775</v>
      </c>
      <c r="BD93" s="5">
        <v>45776</v>
      </c>
      <c r="BE93" s="1"/>
      <c r="BF93" s="14">
        <v>45777</v>
      </c>
      <c r="BG93" s="14">
        <v>45779</v>
      </c>
      <c r="BH93" s="2" t="s">
        <v>977</v>
      </c>
      <c r="BI93" s="2" t="s">
        <v>282</v>
      </c>
      <c r="BJ93" s="1"/>
      <c r="BK93" s="1"/>
      <c r="BL93" s="1"/>
      <c r="BM93" s="1"/>
      <c r="BN93" s="1"/>
      <c r="BO93" s="1"/>
      <c r="BP93" s="1"/>
      <c r="BQ93" s="5">
        <v>45770</v>
      </c>
      <c r="BR93" s="5">
        <v>45772</v>
      </c>
    </row>
    <row r="94" spans="1:70" ht="18" customHeight="1" x14ac:dyDescent="0.3">
      <c r="A94" s="1">
        <v>93</v>
      </c>
      <c r="B94" s="1">
        <v>6886452</v>
      </c>
      <c r="C94" s="74">
        <v>45743</v>
      </c>
      <c r="D94" s="1">
        <v>33620</v>
      </c>
      <c r="E94" s="1" t="s">
        <v>678</v>
      </c>
      <c r="F94" s="8" t="s">
        <v>131</v>
      </c>
      <c r="G94" s="8" t="s">
        <v>567</v>
      </c>
      <c r="H94" s="8" t="s">
        <v>770</v>
      </c>
      <c r="I94" s="83">
        <v>49736</v>
      </c>
      <c r="J94" s="2" t="s">
        <v>142</v>
      </c>
      <c r="K94" s="1" t="s">
        <v>126</v>
      </c>
      <c r="L94" s="1" t="s">
        <v>854</v>
      </c>
      <c r="M94" s="77">
        <v>45761</v>
      </c>
      <c r="N94" s="70" t="s">
        <v>978</v>
      </c>
      <c r="P94" s="1"/>
      <c r="Q94" s="67">
        <f t="shared" si="6"/>
        <v>3</v>
      </c>
      <c r="R94" s="29">
        <f t="shared" si="7"/>
        <v>15</v>
      </c>
      <c r="S94" s="1"/>
      <c r="T94" s="1" t="s">
        <v>941</v>
      </c>
      <c r="U94" s="8" t="s">
        <v>771</v>
      </c>
      <c r="V94" s="2" t="s">
        <v>1473</v>
      </c>
      <c r="W94" s="71" t="s">
        <v>426</v>
      </c>
      <c r="X94" s="1">
        <v>20255040723</v>
      </c>
      <c r="Y94" s="5">
        <v>45755</v>
      </c>
      <c r="Z94" s="5">
        <v>45761</v>
      </c>
      <c r="AA94" s="3">
        <v>45761</v>
      </c>
      <c r="AB94" s="3">
        <v>45761</v>
      </c>
      <c r="AC94" s="5">
        <v>45764</v>
      </c>
      <c r="AD94" s="1">
        <v>17605524956</v>
      </c>
      <c r="AE94" s="1" t="s">
        <v>772</v>
      </c>
      <c r="AF94" s="1">
        <v>1</v>
      </c>
      <c r="AG94" s="1">
        <v>132</v>
      </c>
      <c r="AH94" s="1"/>
      <c r="AI94" s="1" t="s">
        <v>180</v>
      </c>
      <c r="AJ94" s="1"/>
      <c r="AK94" s="3">
        <v>45759</v>
      </c>
      <c r="AL94" s="5">
        <v>45761</v>
      </c>
      <c r="AM94" s="3">
        <v>45761</v>
      </c>
      <c r="AN94" s="1"/>
      <c r="AO94" s="1">
        <v>9493944</v>
      </c>
      <c r="AP94" s="14">
        <v>45762</v>
      </c>
      <c r="AQ94" s="14">
        <v>45764</v>
      </c>
      <c r="AR94" s="1" t="s">
        <v>767</v>
      </c>
      <c r="AS94" s="5">
        <v>45769</v>
      </c>
      <c r="AT94" s="58">
        <v>49818</v>
      </c>
      <c r="AU94" s="1" t="s">
        <v>74</v>
      </c>
      <c r="AV94" s="5">
        <v>45769</v>
      </c>
      <c r="AW94" s="5">
        <v>45770</v>
      </c>
      <c r="AX94" s="1"/>
      <c r="AY94" s="2">
        <v>9741713</v>
      </c>
      <c r="AZ94" s="14">
        <v>45775</v>
      </c>
      <c r="BA94" s="1" t="s">
        <v>922</v>
      </c>
      <c r="BB94" s="1" t="s">
        <v>923</v>
      </c>
      <c r="BC94" s="5">
        <v>45775</v>
      </c>
      <c r="BD94" s="5">
        <v>45776</v>
      </c>
      <c r="BE94" s="1"/>
      <c r="BF94" s="14">
        <v>45777</v>
      </c>
      <c r="BG94" s="14">
        <v>45779</v>
      </c>
      <c r="BH94" s="2" t="s">
        <v>977</v>
      </c>
      <c r="BI94" s="2" t="s">
        <v>282</v>
      </c>
      <c r="BJ94" s="1"/>
      <c r="BK94" s="1"/>
      <c r="BL94" s="1"/>
      <c r="BM94" s="1"/>
      <c r="BN94" s="1"/>
      <c r="BO94" s="1"/>
      <c r="BP94" s="1"/>
      <c r="BQ94" s="5">
        <v>45770</v>
      </c>
      <c r="BR94" s="5">
        <v>45772</v>
      </c>
    </row>
    <row r="95" spans="1:70" ht="18" customHeight="1" x14ac:dyDescent="0.3">
      <c r="A95" s="1">
        <v>94</v>
      </c>
      <c r="B95" s="1">
        <v>6732486</v>
      </c>
      <c r="C95" s="74" t="s">
        <v>821</v>
      </c>
      <c r="D95" s="1">
        <v>40299</v>
      </c>
      <c r="E95" s="1" t="s">
        <v>678</v>
      </c>
      <c r="F95" s="8" t="s">
        <v>219</v>
      </c>
      <c r="G95" s="8" t="s">
        <v>650</v>
      </c>
      <c r="H95" s="8" t="s">
        <v>822</v>
      </c>
      <c r="I95" s="83">
        <v>49844</v>
      </c>
      <c r="J95" s="2" t="s">
        <v>142</v>
      </c>
      <c r="K95" s="1" t="s">
        <v>126</v>
      </c>
      <c r="L95" s="1" t="s">
        <v>854</v>
      </c>
      <c r="M95" s="77">
        <v>45768</v>
      </c>
      <c r="N95" s="70" t="s">
        <v>995</v>
      </c>
      <c r="P95" s="1"/>
      <c r="Q95" s="67">
        <f t="shared" si="6"/>
        <v>3</v>
      </c>
      <c r="R95" s="29">
        <f t="shared" si="7"/>
        <v>9</v>
      </c>
      <c r="S95" s="1"/>
      <c r="T95" s="1"/>
      <c r="U95" s="1" t="s">
        <v>673</v>
      </c>
      <c r="V95" s="1" t="s">
        <v>384</v>
      </c>
      <c r="W95" s="1" t="s">
        <v>421</v>
      </c>
      <c r="X95" s="1" t="s">
        <v>866</v>
      </c>
      <c r="Y95" s="5">
        <v>45769</v>
      </c>
      <c r="Z95" s="5">
        <v>45771</v>
      </c>
      <c r="AA95" s="4">
        <v>45768</v>
      </c>
      <c r="AB95" s="4">
        <v>45768</v>
      </c>
      <c r="AC95" s="3">
        <v>45771</v>
      </c>
      <c r="AD95" s="1" t="s">
        <v>823</v>
      </c>
      <c r="AE95" s="1" t="s">
        <v>824</v>
      </c>
      <c r="AF95" s="1">
        <v>2</v>
      </c>
      <c r="AG95" s="1">
        <v>410</v>
      </c>
      <c r="AH95" s="1"/>
      <c r="AI95" s="1" t="s">
        <v>611</v>
      </c>
      <c r="AJ95" s="1"/>
      <c r="AK95" s="3">
        <v>45768</v>
      </c>
      <c r="AL95" s="5">
        <v>45768</v>
      </c>
      <c r="AM95" s="3">
        <v>45768</v>
      </c>
      <c r="AN95" s="1"/>
      <c r="AO95" s="1">
        <v>9644746</v>
      </c>
      <c r="AP95" s="14">
        <v>45769</v>
      </c>
      <c r="AQ95" s="14">
        <v>45771</v>
      </c>
      <c r="AR95" s="1"/>
      <c r="AS95" s="5">
        <v>45772</v>
      </c>
      <c r="AT95" s="58">
        <v>49887</v>
      </c>
      <c r="AU95" s="1" t="s">
        <v>74</v>
      </c>
      <c r="AV95" s="5">
        <v>45772</v>
      </c>
      <c r="AW95" s="5">
        <v>45772</v>
      </c>
      <c r="AX95" s="5"/>
      <c r="AY95" s="49">
        <v>9741714</v>
      </c>
      <c r="AZ95" s="14">
        <v>45775</v>
      </c>
      <c r="BA95">
        <v>3481833.6</v>
      </c>
      <c r="BB95" s="1">
        <v>626730</v>
      </c>
      <c r="BC95" s="5">
        <v>45777</v>
      </c>
      <c r="BD95" s="5">
        <v>45777</v>
      </c>
      <c r="BE95" s="1"/>
      <c r="BF95" s="14">
        <v>45779</v>
      </c>
      <c r="BG95" s="14">
        <v>45780</v>
      </c>
      <c r="BH95" s="2" t="s">
        <v>994</v>
      </c>
      <c r="BI95" s="2" t="s">
        <v>273</v>
      </c>
      <c r="BJ95" s="1"/>
      <c r="BK95" s="1"/>
      <c r="BL95" s="1"/>
      <c r="BM95" s="8" t="s">
        <v>904</v>
      </c>
      <c r="BN95" s="1"/>
      <c r="BO95" s="1"/>
      <c r="BP95" s="1"/>
      <c r="BQ95" s="5">
        <v>45772</v>
      </c>
      <c r="BR95" s="5">
        <v>45772</v>
      </c>
    </row>
    <row r="96" spans="1:70" ht="18" customHeight="1" x14ac:dyDescent="0.3">
      <c r="A96" s="1">
        <v>95</v>
      </c>
      <c r="B96" s="8" t="s">
        <v>731</v>
      </c>
      <c r="C96" s="75" t="s">
        <v>732</v>
      </c>
      <c r="D96" s="8" t="s">
        <v>733</v>
      </c>
      <c r="E96" s="1" t="s">
        <v>678</v>
      </c>
      <c r="F96" s="8" t="s">
        <v>735</v>
      </c>
      <c r="G96" s="8" t="s">
        <v>734</v>
      </c>
      <c r="H96" s="8" t="s">
        <v>736</v>
      </c>
      <c r="I96" s="83">
        <v>49725</v>
      </c>
      <c r="J96" s="2" t="s">
        <v>142</v>
      </c>
      <c r="K96" s="1" t="s">
        <v>126</v>
      </c>
      <c r="L96" s="1" t="s">
        <v>854</v>
      </c>
      <c r="M96" s="77">
        <v>45760</v>
      </c>
      <c r="N96" s="70" t="s">
        <v>997</v>
      </c>
      <c r="P96" s="1"/>
      <c r="Q96" s="67">
        <f t="shared" si="6"/>
        <v>3</v>
      </c>
      <c r="R96" s="29">
        <f t="shared" si="7"/>
        <v>18</v>
      </c>
      <c r="S96" s="1"/>
      <c r="T96" s="1"/>
      <c r="U96" s="1" t="s">
        <v>737</v>
      </c>
      <c r="V96" s="2" t="s">
        <v>335</v>
      </c>
      <c r="W96" s="1" t="s">
        <v>163</v>
      </c>
      <c r="X96" s="1">
        <v>20255040986</v>
      </c>
      <c r="Y96" s="5">
        <v>45755</v>
      </c>
      <c r="Z96" s="5">
        <v>45764</v>
      </c>
      <c r="AA96" s="4">
        <v>45761</v>
      </c>
      <c r="AB96" s="4">
        <v>45761</v>
      </c>
      <c r="AC96" s="5">
        <v>45764</v>
      </c>
      <c r="AD96" s="1" t="s">
        <v>738</v>
      </c>
      <c r="AE96" s="1" t="s">
        <v>739</v>
      </c>
      <c r="AF96" s="1">
        <v>3</v>
      </c>
      <c r="AG96" s="1">
        <v>558.5</v>
      </c>
      <c r="AH96" s="1"/>
      <c r="AI96" s="1" t="s">
        <v>180</v>
      </c>
      <c r="AJ96" s="1"/>
      <c r="AK96" s="3">
        <v>45759</v>
      </c>
      <c r="AL96" s="5">
        <v>45759</v>
      </c>
      <c r="AM96" s="3">
        <v>45761</v>
      </c>
      <c r="AN96" s="1"/>
      <c r="AO96" s="1">
        <v>9494807</v>
      </c>
      <c r="AP96" s="14">
        <v>45762</v>
      </c>
      <c r="AQ96" s="14">
        <v>45764</v>
      </c>
      <c r="AR96" s="1" t="s">
        <v>754</v>
      </c>
      <c r="AS96" s="5">
        <v>45768</v>
      </c>
      <c r="AT96" s="58">
        <v>49830</v>
      </c>
      <c r="AU96" s="1" t="s">
        <v>74</v>
      </c>
      <c r="AV96" s="5">
        <v>45768</v>
      </c>
      <c r="AW96" s="5">
        <v>45768</v>
      </c>
      <c r="AX96" s="1"/>
      <c r="AY96" s="49">
        <v>9821447</v>
      </c>
      <c r="AZ96" s="14">
        <v>45779</v>
      </c>
      <c r="BA96" s="1" t="s">
        <v>962</v>
      </c>
      <c r="BB96" s="1" t="s">
        <v>963</v>
      </c>
      <c r="BC96" s="5">
        <v>45779</v>
      </c>
      <c r="BD96" s="5">
        <v>45779</v>
      </c>
      <c r="BE96" s="1"/>
      <c r="BF96" s="14">
        <v>45780</v>
      </c>
      <c r="BG96" s="14">
        <v>45782</v>
      </c>
      <c r="BH96" s="2" t="s">
        <v>996</v>
      </c>
      <c r="BI96" s="2" t="s">
        <v>273</v>
      </c>
      <c r="BJ96" s="1"/>
      <c r="BK96" s="1"/>
      <c r="BL96" s="1"/>
      <c r="BM96" s="1"/>
      <c r="BN96" s="1"/>
      <c r="BO96" s="1"/>
      <c r="BP96" s="1"/>
      <c r="BQ96" s="1"/>
      <c r="BR96" s="5">
        <v>45768</v>
      </c>
    </row>
    <row r="97" spans="1:70" ht="18" customHeight="1" x14ac:dyDescent="0.3">
      <c r="A97" s="2">
        <v>96</v>
      </c>
      <c r="B97" s="1">
        <v>6886575</v>
      </c>
      <c r="C97" s="74">
        <v>45744</v>
      </c>
      <c r="D97" s="1">
        <v>151290</v>
      </c>
      <c r="E97" s="1" t="s">
        <v>678</v>
      </c>
      <c r="F97" s="8" t="s">
        <v>138</v>
      </c>
      <c r="G97" s="8" t="s">
        <v>140</v>
      </c>
      <c r="H97" s="8" t="s">
        <v>653</v>
      </c>
      <c r="I97" s="83">
        <v>49745</v>
      </c>
      <c r="J97" s="2" t="s">
        <v>142</v>
      </c>
      <c r="K97" s="1" t="s">
        <v>126</v>
      </c>
      <c r="L97" s="1" t="s">
        <v>854</v>
      </c>
      <c r="M97" s="77">
        <v>45771</v>
      </c>
      <c r="N97" s="70" t="s">
        <v>1019</v>
      </c>
      <c r="P97" s="1"/>
      <c r="Q97" s="67">
        <f t="shared" si="6"/>
        <v>3</v>
      </c>
      <c r="R97" s="29">
        <f t="shared" si="7"/>
        <v>8</v>
      </c>
      <c r="S97" s="1"/>
      <c r="T97" s="1"/>
      <c r="U97" s="1" t="s">
        <v>160</v>
      </c>
      <c r="V97" s="2" t="s">
        <v>335</v>
      </c>
      <c r="W97" s="1" t="s">
        <v>163</v>
      </c>
      <c r="X97" s="1">
        <v>20255040738</v>
      </c>
      <c r="Y97" s="5">
        <v>45755</v>
      </c>
      <c r="Z97" s="5">
        <v>45761</v>
      </c>
      <c r="AA97" s="4">
        <v>45772</v>
      </c>
      <c r="AB97" s="4">
        <v>45772</v>
      </c>
      <c r="AC97" s="5">
        <v>45775</v>
      </c>
      <c r="AD97" s="1">
        <v>21703963794</v>
      </c>
      <c r="AE97" s="1" t="s">
        <v>717</v>
      </c>
      <c r="AF97" s="1">
        <v>2</v>
      </c>
      <c r="AG97" s="1">
        <v>510</v>
      </c>
      <c r="AH97" s="1"/>
      <c r="AI97" s="1" t="s">
        <v>180</v>
      </c>
      <c r="AJ97" s="1"/>
      <c r="AK97" s="3">
        <v>45759</v>
      </c>
      <c r="AL97" s="5">
        <v>45761</v>
      </c>
      <c r="AM97" s="3">
        <v>45761</v>
      </c>
      <c r="AN97" s="1"/>
      <c r="AO97" s="1">
        <v>9715066</v>
      </c>
      <c r="AP97" s="14">
        <v>45773</v>
      </c>
      <c r="AQ97" s="14">
        <v>45775</v>
      </c>
      <c r="AR97" s="1" t="s">
        <v>764</v>
      </c>
      <c r="AS97" s="5">
        <v>45775</v>
      </c>
      <c r="AT97" s="58">
        <v>49922</v>
      </c>
      <c r="AU97" s="1" t="s">
        <v>74</v>
      </c>
      <c r="AV97" s="5">
        <v>45775</v>
      </c>
      <c r="AW97" s="5">
        <v>45776</v>
      </c>
      <c r="AX97" s="1"/>
      <c r="AY97" s="2">
        <v>9870766</v>
      </c>
      <c r="AZ97" s="14">
        <v>45782</v>
      </c>
      <c r="BA97" s="1">
        <v>12942860</v>
      </c>
      <c r="BB97" s="1">
        <v>2329715</v>
      </c>
      <c r="BC97" s="5">
        <v>45782</v>
      </c>
      <c r="BD97" s="5">
        <v>45782</v>
      </c>
      <c r="BE97" s="1"/>
      <c r="BF97" s="14">
        <v>45783</v>
      </c>
      <c r="BG97" s="14">
        <v>45783</v>
      </c>
      <c r="BH97" s="2" t="s">
        <v>966</v>
      </c>
      <c r="BI97" s="2" t="s">
        <v>273</v>
      </c>
      <c r="BJ97" s="1"/>
      <c r="BK97" s="1"/>
      <c r="BL97" s="1"/>
      <c r="BM97" s="1"/>
      <c r="BN97" s="1"/>
      <c r="BO97" s="1"/>
      <c r="BP97" s="1"/>
      <c r="BQ97" s="5">
        <v>45776</v>
      </c>
      <c r="BR97" s="5">
        <v>45776</v>
      </c>
    </row>
    <row r="98" spans="1:70" ht="18" customHeight="1" x14ac:dyDescent="0.3">
      <c r="A98" s="1">
        <v>97</v>
      </c>
      <c r="B98" s="8" t="s">
        <v>744</v>
      </c>
      <c r="C98" s="74">
        <v>45656</v>
      </c>
      <c r="D98" s="8" t="s">
        <v>745</v>
      </c>
      <c r="E98" s="1" t="s">
        <v>678</v>
      </c>
      <c r="F98" s="7" t="s">
        <v>623</v>
      </c>
      <c r="G98" s="8" t="s">
        <v>560</v>
      </c>
      <c r="H98" s="8" t="s">
        <v>746</v>
      </c>
      <c r="I98" s="83">
        <v>49735</v>
      </c>
      <c r="J98" s="2" t="s">
        <v>142</v>
      </c>
      <c r="K98" s="1" t="s">
        <v>126</v>
      </c>
      <c r="L98" s="1" t="s">
        <v>854</v>
      </c>
      <c r="M98" s="77">
        <v>45761</v>
      </c>
      <c r="N98" s="70" t="s">
        <v>1270</v>
      </c>
      <c r="P98" s="1"/>
      <c r="Q98" s="67">
        <f t="shared" si="6"/>
        <v>3</v>
      </c>
      <c r="R98" s="29">
        <f t="shared" si="7"/>
        <v>20</v>
      </c>
      <c r="S98" s="1"/>
      <c r="T98" s="1" t="s">
        <v>1008</v>
      </c>
      <c r="U98" s="1" t="s">
        <v>747</v>
      </c>
      <c r="V98" s="1" t="s">
        <v>626</v>
      </c>
      <c r="W98" s="1" t="s">
        <v>627</v>
      </c>
      <c r="X98" s="1">
        <v>20255042214</v>
      </c>
      <c r="Y98" s="5">
        <v>45758</v>
      </c>
      <c r="Z98" s="5">
        <v>45766</v>
      </c>
      <c r="AA98" s="4">
        <v>45761</v>
      </c>
      <c r="AB98" s="4">
        <v>45761</v>
      </c>
      <c r="AC98" s="5">
        <v>45764</v>
      </c>
      <c r="AD98" s="1" t="s">
        <v>742</v>
      </c>
      <c r="AE98" s="1" t="s">
        <v>748</v>
      </c>
      <c r="AF98" s="1">
        <v>4</v>
      </c>
      <c r="AG98" s="1">
        <v>1130.5</v>
      </c>
      <c r="AH98" s="1"/>
      <c r="AI98" s="1" t="s">
        <v>180</v>
      </c>
      <c r="AJ98" s="1"/>
      <c r="AK98" s="3">
        <v>45759</v>
      </c>
      <c r="AL98" s="5">
        <v>45761</v>
      </c>
      <c r="AM98" s="3">
        <v>45761</v>
      </c>
      <c r="AN98" s="1"/>
      <c r="AO98" s="1">
        <v>9495476</v>
      </c>
      <c r="AP98" s="14">
        <v>45762</v>
      </c>
      <c r="AQ98" s="14">
        <v>45764</v>
      </c>
      <c r="AR98" s="1"/>
      <c r="AS98" s="5">
        <v>45780</v>
      </c>
      <c r="AT98" s="58">
        <v>49821</v>
      </c>
      <c r="AU98" s="1" t="s">
        <v>74</v>
      </c>
      <c r="AV98" s="5">
        <v>45780</v>
      </c>
      <c r="AW98" s="5">
        <v>45782</v>
      </c>
      <c r="AX98" s="1"/>
      <c r="AY98" s="2">
        <v>9877021</v>
      </c>
      <c r="AZ98" s="14">
        <v>45782</v>
      </c>
      <c r="BA98" s="1">
        <v>10161287</v>
      </c>
      <c r="BB98" s="1">
        <v>1829032</v>
      </c>
      <c r="BC98" s="5">
        <v>45782</v>
      </c>
      <c r="BD98" s="5">
        <v>45783</v>
      </c>
      <c r="BE98" s="1"/>
      <c r="BF98" s="14">
        <v>45783</v>
      </c>
      <c r="BG98" s="14">
        <v>45784</v>
      </c>
      <c r="BH98" s="2" t="s">
        <v>1022</v>
      </c>
      <c r="BI98" s="2" t="s">
        <v>273</v>
      </c>
      <c r="BJ98" s="1"/>
      <c r="BK98" s="1"/>
      <c r="BL98" s="1"/>
      <c r="BM98" s="114" t="s">
        <v>1272</v>
      </c>
      <c r="BN98" s="1"/>
      <c r="BO98" s="1"/>
      <c r="BP98" s="1"/>
      <c r="BQ98" s="5">
        <v>45782</v>
      </c>
      <c r="BR98" s="5">
        <v>45782</v>
      </c>
    </row>
    <row r="99" spans="1:70" ht="18" customHeight="1" x14ac:dyDescent="0.3">
      <c r="A99" s="2">
        <v>98</v>
      </c>
      <c r="B99" s="1">
        <v>6873218</v>
      </c>
      <c r="C99" s="74">
        <v>45733</v>
      </c>
      <c r="D99" s="1">
        <v>116350</v>
      </c>
      <c r="E99" s="1" t="s">
        <v>678</v>
      </c>
      <c r="F99" s="8" t="s">
        <v>224</v>
      </c>
      <c r="G99" s="8" t="s">
        <v>763</v>
      </c>
      <c r="H99" s="8" t="s">
        <v>749</v>
      </c>
      <c r="I99" s="83">
        <v>49732</v>
      </c>
      <c r="J99" s="2" t="s">
        <v>142</v>
      </c>
      <c r="K99" s="1" t="s">
        <v>126</v>
      </c>
      <c r="L99" s="1" t="s">
        <v>854</v>
      </c>
      <c r="M99" s="77">
        <v>45761</v>
      </c>
      <c r="N99" s="70" t="s">
        <v>1271</v>
      </c>
      <c r="P99" s="1"/>
      <c r="Q99" s="67">
        <f t="shared" si="6"/>
        <v>3</v>
      </c>
      <c r="R99" s="29">
        <f t="shared" si="7"/>
        <v>20</v>
      </c>
      <c r="S99" s="1"/>
      <c r="T99" s="1" t="s">
        <v>1009</v>
      </c>
      <c r="U99" s="1" t="s">
        <v>750</v>
      </c>
      <c r="V99" s="1" t="s">
        <v>626</v>
      </c>
      <c r="W99" s="1" t="s">
        <v>627</v>
      </c>
      <c r="X99" s="1">
        <v>20255040630</v>
      </c>
      <c r="Y99" s="5">
        <v>45755</v>
      </c>
      <c r="Z99" s="5">
        <v>45761</v>
      </c>
      <c r="AA99" s="4">
        <v>45761</v>
      </c>
      <c r="AB99" s="4">
        <v>45761</v>
      </c>
      <c r="AC99" s="5">
        <v>45764</v>
      </c>
      <c r="AD99" s="1" t="s">
        <v>751</v>
      </c>
      <c r="AE99" s="1" t="s">
        <v>752</v>
      </c>
      <c r="AF99" s="1">
        <v>4</v>
      </c>
      <c r="AG99" s="1">
        <v>1028</v>
      </c>
      <c r="AH99" s="1"/>
      <c r="AI99" s="1" t="s">
        <v>180</v>
      </c>
      <c r="AJ99" s="1"/>
      <c r="AK99" s="3">
        <v>45759</v>
      </c>
      <c r="AL99" s="5">
        <v>45761</v>
      </c>
      <c r="AM99" s="5">
        <v>45761</v>
      </c>
      <c r="AN99" s="1"/>
      <c r="AO99" s="1">
        <v>9494805</v>
      </c>
      <c r="AP99" s="14">
        <v>45762</v>
      </c>
      <c r="AQ99" s="14">
        <v>45764</v>
      </c>
      <c r="AR99" s="1"/>
      <c r="AS99" s="5">
        <v>45780</v>
      </c>
      <c r="AT99" s="58">
        <v>49825</v>
      </c>
      <c r="AU99" s="1" t="s">
        <v>74</v>
      </c>
      <c r="AV99" s="5">
        <v>45780</v>
      </c>
      <c r="AW99" s="5">
        <v>45782</v>
      </c>
      <c r="AX99" s="1"/>
      <c r="AY99" s="2">
        <v>9877095</v>
      </c>
      <c r="AZ99" s="14">
        <v>45782</v>
      </c>
      <c r="BA99" s="1">
        <v>9953743</v>
      </c>
      <c r="BB99" s="1">
        <v>1791674</v>
      </c>
      <c r="BC99" s="5">
        <v>45782</v>
      </c>
      <c r="BD99" s="5">
        <v>45783</v>
      </c>
      <c r="BE99" s="1"/>
      <c r="BF99" s="14">
        <v>45783</v>
      </c>
      <c r="BG99" s="14">
        <v>45784</v>
      </c>
      <c r="BH99" s="2" t="s">
        <v>1022</v>
      </c>
      <c r="BI99" s="2" t="s">
        <v>273</v>
      </c>
      <c r="BJ99" s="1"/>
      <c r="BK99" s="1"/>
      <c r="BL99" s="1"/>
      <c r="BM99" s="114" t="s">
        <v>1273</v>
      </c>
      <c r="BN99" s="1"/>
      <c r="BO99" s="1"/>
      <c r="BP99" s="1"/>
      <c r="BQ99" s="5">
        <v>45782</v>
      </c>
      <c r="BR99" s="5">
        <v>45782</v>
      </c>
    </row>
    <row r="100" spans="1:70" ht="18" customHeight="1" x14ac:dyDescent="0.3">
      <c r="A100" s="1">
        <v>99</v>
      </c>
      <c r="B100" s="8" t="s">
        <v>621</v>
      </c>
      <c r="C100" s="74">
        <v>45651</v>
      </c>
      <c r="D100" s="8" t="s">
        <v>622</v>
      </c>
      <c r="E100" s="1" t="s">
        <v>678</v>
      </c>
      <c r="F100" s="7" t="s">
        <v>623</v>
      </c>
      <c r="G100" s="8" t="s">
        <v>560</v>
      </c>
      <c r="H100" s="8" t="s">
        <v>624</v>
      </c>
      <c r="I100" s="83">
        <v>49632</v>
      </c>
      <c r="J100" s="2" t="s">
        <v>142</v>
      </c>
      <c r="K100" s="1" t="s">
        <v>126</v>
      </c>
      <c r="L100" s="1" t="s">
        <v>854</v>
      </c>
      <c r="M100" s="77">
        <v>45753</v>
      </c>
      <c r="N100" s="70" t="s">
        <v>1035</v>
      </c>
      <c r="O100" s="1">
        <v>20228</v>
      </c>
      <c r="P100" s="1"/>
      <c r="Q100" s="67">
        <f t="shared" si="6"/>
        <v>9</v>
      </c>
      <c r="R100" s="29">
        <f t="shared" si="7"/>
        <v>23</v>
      </c>
      <c r="S100" s="1"/>
      <c r="T100" s="1" t="s">
        <v>1013</v>
      </c>
      <c r="U100" s="1" t="s">
        <v>625</v>
      </c>
      <c r="V100" s="1" t="s">
        <v>626</v>
      </c>
      <c r="W100" s="1" t="s">
        <v>627</v>
      </c>
      <c r="X100" s="1">
        <v>20255039818</v>
      </c>
      <c r="Y100" s="5">
        <v>45754</v>
      </c>
      <c r="Z100" s="5">
        <v>45757</v>
      </c>
      <c r="AA100" s="4">
        <v>45753</v>
      </c>
      <c r="AB100" s="4">
        <v>45753</v>
      </c>
      <c r="AC100" s="5">
        <v>45762</v>
      </c>
      <c r="AD100" s="1">
        <v>23210555156</v>
      </c>
      <c r="AE100" s="1" t="s">
        <v>628</v>
      </c>
      <c r="AF100" s="1">
        <v>5</v>
      </c>
      <c r="AG100" s="1">
        <v>1053</v>
      </c>
      <c r="AH100" s="1"/>
      <c r="AI100" s="1" t="s">
        <v>629</v>
      </c>
      <c r="AJ100" s="1"/>
      <c r="AK100" s="3">
        <v>45753</v>
      </c>
      <c r="AL100" s="5">
        <v>45755</v>
      </c>
      <c r="AM100" s="5">
        <v>45755</v>
      </c>
      <c r="AN100" s="1"/>
      <c r="AO100" s="1">
        <v>9382325</v>
      </c>
      <c r="AP100" s="14">
        <v>45756</v>
      </c>
      <c r="AQ100" s="14">
        <v>45762</v>
      </c>
      <c r="AR100" s="1" t="s">
        <v>641</v>
      </c>
      <c r="AS100" s="5">
        <v>45780</v>
      </c>
      <c r="AT100" s="58">
        <v>49815</v>
      </c>
      <c r="AU100" s="1" t="s">
        <v>74</v>
      </c>
      <c r="AV100" s="5">
        <v>45780</v>
      </c>
      <c r="AW100" s="5">
        <v>45782</v>
      </c>
      <c r="AX100" s="1"/>
      <c r="AY100" s="2">
        <v>9881621</v>
      </c>
      <c r="AZ100" s="14">
        <v>45782</v>
      </c>
      <c r="BA100" s="1" t="s">
        <v>998</v>
      </c>
      <c r="BB100" s="1" t="s">
        <v>999</v>
      </c>
      <c r="BC100" s="5">
        <v>45782</v>
      </c>
      <c r="BD100" s="5">
        <v>45783</v>
      </c>
      <c r="BE100" s="1"/>
      <c r="BF100" s="14">
        <v>45784</v>
      </c>
      <c r="BG100" s="14">
        <v>45785</v>
      </c>
      <c r="BH100" s="2" t="s">
        <v>1033</v>
      </c>
      <c r="BI100" s="2" t="s">
        <v>273</v>
      </c>
      <c r="BJ100" s="1"/>
      <c r="BK100" s="1"/>
      <c r="BL100" s="1"/>
      <c r="BM100" s="114" t="s">
        <v>1274</v>
      </c>
      <c r="BN100" s="1"/>
      <c r="BO100" s="1"/>
      <c r="BP100" s="1"/>
      <c r="BQ100" s="5">
        <v>45782</v>
      </c>
      <c r="BR100" s="1"/>
    </row>
    <row r="101" spans="1:70" ht="18" customHeight="1" x14ac:dyDescent="0.3">
      <c r="A101" s="2">
        <v>100</v>
      </c>
      <c r="B101" s="1">
        <v>6732314</v>
      </c>
      <c r="C101" s="74">
        <v>45652</v>
      </c>
      <c r="D101" s="1">
        <v>25452</v>
      </c>
      <c r="E101" s="1" t="s">
        <v>678</v>
      </c>
      <c r="F101" s="8" t="s">
        <v>219</v>
      </c>
      <c r="G101" s="8" t="s">
        <v>650</v>
      </c>
      <c r="H101" s="8" t="s">
        <v>568</v>
      </c>
      <c r="I101" s="83">
        <v>49820</v>
      </c>
      <c r="J101" s="2" t="s">
        <v>142</v>
      </c>
      <c r="K101" s="1" t="s">
        <v>126</v>
      </c>
      <c r="L101" s="1" t="s">
        <v>854</v>
      </c>
      <c r="M101" s="77">
        <v>45769</v>
      </c>
      <c r="N101" s="70" t="s">
        <v>1047</v>
      </c>
      <c r="P101" s="1"/>
      <c r="Q101" s="67">
        <f t="shared" ref="Q101:Q132" si="8">AQ101-AB101</f>
        <v>3</v>
      </c>
      <c r="R101" s="29">
        <f t="shared" ref="R101:R132" si="9">BG101-AC101</f>
        <v>14</v>
      </c>
      <c r="S101" s="1"/>
      <c r="T101" s="1" t="s">
        <v>1023</v>
      </c>
      <c r="U101" s="1" t="s">
        <v>796</v>
      </c>
      <c r="V101" s="2" t="s">
        <v>1473</v>
      </c>
      <c r="W101" s="71" t="s">
        <v>426</v>
      </c>
      <c r="X101" s="1">
        <v>20255044254</v>
      </c>
      <c r="Y101" s="5">
        <v>45763</v>
      </c>
      <c r="Z101" s="5">
        <v>45768</v>
      </c>
      <c r="AA101" s="4">
        <v>45769</v>
      </c>
      <c r="AB101" s="4">
        <v>45769</v>
      </c>
      <c r="AC101" s="3">
        <v>45772</v>
      </c>
      <c r="AD101" s="1" t="s">
        <v>797</v>
      </c>
      <c r="AE101" s="1" t="s">
        <v>798</v>
      </c>
      <c r="AF101" s="1">
        <v>1</v>
      </c>
      <c r="AG101" s="1">
        <v>253</v>
      </c>
      <c r="AH101" s="1"/>
      <c r="AI101" s="1" t="s">
        <v>629</v>
      </c>
      <c r="AJ101" s="1"/>
      <c r="AK101" s="3">
        <v>45764</v>
      </c>
      <c r="AL101" s="5">
        <v>45766</v>
      </c>
      <c r="AM101" s="3">
        <v>45768</v>
      </c>
      <c r="AN101" s="1"/>
      <c r="AO101" s="1">
        <v>9654230</v>
      </c>
      <c r="AP101" s="14">
        <v>45770</v>
      </c>
      <c r="AQ101" s="14">
        <v>45772</v>
      </c>
      <c r="AR101" s="1"/>
      <c r="AS101" s="5">
        <v>45775</v>
      </c>
      <c r="AT101" s="58">
        <v>49918</v>
      </c>
      <c r="AU101" s="1" t="s">
        <v>74</v>
      </c>
      <c r="AV101" s="5">
        <v>45775</v>
      </c>
      <c r="AW101" s="5">
        <v>45775</v>
      </c>
      <c r="AX101" s="1"/>
      <c r="AY101" s="2">
        <v>9893080</v>
      </c>
      <c r="AZ101" s="14">
        <v>45783</v>
      </c>
      <c r="BA101" s="1">
        <v>2177419</v>
      </c>
      <c r="BB101" s="1">
        <v>391935</v>
      </c>
      <c r="BC101" s="5">
        <v>45783</v>
      </c>
      <c r="BD101" s="5">
        <v>45784</v>
      </c>
      <c r="BE101" s="1"/>
      <c r="BF101" s="14">
        <v>45785</v>
      </c>
      <c r="BG101" s="14">
        <v>45786</v>
      </c>
      <c r="BH101" s="2" t="s">
        <v>1046</v>
      </c>
      <c r="BI101" s="2" t="s">
        <v>273</v>
      </c>
      <c r="BJ101" s="1"/>
      <c r="BK101" s="1"/>
      <c r="BL101" s="1"/>
      <c r="BM101" s="1" t="s">
        <v>930</v>
      </c>
      <c r="BN101" s="1"/>
      <c r="BO101" s="1"/>
      <c r="BP101" s="1"/>
      <c r="BQ101" s="5">
        <v>45775</v>
      </c>
      <c r="BR101" s="5">
        <v>45777</v>
      </c>
    </row>
    <row r="102" spans="1:70" ht="18" customHeight="1" x14ac:dyDescent="0.3">
      <c r="A102" s="1">
        <v>101</v>
      </c>
      <c r="B102" s="1">
        <v>6897333</v>
      </c>
      <c r="C102" s="74">
        <v>45761</v>
      </c>
      <c r="D102" s="1">
        <v>67240</v>
      </c>
      <c r="E102" s="1" t="s">
        <v>840</v>
      </c>
      <c r="F102" s="8" t="s">
        <v>648</v>
      </c>
      <c r="G102" s="8" t="s">
        <v>646</v>
      </c>
      <c r="H102" s="8" t="s">
        <v>201</v>
      </c>
      <c r="I102" s="83">
        <v>49861</v>
      </c>
      <c r="J102" s="2" t="s">
        <v>142</v>
      </c>
      <c r="K102" s="1" t="s">
        <v>126</v>
      </c>
      <c r="L102" s="1" t="s">
        <v>854</v>
      </c>
      <c r="M102" s="77">
        <v>45769</v>
      </c>
      <c r="N102" s="70" t="s">
        <v>1045</v>
      </c>
      <c r="P102" s="1"/>
      <c r="Q102" s="67">
        <f t="shared" si="8"/>
        <v>2</v>
      </c>
      <c r="R102" s="29">
        <f t="shared" si="9"/>
        <v>15</v>
      </c>
      <c r="S102" s="1"/>
      <c r="T102" s="1"/>
      <c r="U102" s="1" t="s">
        <v>569</v>
      </c>
      <c r="V102" s="1" t="s">
        <v>844</v>
      </c>
      <c r="W102" s="1" t="s">
        <v>380</v>
      </c>
      <c r="X102" s="1">
        <v>20255044815</v>
      </c>
      <c r="Y102" s="5">
        <v>45764</v>
      </c>
      <c r="Z102" s="5">
        <v>45771</v>
      </c>
      <c r="AA102" s="4">
        <v>45769</v>
      </c>
      <c r="AB102" s="4">
        <v>45769</v>
      </c>
      <c r="AC102" s="3">
        <v>45771</v>
      </c>
      <c r="AD102" s="1">
        <v>23210557245</v>
      </c>
      <c r="AE102" s="1" t="s">
        <v>856</v>
      </c>
      <c r="AF102" s="1">
        <v>1</v>
      </c>
      <c r="AG102" s="1">
        <v>230</v>
      </c>
      <c r="AH102" s="1"/>
      <c r="AI102" s="1" t="s">
        <v>180</v>
      </c>
      <c r="AJ102" s="1"/>
      <c r="AK102" s="3">
        <v>45768</v>
      </c>
      <c r="AL102" s="5">
        <v>45768</v>
      </c>
      <c r="AM102" s="3">
        <v>45769</v>
      </c>
      <c r="AN102" s="1"/>
      <c r="AO102" s="1">
        <v>9647172</v>
      </c>
      <c r="AP102" s="14">
        <v>45769</v>
      </c>
      <c r="AQ102" s="14">
        <v>45771</v>
      </c>
      <c r="AR102" s="1"/>
      <c r="AS102" s="5">
        <v>45779</v>
      </c>
      <c r="AT102" s="58">
        <v>49892</v>
      </c>
      <c r="AU102" s="1" t="s">
        <v>74</v>
      </c>
      <c r="AV102" s="5">
        <v>45779</v>
      </c>
      <c r="AW102" s="5">
        <v>45779</v>
      </c>
      <c r="AX102" s="1"/>
      <c r="AY102" s="2">
        <v>9911119</v>
      </c>
      <c r="AZ102" s="14">
        <v>45784</v>
      </c>
      <c r="BA102" s="1">
        <v>5752382</v>
      </c>
      <c r="BB102" s="1">
        <v>1035429</v>
      </c>
      <c r="BC102" s="5">
        <v>45784</v>
      </c>
      <c r="BD102" s="5">
        <v>45784</v>
      </c>
      <c r="BE102" s="1"/>
      <c r="BF102" s="14">
        <v>45785</v>
      </c>
      <c r="BG102" s="14">
        <v>45786</v>
      </c>
      <c r="BH102" s="2" t="s">
        <v>1044</v>
      </c>
      <c r="BI102" s="2" t="s">
        <v>282</v>
      </c>
      <c r="BJ102" s="1"/>
      <c r="BK102" s="1"/>
      <c r="BL102" s="1"/>
      <c r="BM102" s="1" t="s">
        <v>877</v>
      </c>
      <c r="BN102" s="1"/>
      <c r="BO102" s="1"/>
      <c r="BP102" s="1"/>
      <c r="BQ102" s="5">
        <v>45779</v>
      </c>
      <c r="BR102" s="5">
        <v>45780</v>
      </c>
    </row>
    <row r="103" spans="1:70" ht="18" customHeight="1" x14ac:dyDescent="0.3">
      <c r="A103" s="2">
        <v>102</v>
      </c>
      <c r="B103" s="2">
        <v>6900951</v>
      </c>
      <c r="C103" s="76">
        <v>45763</v>
      </c>
      <c r="D103" s="2">
        <v>100860</v>
      </c>
      <c r="E103" s="1" t="s">
        <v>840</v>
      </c>
      <c r="F103" s="8" t="s">
        <v>883</v>
      </c>
      <c r="G103" s="8" t="s">
        <v>646</v>
      </c>
      <c r="H103" s="8" t="s">
        <v>950</v>
      </c>
      <c r="I103" s="83">
        <v>49872</v>
      </c>
      <c r="J103" s="2" t="s">
        <v>142</v>
      </c>
      <c r="K103" s="1" t="s">
        <v>126</v>
      </c>
      <c r="L103" s="1" t="s">
        <v>854</v>
      </c>
      <c r="M103" s="78">
        <v>45770</v>
      </c>
      <c r="N103" s="70" t="s">
        <v>1049</v>
      </c>
      <c r="Q103" s="67">
        <f t="shared" si="8"/>
        <v>3</v>
      </c>
      <c r="R103" s="29">
        <f t="shared" si="9"/>
        <v>11</v>
      </c>
      <c r="T103" s="1" t="s">
        <v>1025</v>
      </c>
      <c r="U103" s="1" t="s">
        <v>869</v>
      </c>
      <c r="V103" s="2" t="s">
        <v>204</v>
      </c>
      <c r="W103" s="1" t="s">
        <v>203</v>
      </c>
      <c r="X103" s="2">
        <v>20255046279</v>
      </c>
      <c r="Y103" s="14">
        <v>45769</v>
      </c>
      <c r="Z103" s="14">
        <v>45773</v>
      </c>
      <c r="AA103" s="4">
        <v>45772</v>
      </c>
      <c r="AB103" s="4">
        <v>45772</v>
      </c>
      <c r="AC103" s="5">
        <v>45775</v>
      </c>
      <c r="AD103" s="2">
        <v>61841617553</v>
      </c>
      <c r="AE103" s="2" t="s">
        <v>870</v>
      </c>
      <c r="AF103" s="2">
        <v>2</v>
      </c>
      <c r="AG103" s="2">
        <v>345</v>
      </c>
      <c r="AH103" s="2"/>
      <c r="AI103" s="2" t="s">
        <v>180</v>
      </c>
      <c r="AJ103" s="2"/>
      <c r="AK103" s="4">
        <v>45769</v>
      </c>
      <c r="AL103" s="14">
        <v>45770</v>
      </c>
      <c r="AM103" s="4">
        <v>45770</v>
      </c>
      <c r="AN103" s="2"/>
      <c r="AO103" s="1">
        <v>9699005</v>
      </c>
      <c r="AP103" s="14">
        <v>45772</v>
      </c>
      <c r="AQ103" s="14">
        <v>45775</v>
      </c>
      <c r="AS103" s="5">
        <v>45776</v>
      </c>
      <c r="AT103" s="58">
        <v>49925</v>
      </c>
      <c r="AU103" s="1" t="s">
        <v>74</v>
      </c>
      <c r="AV103" s="14">
        <v>45776</v>
      </c>
      <c r="AW103" s="5">
        <v>45776</v>
      </c>
      <c r="AY103" s="49">
        <v>9821444</v>
      </c>
      <c r="AZ103" s="14">
        <v>45779</v>
      </c>
      <c r="BA103" s="15" t="s">
        <v>964</v>
      </c>
      <c r="BB103" s="2" t="s">
        <v>965</v>
      </c>
      <c r="BC103" s="14">
        <v>45779</v>
      </c>
      <c r="BD103" s="5">
        <v>45784</v>
      </c>
      <c r="BF103" s="14">
        <v>45785</v>
      </c>
      <c r="BG103" s="14">
        <v>45786</v>
      </c>
      <c r="BH103" s="2" t="s">
        <v>1048</v>
      </c>
      <c r="BI103" s="2" t="s">
        <v>273</v>
      </c>
      <c r="BQ103" s="14">
        <v>45776</v>
      </c>
      <c r="BR103" s="5">
        <v>45776</v>
      </c>
    </row>
    <row r="104" spans="1:70" ht="18" customHeight="1" x14ac:dyDescent="0.3">
      <c r="A104" s="2">
        <v>104</v>
      </c>
      <c r="B104" s="8" t="s">
        <v>528</v>
      </c>
      <c r="C104" s="75" t="s">
        <v>529</v>
      </c>
      <c r="D104" s="8" t="s">
        <v>530</v>
      </c>
      <c r="E104" s="1" t="s">
        <v>678</v>
      </c>
      <c r="F104" s="8" t="s">
        <v>531</v>
      </c>
      <c r="G104" s="8" t="s">
        <v>532</v>
      </c>
      <c r="H104" s="8" t="s">
        <v>533</v>
      </c>
      <c r="I104" s="83">
        <v>49625</v>
      </c>
      <c r="J104" s="2" t="s">
        <v>142</v>
      </c>
      <c r="K104" s="1" t="s">
        <v>126</v>
      </c>
      <c r="L104" s="1" t="s">
        <v>854</v>
      </c>
      <c r="M104" s="77">
        <v>45753</v>
      </c>
      <c r="N104" s="70" t="s">
        <v>1041</v>
      </c>
      <c r="O104" s="1">
        <v>363</v>
      </c>
      <c r="P104" s="1"/>
      <c r="Q104" s="67">
        <f t="shared" si="8"/>
        <v>3</v>
      </c>
      <c r="R104" s="29">
        <f t="shared" si="9"/>
        <v>29</v>
      </c>
      <c r="S104" s="1"/>
      <c r="T104" s="1"/>
      <c r="U104" s="8" t="s">
        <v>535</v>
      </c>
      <c r="V104" s="1" t="s">
        <v>239</v>
      </c>
      <c r="W104" s="1" t="s">
        <v>454</v>
      </c>
      <c r="X104" s="1">
        <v>20255039822</v>
      </c>
      <c r="Y104" s="5">
        <v>45754</v>
      </c>
      <c r="Z104" s="5">
        <v>45757</v>
      </c>
      <c r="AA104" s="4">
        <v>45753</v>
      </c>
      <c r="AB104" s="4">
        <v>45753</v>
      </c>
      <c r="AC104" s="3">
        <v>45756</v>
      </c>
      <c r="AD104" s="1">
        <v>23210555145</v>
      </c>
      <c r="AE104" s="1" t="s">
        <v>534</v>
      </c>
      <c r="AF104" s="1">
        <v>2</v>
      </c>
      <c r="AG104" s="1">
        <v>317</v>
      </c>
      <c r="AH104" s="1"/>
      <c r="AI104" s="1" t="s">
        <v>181</v>
      </c>
      <c r="AJ104" s="1"/>
      <c r="AK104" s="3">
        <v>45753</v>
      </c>
      <c r="AL104" s="5">
        <v>45754</v>
      </c>
      <c r="AM104" s="3">
        <v>45754</v>
      </c>
      <c r="AN104" s="1"/>
      <c r="AO104" s="79">
        <v>9353769</v>
      </c>
      <c r="AP104" s="14">
        <v>45754</v>
      </c>
      <c r="AQ104" s="14">
        <v>45756</v>
      </c>
      <c r="AR104" s="1"/>
      <c r="AS104" s="5">
        <v>45771</v>
      </c>
      <c r="AT104" s="58">
        <v>49719</v>
      </c>
      <c r="AU104" s="1" t="s">
        <v>74</v>
      </c>
      <c r="AV104" s="5">
        <v>45771</v>
      </c>
      <c r="AW104" s="5">
        <v>45771</v>
      </c>
      <c r="AX104" s="1"/>
      <c r="AY104" s="49">
        <v>9821445</v>
      </c>
      <c r="AZ104" s="14">
        <v>45779</v>
      </c>
      <c r="BA104" t="s">
        <v>960</v>
      </c>
      <c r="BB104" s="1" t="s">
        <v>961</v>
      </c>
      <c r="BC104" s="5">
        <v>45779</v>
      </c>
      <c r="BD104" s="14">
        <v>45779</v>
      </c>
      <c r="BE104" s="1"/>
      <c r="BF104" s="14">
        <v>45780</v>
      </c>
      <c r="BG104" s="14">
        <v>45785</v>
      </c>
      <c r="BH104" s="2" t="s">
        <v>1040</v>
      </c>
      <c r="BI104" s="2" t="s">
        <v>273</v>
      </c>
      <c r="BJ104" s="1"/>
      <c r="BK104" s="1"/>
      <c r="BL104" s="1"/>
      <c r="BM104" s="8" t="s">
        <v>878</v>
      </c>
      <c r="BN104" s="1"/>
      <c r="BO104" s="1"/>
      <c r="BP104" s="1"/>
      <c r="BQ104" s="5">
        <v>45771</v>
      </c>
      <c r="BR104" s="5">
        <v>45776</v>
      </c>
    </row>
    <row r="105" spans="1:70" ht="18" customHeight="1" x14ac:dyDescent="0.3">
      <c r="A105" s="1">
        <v>105</v>
      </c>
      <c r="B105" s="1">
        <v>6875235</v>
      </c>
      <c r="C105" s="74">
        <v>45733</v>
      </c>
      <c r="D105" s="1">
        <v>116350</v>
      </c>
      <c r="E105" s="1" t="s">
        <v>678</v>
      </c>
      <c r="F105" s="8" t="s">
        <v>760</v>
      </c>
      <c r="G105" s="8" t="s">
        <v>761</v>
      </c>
      <c r="H105" s="8" t="s">
        <v>749</v>
      </c>
      <c r="I105" s="83">
        <v>49739</v>
      </c>
      <c r="J105" s="2" t="s">
        <v>142</v>
      </c>
      <c r="K105" s="1" t="s">
        <v>126</v>
      </c>
      <c r="L105" s="1" t="s">
        <v>854</v>
      </c>
      <c r="M105" s="77">
        <v>45761</v>
      </c>
      <c r="N105" s="70" t="s">
        <v>1036</v>
      </c>
      <c r="P105" s="1"/>
      <c r="Q105" s="67">
        <f t="shared" si="8"/>
        <v>3</v>
      </c>
      <c r="R105" s="29">
        <f t="shared" si="9"/>
        <v>21</v>
      </c>
      <c r="S105" s="1"/>
      <c r="T105" s="1" t="s">
        <v>1009</v>
      </c>
      <c r="U105" s="1" t="s">
        <v>750</v>
      </c>
      <c r="V105" s="1" t="s">
        <v>626</v>
      </c>
      <c r="W105" s="1" t="s">
        <v>627</v>
      </c>
      <c r="X105" s="1">
        <v>20255040622</v>
      </c>
      <c r="Y105" s="5">
        <v>45755</v>
      </c>
      <c r="Z105" s="5">
        <v>45762</v>
      </c>
      <c r="AA105" s="4">
        <v>45761</v>
      </c>
      <c r="AB105" s="4">
        <v>45761</v>
      </c>
      <c r="AC105" s="5">
        <v>45764</v>
      </c>
      <c r="AD105" s="1" t="s">
        <v>751</v>
      </c>
      <c r="AE105" s="1" t="s">
        <v>762</v>
      </c>
      <c r="AF105" s="1">
        <v>4</v>
      </c>
      <c r="AG105" s="1">
        <v>1004</v>
      </c>
      <c r="AH105" s="1"/>
      <c r="AI105" s="1" t="s">
        <v>180</v>
      </c>
      <c r="AJ105" s="1"/>
      <c r="AK105" s="3">
        <v>45761</v>
      </c>
      <c r="AL105" s="5">
        <v>45761</v>
      </c>
      <c r="AM105" s="5">
        <v>45761</v>
      </c>
      <c r="AN105" s="1"/>
      <c r="AO105" s="1">
        <v>9494813</v>
      </c>
      <c r="AP105" s="14">
        <v>45762</v>
      </c>
      <c r="AQ105" s="14">
        <v>45764</v>
      </c>
      <c r="AR105" s="1"/>
      <c r="AS105" s="5">
        <v>45780</v>
      </c>
      <c r="AT105" s="58">
        <v>49816</v>
      </c>
      <c r="AU105" s="1" t="s">
        <v>74</v>
      </c>
      <c r="AV105" s="5">
        <v>45780</v>
      </c>
      <c r="AW105" s="5">
        <v>45782</v>
      </c>
      <c r="AX105" s="1"/>
      <c r="AY105" s="2">
        <v>9881618</v>
      </c>
      <c r="AZ105" s="96">
        <v>45782</v>
      </c>
      <c r="BA105" s="1" t="s">
        <v>1000</v>
      </c>
      <c r="BB105" s="1" t="s">
        <v>1001</v>
      </c>
      <c r="BC105" s="5">
        <v>45782</v>
      </c>
      <c r="BD105" s="5">
        <v>45783</v>
      </c>
      <c r="BE105" s="1"/>
      <c r="BF105" s="14">
        <v>45784</v>
      </c>
      <c r="BG105" s="14">
        <v>45785</v>
      </c>
      <c r="BH105" s="2" t="s">
        <v>1037</v>
      </c>
      <c r="BI105" s="2" t="s">
        <v>273</v>
      </c>
      <c r="BJ105" s="1"/>
      <c r="BK105" s="1"/>
      <c r="BL105" s="1"/>
      <c r="BM105" s="1"/>
      <c r="BN105" s="1"/>
      <c r="BO105" s="1"/>
      <c r="BP105" s="1"/>
      <c r="BQ105" s="5">
        <v>45782</v>
      </c>
      <c r="BR105" s="1"/>
    </row>
    <row r="106" spans="1:70" ht="18" customHeight="1" x14ac:dyDescent="0.3">
      <c r="A106" s="2">
        <v>106</v>
      </c>
      <c r="B106" s="7" t="s">
        <v>881</v>
      </c>
      <c r="C106" s="76">
        <v>45763</v>
      </c>
      <c r="D106" s="8" t="s">
        <v>882</v>
      </c>
      <c r="E106" s="1" t="s">
        <v>840</v>
      </c>
      <c r="F106" s="8" t="s">
        <v>648</v>
      </c>
      <c r="G106" s="8" t="s">
        <v>646</v>
      </c>
      <c r="H106" s="8" t="s">
        <v>951</v>
      </c>
      <c r="I106" s="83">
        <v>49871</v>
      </c>
      <c r="J106" s="2" t="s">
        <v>142</v>
      </c>
      <c r="K106" s="1" t="s">
        <v>126</v>
      </c>
      <c r="L106" s="1" t="s">
        <v>854</v>
      </c>
      <c r="M106" s="78">
        <v>45770</v>
      </c>
      <c r="N106" s="70" t="s">
        <v>1042</v>
      </c>
      <c r="Q106" s="67">
        <f t="shared" si="8"/>
        <v>3</v>
      </c>
      <c r="R106" s="29">
        <f t="shared" si="9"/>
        <v>10</v>
      </c>
      <c r="T106" s="1" t="s">
        <v>1005</v>
      </c>
      <c r="U106" s="8" t="s">
        <v>867</v>
      </c>
      <c r="V106" s="2" t="s">
        <v>239</v>
      </c>
      <c r="W106" s="64" t="s">
        <v>454</v>
      </c>
      <c r="X106" s="2">
        <v>20255045839</v>
      </c>
      <c r="Y106" s="14">
        <v>45768</v>
      </c>
      <c r="Z106" s="14">
        <v>45773</v>
      </c>
      <c r="AA106" s="4">
        <v>45772</v>
      </c>
      <c r="AB106" s="4">
        <v>45772</v>
      </c>
      <c r="AC106" s="5">
        <v>45775</v>
      </c>
      <c r="AD106" s="2">
        <v>61841617553</v>
      </c>
      <c r="AE106" s="2" t="s">
        <v>868</v>
      </c>
      <c r="AF106" s="2">
        <v>2</v>
      </c>
      <c r="AG106" s="2">
        <v>352</v>
      </c>
      <c r="AH106" s="2"/>
      <c r="AI106" s="2" t="s">
        <v>180</v>
      </c>
      <c r="AJ106" s="2"/>
      <c r="AK106" s="4">
        <v>45769</v>
      </c>
      <c r="AL106" s="14">
        <v>45770</v>
      </c>
      <c r="AM106" s="4">
        <v>45770</v>
      </c>
      <c r="AN106" s="2"/>
      <c r="AO106" s="1">
        <v>9699002</v>
      </c>
      <c r="AP106" s="14">
        <v>45772</v>
      </c>
      <c r="AQ106" s="14">
        <v>45775</v>
      </c>
      <c r="AS106" s="5">
        <v>45777</v>
      </c>
      <c r="AT106" s="58">
        <v>49932</v>
      </c>
      <c r="AU106" s="1" t="s">
        <v>74</v>
      </c>
      <c r="AV106" s="14">
        <v>45777</v>
      </c>
      <c r="AW106" s="5">
        <v>45777</v>
      </c>
      <c r="AY106" s="2">
        <v>9821446</v>
      </c>
      <c r="AZ106" s="14">
        <v>45779</v>
      </c>
      <c r="BA106" s="15" t="s">
        <v>964</v>
      </c>
      <c r="BB106" s="2" t="s">
        <v>965</v>
      </c>
      <c r="BC106" s="14">
        <v>45779</v>
      </c>
      <c r="BD106" s="14">
        <v>45782</v>
      </c>
      <c r="BF106" s="14">
        <v>45784</v>
      </c>
      <c r="BG106" s="14">
        <v>45785</v>
      </c>
      <c r="BH106" s="2" t="s">
        <v>1040</v>
      </c>
      <c r="BI106" s="2" t="s">
        <v>273</v>
      </c>
      <c r="BM106" s="15" t="s">
        <v>1020</v>
      </c>
      <c r="BQ106" s="14">
        <v>45777</v>
      </c>
      <c r="BR106" s="5">
        <v>45777</v>
      </c>
    </row>
    <row r="107" spans="1:70" ht="18" customHeight="1" x14ac:dyDescent="0.3">
      <c r="A107" s="1">
        <v>107</v>
      </c>
      <c r="B107" s="1">
        <v>6875234</v>
      </c>
      <c r="C107" s="74">
        <v>45734</v>
      </c>
      <c r="D107" s="1">
        <v>174525</v>
      </c>
      <c r="E107" s="1" t="s">
        <v>678</v>
      </c>
      <c r="F107" s="8" t="s">
        <v>760</v>
      </c>
      <c r="G107" s="8" t="s">
        <v>761</v>
      </c>
      <c r="H107" s="8" t="s">
        <v>525</v>
      </c>
      <c r="I107" s="83">
        <v>49740</v>
      </c>
      <c r="J107" s="2" t="s">
        <v>142</v>
      </c>
      <c r="K107" s="1" t="s">
        <v>126</v>
      </c>
      <c r="L107" s="1" t="s">
        <v>854</v>
      </c>
      <c r="M107" s="77">
        <v>45771</v>
      </c>
      <c r="N107" s="70" t="s">
        <v>1034</v>
      </c>
      <c r="P107" s="1"/>
      <c r="Q107" s="67">
        <f t="shared" si="8"/>
        <v>4</v>
      </c>
      <c r="R107" s="29">
        <f t="shared" si="9"/>
        <v>9</v>
      </c>
      <c r="S107" s="1"/>
      <c r="T107" s="1">
        <v>1104</v>
      </c>
      <c r="U107" s="1" t="s">
        <v>750</v>
      </c>
      <c r="V107" s="1" t="s">
        <v>626</v>
      </c>
      <c r="W107" s="1" t="s">
        <v>627</v>
      </c>
      <c r="X107" s="1">
        <v>20255040625</v>
      </c>
      <c r="Y107" s="5">
        <v>45755</v>
      </c>
      <c r="Z107" s="5">
        <v>45761</v>
      </c>
      <c r="AA107" s="4">
        <v>45772</v>
      </c>
      <c r="AB107" s="4">
        <v>45772</v>
      </c>
      <c r="AC107" s="5">
        <v>45776</v>
      </c>
      <c r="AD107" s="1">
        <v>21703963794</v>
      </c>
      <c r="AE107" s="1" t="s">
        <v>774</v>
      </c>
      <c r="AF107" s="1">
        <v>5</v>
      </c>
      <c r="AG107" s="1">
        <v>1483</v>
      </c>
      <c r="AH107" s="1"/>
      <c r="AI107" s="1" t="s">
        <v>180</v>
      </c>
      <c r="AJ107" s="1"/>
      <c r="AK107" s="3">
        <v>45761</v>
      </c>
      <c r="AL107" s="5">
        <v>45761</v>
      </c>
      <c r="AM107" s="5">
        <v>45761</v>
      </c>
      <c r="AN107" s="1"/>
      <c r="AO107" s="1">
        <v>9728185</v>
      </c>
      <c r="AP107" s="14">
        <v>45773</v>
      </c>
      <c r="AQ107" s="14">
        <v>45776</v>
      </c>
      <c r="AR107" s="1"/>
      <c r="AS107" s="5">
        <v>45780</v>
      </c>
      <c r="AT107" s="58">
        <v>49960</v>
      </c>
      <c r="AU107" s="1" t="s">
        <v>74</v>
      </c>
      <c r="AV107" s="5">
        <v>45780</v>
      </c>
      <c r="AW107" s="5">
        <v>45782</v>
      </c>
      <c r="AX107" s="1"/>
      <c r="AY107" s="2">
        <v>9881620</v>
      </c>
      <c r="AZ107" s="14">
        <v>45782</v>
      </c>
      <c r="BA107" s="1" t="s">
        <v>1002</v>
      </c>
      <c r="BB107" s="1" t="s">
        <v>1003</v>
      </c>
      <c r="BC107" s="5">
        <v>45782</v>
      </c>
      <c r="BD107" s="5">
        <v>45783</v>
      </c>
      <c r="BE107" s="1"/>
      <c r="BF107" s="14">
        <v>45784</v>
      </c>
      <c r="BG107" s="14">
        <v>45785</v>
      </c>
      <c r="BH107" s="2" t="s">
        <v>1033</v>
      </c>
      <c r="BI107" s="2" t="s">
        <v>273</v>
      </c>
      <c r="BJ107" s="1"/>
      <c r="BK107" s="1"/>
      <c r="BL107" s="1"/>
      <c r="BM107" s="1"/>
      <c r="BN107" s="1"/>
      <c r="BO107" s="1"/>
      <c r="BP107" s="1"/>
      <c r="BQ107" s="5">
        <v>45782</v>
      </c>
      <c r="BR107" s="1"/>
    </row>
    <row r="108" spans="1:70" ht="18" customHeight="1" x14ac:dyDescent="0.3">
      <c r="A108" s="2">
        <v>108</v>
      </c>
      <c r="B108" s="2">
        <v>6901079</v>
      </c>
      <c r="C108" s="76">
        <v>45768</v>
      </c>
      <c r="D108" s="2">
        <v>117670</v>
      </c>
      <c r="E108" s="2" t="s">
        <v>840</v>
      </c>
      <c r="F108" s="8" t="s">
        <v>648</v>
      </c>
      <c r="G108" s="8" t="s">
        <v>646</v>
      </c>
      <c r="H108" s="8" t="s">
        <v>651</v>
      </c>
      <c r="I108" s="83">
        <v>49940</v>
      </c>
      <c r="J108" s="2" t="s">
        <v>142</v>
      </c>
      <c r="K108" s="1" t="s">
        <v>126</v>
      </c>
      <c r="L108" s="1" t="s">
        <v>854</v>
      </c>
      <c r="M108" s="78">
        <v>45778</v>
      </c>
      <c r="N108" s="56" t="s">
        <v>1039</v>
      </c>
      <c r="Q108" s="67">
        <f t="shared" si="8"/>
        <v>2</v>
      </c>
      <c r="R108" s="29">
        <f t="shared" si="9"/>
        <v>5</v>
      </c>
      <c r="T108" s="1"/>
      <c r="U108" s="1" t="s">
        <v>952</v>
      </c>
      <c r="V108" s="2" t="s">
        <v>384</v>
      </c>
      <c r="W108" s="64" t="s">
        <v>421</v>
      </c>
      <c r="X108" s="2">
        <v>20255047592</v>
      </c>
      <c r="Y108" s="14">
        <v>45771</v>
      </c>
      <c r="Z108" s="14">
        <v>45777</v>
      </c>
      <c r="AA108" s="4">
        <v>45778</v>
      </c>
      <c r="AB108" s="4">
        <v>45778</v>
      </c>
      <c r="AC108" s="14">
        <v>45780</v>
      </c>
      <c r="AD108" s="2">
        <v>17605525343</v>
      </c>
      <c r="AE108" s="2" t="s">
        <v>953</v>
      </c>
      <c r="AF108" s="2">
        <v>2</v>
      </c>
      <c r="AG108" s="2">
        <v>406</v>
      </c>
      <c r="AH108" s="2"/>
      <c r="AI108" s="2" t="s">
        <v>180</v>
      </c>
      <c r="AJ108" s="2"/>
      <c r="AK108" s="4">
        <v>45777</v>
      </c>
      <c r="AL108" s="14">
        <v>45777</v>
      </c>
      <c r="AM108" s="4">
        <v>45777</v>
      </c>
      <c r="AN108" s="2"/>
      <c r="AO108" s="2">
        <v>9822914</v>
      </c>
      <c r="AP108" s="14">
        <v>45779</v>
      </c>
      <c r="AQ108" s="14">
        <v>45780</v>
      </c>
      <c r="AS108" s="5">
        <v>45782</v>
      </c>
      <c r="AT108" s="58">
        <v>49966</v>
      </c>
      <c r="AU108" s="1" t="s">
        <v>74</v>
      </c>
      <c r="AV108" s="14">
        <v>45782</v>
      </c>
      <c r="AW108" s="5">
        <v>45782</v>
      </c>
      <c r="AY108" s="2">
        <v>9891032</v>
      </c>
      <c r="AZ108" s="14">
        <v>45783</v>
      </c>
      <c r="BA108" t="s">
        <v>1006</v>
      </c>
      <c r="BB108" s="88" t="s">
        <v>1007</v>
      </c>
      <c r="BC108" s="14">
        <v>45783</v>
      </c>
      <c r="BD108" s="5">
        <v>45783</v>
      </c>
      <c r="BF108" s="14">
        <v>45784</v>
      </c>
      <c r="BG108" s="14">
        <v>45785</v>
      </c>
      <c r="BH108" s="2" t="s">
        <v>1038</v>
      </c>
      <c r="BI108" s="2" t="s">
        <v>282</v>
      </c>
      <c r="BQ108" s="14">
        <v>45782</v>
      </c>
      <c r="BR108" s="5">
        <v>45782</v>
      </c>
    </row>
    <row r="109" spans="1:70" ht="18" customHeight="1" x14ac:dyDescent="0.3">
      <c r="A109" s="2">
        <v>109</v>
      </c>
      <c r="B109" s="1">
        <v>6729324</v>
      </c>
      <c r="C109" s="74">
        <v>45645</v>
      </c>
      <c r="D109" s="1">
        <v>159075</v>
      </c>
      <c r="E109" s="1" t="s">
        <v>678</v>
      </c>
      <c r="F109" s="8" t="s">
        <v>642</v>
      </c>
      <c r="G109" s="8" t="s">
        <v>652</v>
      </c>
      <c r="H109" s="8" t="s">
        <v>525</v>
      </c>
      <c r="I109" s="83">
        <v>49741</v>
      </c>
      <c r="J109" s="2" t="s">
        <v>142</v>
      </c>
      <c r="K109" s="1" t="s">
        <v>126</v>
      </c>
      <c r="L109" s="1" t="s">
        <v>854</v>
      </c>
      <c r="M109" s="77">
        <v>45771</v>
      </c>
      <c r="N109" s="94" t="s">
        <v>1053</v>
      </c>
      <c r="P109" s="1"/>
      <c r="Q109" s="67">
        <f t="shared" si="8"/>
        <v>3</v>
      </c>
      <c r="R109" s="29">
        <f t="shared" si="9"/>
        <v>12</v>
      </c>
      <c r="S109" s="1"/>
      <c r="T109" s="1"/>
      <c r="U109" s="8" t="s">
        <v>644</v>
      </c>
      <c r="V109" s="1" t="s">
        <v>645</v>
      </c>
      <c r="W109" s="79" t="s">
        <v>426</v>
      </c>
      <c r="X109" s="1">
        <v>20255040720</v>
      </c>
      <c r="Y109" s="5">
        <v>45755</v>
      </c>
      <c r="Z109" s="5">
        <v>45761</v>
      </c>
      <c r="AA109" s="4">
        <v>45772</v>
      </c>
      <c r="AB109" s="4">
        <v>45772</v>
      </c>
      <c r="AC109" s="5">
        <v>45775</v>
      </c>
      <c r="AD109" s="1">
        <v>21703963794</v>
      </c>
      <c r="AE109" s="1" t="s">
        <v>716</v>
      </c>
      <c r="AF109" s="1">
        <v>5</v>
      </c>
      <c r="AG109" s="1">
        <v>1475</v>
      </c>
      <c r="AH109" s="1"/>
      <c r="AI109" s="1" t="s">
        <v>180</v>
      </c>
      <c r="AJ109" s="1"/>
      <c r="AK109" s="3">
        <v>45759</v>
      </c>
      <c r="AL109" s="5">
        <v>45761</v>
      </c>
      <c r="AM109" s="5">
        <v>45761</v>
      </c>
      <c r="AN109" s="1"/>
      <c r="AO109" s="1">
        <v>9715586</v>
      </c>
      <c r="AP109" s="14">
        <v>45773</v>
      </c>
      <c r="AQ109" s="14">
        <v>45775</v>
      </c>
      <c r="AR109" s="1"/>
      <c r="AS109" s="5">
        <v>45776</v>
      </c>
      <c r="AT109" s="58">
        <v>49927</v>
      </c>
      <c r="AU109" s="1" t="s">
        <v>74</v>
      </c>
      <c r="AV109" s="5">
        <v>45776</v>
      </c>
      <c r="AW109" s="5">
        <v>45776</v>
      </c>
      <c r="AX109" s="1"/>
      <c r="AY109" s="2">
        <v>9930499</v>
      </c>
      <c r="AZ109" s="14">
        <v>45785</v>
      </c>
      <c r="BA109" s="1">
        <v>13608866</v>
      </c>
      <c r="BB109" s="1">
        <v>2449596</v>
      </c>
      <c r="BC109" s="5">
        <v>45785</v>
      </c>
      <c r="BD109" s="5">
        <v>45785</v>
      </c>
      <c r="BE109" s="1"/>
      <c r="BF109" s="14">
        <v>45786</v>
      </c>
      <c r="BG109" s="14">
        <v>45787</v>
      </c>
      <c r="BH109" s="2" t="s">
        <v>972</v>
      </c>
      <c r="BI109" s="2" t="s">
        <v>273</v>
      </c>
      <c r="BJ109" s="1"/>
      <c r="BK109" s="1"/>
      <c r="BL109" s="1"/>
      <c r="BM109" s="1" t="s">
        <v>1043</v>
      </c>
      <c r="BN109" s="1"/>
      <c r="BO109" s="1"/>
      <c r="BP109" s="1"/>
      <c r="BQ109" s="5">
        <v>45776</v>
      </c>
      <c r="BR109" s="5">
        <v>45779</v>
      </c>
    </row>
    <row r="110" spans="1:70" ht="18" customHeight="1" x14ac:dyDescent="0.3">
      <c r="A110" s="2">
        <v>110</v>
      </c>
      <c r="B110" s="2">
        <v>250417070</v>
      </c>
      <c r="C110" s="74">
        <v>45776</v>
      </c>
      <c r="D110" s="2">
        <v>844268.1</v>
      </c>
      <c r="E110" s="2" t="s">
        <v>677</v>
      </c>
      <c r="F110" s="2" t="s">
        <v>136</v>
      </c>
      <c r="G110" s="2" t="s">
        <v>946</v>
      </c>
      <c r="H110" s="2">
        <v>26</v>
      </c>
      <c r="I110" s="83">
        <v>49939</v>
      </c>
      <c r="J110" s="2" t="s">
        <v>142</v>
      </c>
      <c r="K110" s="1" t="s">
        <v>126</v>
      </c>
      <c r="L110" s="1" t="s">
        <v>854</v>
      </c>
      <c r="M110" s="78">
        <v>45778</v>
      </c>
      <c r="N110" s="56" t="s">
        <v>1055</v>
      </c>
      <c r="Q110" s="67">
        <f t="shared" si="8"/>
        <v>3</v>
      </c>
      <c r="R110" s="29">
        <f t="shared" si="9"/>
        <v>7</v>
      </c>
      <c r="T110" s="1"/>
      <c r="U110" s="1" t="s">
        <v>1010</v>
      </c>
      <c r="V110" s="2" t="s">
        <v>947</v>
      </c>
      <c r="W110" s="64" t="s">
        <v>948</v>
      </c>
      <c r="X110" s="2" t="s">
        <v>979</v>
      </c>
      <c r="Y110" s="14">
        <v>45777</v>
      </c>
      <c r="Z110" s="14">
        <v>45782</v>
      </c>
      <c r="AA110" s="4">
        <v>45777</v>
      </c>
      <c r="AB110" s="4">
        <v>45777</v>
      </c>
      <c r="AC110" s="14">
        <v>45780</v>
      </c>
      <c r="AD110" s="50" t="s">
        <v>949</v>
      </c>
      <c r="AE110" s="2">
        <v>4840707801</v>
      </c>
      <c r="AF110" s="2">
        <v>1</v>
      </c>
      <c r="AG110" s="2">
        <v>171</v>
      </c>
      <c r="AH110" s="2"/>
      <c r="AI110" s="2" t="s">
        <v>179</v>
      </c>
      <c r="AJ110" s="2"/>
      <c r="AK110" s="4">
        <v>45777</v>
      </c>
      <c r="AL110" s="14">
        <v>45777</v>
      </c>
      <c r="AM110" s="4">
        <v>45777</v>
      </c>
      <c r="AN110" s="2"/>
      <c r="AO110" s="2">
        <v>9822938</v>
      </c>
      <c r="AP110" s="14">
        <v>45779</v>
      </c>
      <c r="AQ110" s="14">
        <v>45780</v>
      </c>
      <c r="AS110" s="5">
        <v>45782</v>
      </c>
      <c r="AT110" s="58">
        <v>49967</v>
      </c>
      <c r="AU110" s="1" t="s">
        <v>74</v>
      </c>
      <c r="AV110" s="14">
        <v>45782</v>
      </c>
      <c r="AW110" s="5">
        <v>45782</v>
      </c>
      <c r="AY110" s="2">
        <v>9930500</v>
      </c>
      <c r="AZ110" s="14">
        <v>45785</v>
      </c>
      <c r="BA110" s="1">
        <v>72227136</v>
      </c>
      <c r="BB110" s="2">
        <v>13000885</v>
      </c>
      <c r="BC110" s="14">
        <v>45785</v>
      </c>
      <c r="BD110" s="5">
        <v>45785</v>
      </c>
      <c r="BF110" s="14">
        <v>45786</v>
      </c>
      <c r="BG110" s="14">
        <v>45787</v>
      </c>
      <c r="BH110" s="2" t="s">
        <v>1054</v>
      </c>
      <c r="BI110" s="2" t="s">
        <v>273</v>
      </c>
      <c r="BM110" s="8"/>
      <c r="BQ110" s="14">
        <v>45782</v>
      </c>
      <c r="BR110" s="5">
        <v>45784</v>
      </c>
    </row>
    <row r="111" spans="1:70" ht="18" customHeight="1" x14ac:dyDescent="0.3">
      <c r="A111" s="2">
        <v>111</v>
      </c>
      <c r="B111" s="8" t="s">
        <v>561</v>
      </c>
      <c r="C111" s="75" t="s">
        <v>562</v>
      </c>
      <c r="D111" s="8" t="s">
        <v>563</v>
      </c>
      <c r="E111" s="1" t="s">
        <v>678</v>
      </c>
      <c r="F111" s="8" t="s">
        <v>222</v>
      </c>
      <c r="G111" s="8" t="s">
        <v>560</v>
      </c>
      <c r="H111" s="8" t="s">
        <v>564</v>
      </c>
      <c r="I111" s="83">
        <v>49630</v>
      </c>
      <c r="J111" s="2" t="s">
        <v>142</v>
      </c>
      <c r="K111" s="1" t="s">
        <v>126</v>
      </c>
      <c r="L111" s="1" t="s">
        <v>854</v>
      </c>
      <c r="M111" s="77">
        <v>45753</v>
      </c>
      <c r="N111" s="66" t="s">
        <v>1069</v>
      </c>
      <c r="O111" s="1">
        <v>968</v>
      </c>
      <c r="P111" s="1"/>
      <c r="Q111" s="67">
        <f t="shared" si="8"/>
        <v>3</v>
      </c>
      <c r="R111" s="29">
        <f t="shared" si="9"/>
        <v>35</v>
      </c>
      <c r="S111" s="1"/>
      <c r="T111" s="1" t="s">
        <v>1052</v>
      </c>
      <c r="U111" s="8" t="s">
        <v>565</v>
      </c>
      <c r="V111" s="1" t="s">
        <v>161</v>
      </c>
      <c r="W111" s="1" t="s">
        <v>454</v>
      </c>
      <c r="X111" s="1">
        <v>20255039824</v>
      </c>
      <c r="Y111" s="5">
        <v>45754</v>
      </c>
      <c r="Z111" s="5">
        <v>45757</v>
      </c>
      <c r="AA111" s="4">
        <v>45753</v>
      </c>
      <c r="AB111" s="4">
        <v>45753</v>
      </c>
      <c r="AC111" s="3">
        <v>45756</v>
      </c>
      <c r="AD111" s="1">
        <v>23210555160</v>
      </c>
      <c r="AE111" s="1" t="s">
        <v>566</v>
      </c>
      <c r="AF111" s="1">
        <v>4</v>
      </c>
      <c r="AG111" s="1">
        <v>687</v>
      </c>
      <c r="AH111" s="1"/>
      <c r="AI111" s="1" t="s">
        <v>181</v>
      </c>
      <c r="AJ111" s="1"/>
      <c r="AK111" s="3">
        <v>45753</v>
      </c>
      <c r="AL111" s="5">
        <v>45754</v>
      </c>
      <c r="AM111" s="3">
        <v>45754</v>
      </c>
      <c r="AN111" s="1"/>
      <c r="AO111" s="1">
        <v>9353870</v>
      </c>
      <c r="AP111" s="14">
        <v>45754</v>
      </c>
      <c r="AQ111" s="14">
        <v>45756</v>
      </c>
      <c r="AR111" s="1"/>
      <c r="AS111" s="5">
        <v>45770</v>
      </c>
      <c r="AT111" s="58">
        <v>49723</v>
      </c>
      <c r="AU111" s="1" t="s">
        <v>74</v>
      </c>
      <c r="AV111" s="5">
        <v>45770</v>
      </c>
      <c r="AW111" s="5">
        <v>45770</v>
      </c>
      <c r="AX111" s="1"/>
      <c r="AY111" s="2">
        <v>9911987</v>
      </c>
      <c r="AZ111" s="14">
        <v>45784</v>
      </c>
      <c r="BA111" s="1">
        <v>6169353</v>
      </c>
      <c r="BB111" s="1">
        <v>1110484</v>
      </c>
      <c r="BC111" s="5">
        <v>45784</v>
      </c>
      <c r="BD111" s="5">
        <v>45725</v>
      </c>
      <c r="BE111" s="1"/>
      <c r="BF111" s="14">
        <v>45790</v>
      </c>
      <c r="BG111" s="14">
        <v>45791</v>
      </c>
      <c r="BH111" s="2" t="s">
        <v>1068</v>
      </c>
      <c r="BI111" s="2" t="s">
        <v>273</v>
      </c>
      <c r="BJ111" s="1"/>
      <c r="BK111" s="1"/>
      <c r="BL111" s="1"/>
      <c r="BM111" s="8" t="s">
        <v>916</v>
      </c>
      <c r="BN111" s="1"/>
      <c r="BO111" s="1"/>
      <c r="BP111" s="1"/>
      <c r="BQ111" s="5">
        <v>45770</v>
      </c>
      <c r="BR111" s="5">
        <v>45783</v>
      </c>
    </row>
    <row r="112" spans="1:70" s="1" customFormat="1" ht="18" customHeight="1" x14ac:dyDescent="0.3">
      <c r="A112" s="2">
        <v>112</v>
      </c>
      <c r="B112" s="2">
        <v>6874249</v>
      </c>
      <c r="C112" s="74">
        <v>45733</v>
      </c>
      <c r="D112" s="2">
        <v>104715</v>
      </c>
      <c r="E112" s="2" t="s">
        <v>840</v>
      </c>
      <c r="F112" s="8" t="s">
        <v>760</v>
      </c>
      <c r="G112" s="8" t="s">
        <v>982</v>
      </c>
      <c r="H112" s="8" t="s">
        <v>653</v>
      </c>
      <c r="I112" s="83">
        <v>49968</v>
      </c>
      <c r="J112" s="2" t="s">
        <v>142</v>
      </c>
      <c r="K112" s="1" t="s">
        <v>126</v>
      </c>
      <c r="L112" s="1" t="s">
        <v>854</v>
      </c>
      <c r="M112" s="78">
        <v>45782</v>
      </c>
      <c r="N112" s="56" t="s">
        <v>1080</v>
      </c>
      <c r="Q112" s="67">
        <f t="shared" si="8"/>
        <v>3</v>
      </c>
      <c r="R112" s="29">
        <f t="shared" si="9"/>
        <v>7</v>
      </c>
      <c r="T112" s="1" t="s">
        <v>1063</v>
      </c>
      <c r="U112" s="1" t="s">
        <v>983</v>
      </c>
      <c r="V112" s="1" t="s">
        <v>645</v>
      </c>
      <c r="W112" s="79" t="s">
        <v>426</v>
      </c>
      <c r="X112" s="2" t="s">
        <v>984</v>
      </c>
      <c r="Y112" s="14">
        <v>45779</v>
      </c>
      <c r="Z112" s="14">
        <v>45785</v>
      </c>
      <c r="AA112" s="4">
        <v>45782</v>
      </c>
      <c r="AB112" s="4">
        <v>45782</v>
      </c>
      <c r="AC112" s="14">
        <v>45785</v>
      </c>
      <c r="AD112" s="2">
        <v>60785388995</v>
      </c>
      <c r="AE112" s="2" t="s">
        <v>985</v>
      </c>
      <c r="AF112" s="2">
        <v>3</v>
      </c>
      <c r="AG112" s="2">
        <v>900</v>
      </c>
      <c r="AH112" s="2"/>
      <c r="AI112" s="2" t="s">
        <v>611</v>
      </c>
      <c r="AJ112" s="2"/>
      <c r="AK112" s="4">
        <v>45781</v>
      </c>
      <c r="AL112" s="14">
        <v>45782</v>
      </c>
      <c r="AM112" s="4">
        <v>45782</v>
      </c>
      <c r="AN112" s="2"/>
      <c r="AO112" s="2">
        <v>9901828</v>
      </c>
      <c r="AP112" s="14">
        <v>45783</v>
      </c>
      <c r="AQ112" s="14">
        <v>45785</v>
      </c>
      <c r="AS112" s="5">
        <v>45789</v>
      </c>
      <c r="AT112" s="58">
        <v>49994</v>
      </c>
      <c r="AU112" s="1" t="s">
        <v>74</v>
      </c>
      <c r="AV112" s="14">
        <v>45789</v>
      </c>
      <c r="AW112" s="5">
        <v>45790</v>
      </c>
      <c r="AY112" s="2">
        <v>2020398</v>
      </c>
      <c r="AZ112" s="14">
        <v>45790</v>
      </c>
      <c r="BA112" s="1">
        <v>8958368</v>
      </c>
      <c r="BB112" s="2">
        <v>1612506</v>
      </c>
      <c r="BC112" s="14">
        <v>45790</v>
      </c>
      <c r="BD112" s="5">
        <v>45791</v>
      </c>
      <c r="BF112" s="14">
        <v>45791</v>
      </c>
      <c r="BG112" s="14">
        <v>45792</v>
      </c>
      <c r="BH112" s="2" t="s">
        <v>1079</v>
      </c>
      <c r="BI112" s="2" t="s">
        <v>273</v>
      </c>
      <c r="BQ112" s="14">
        <v>45790</v>
      </c>
      <c r="BR112" s="5">
        <v>45790</v>
      </c>
    </row>
    <row r="113" spans="1:70" ht="18" customHeight="1" x14ac:dyDescent="0.3">
      <c r="A113" s="2">
        <v>113</v>
      </c>
      <c r="B113" s="8" t="s">
        <v>547</v>
      </c>
      <c r="C113" s="75" t="s">
        <v>548</v>
      </c>
      <c r="D113" s="8" t="s">
        <v>549</v>
      </c>
      <c r="E113" s="1" t="s">
        <v>678</v>
      </c>
      <c r="F113" s="8" t="s">
        <v>550</v>
      </c>
      <c r="G113" s="8" t="s">
        <v>551</v>
      </c>
      <c r="H113" s="8" t="s">
        <v>546</v>
      </c>
      <c r="I113" s="83">
        <v>49628</v>
      </c>
      <c r="J113" s="2" t="s">
        <v>142</v>
      </c>
      <c r="K113" s="1" t="s">
        <v>126</v>
      </c>
      <c r="L113" s="1" t="s">
        <v>854</v>
      </c>
      <c r="M113" s="77">
        <v>45753</v>
      </c>
      <c r="N113" s="70" t="s">
        <v>1083</v>
      </c>
      <c r="O113" s="1">
        <v>299</v>
      </c>
      <c r="P113" s="1"/>
      <c r="Q113" s="67">
        <f t="shared" si="8"/>
        <v>3</v>
      </c>
      <c r="R113" s="29">
        <f t="shared" si="9"/>
        <v>37</v>
      </c>
      <c r="S113" s="1"/>
      <c r="T113" s="1">
        <v>3243</v>
      </c>
      <c r="U113" s="8" t="s">
        <v>1004</v>
      </c>
      <c r="V113" s="1" t="s">
        <v>204</v>
      </c>
      <c r="W113" s="1" t="s">
        <v>203</v>
      </c>
      <c r="X113" s="1">
        <v>20255039816</v>
      </c>
      <c r="Y113" s="5">
        <v>45754</v>
      </c>
      <c r="Z113" s="5">
        <v>45757</v>
      </c>
      <c r="AA113" s="4">
        <v>45753</v>
      </c>
      <c r="AB113" s="4">
        <v>45753</v>
      </c>
      <c r="AC113" s="3">
        <v>45756</v>
      </c>
      <c r="AD113" s="1">
        <v>23210555160</v>
      </c>
      <c r="AE113" s="1" t="s">
        <v>545</v>
      </c>
      <c r="AF113" s="1">
        <v>4</v>
      </c>
      <c r="AG113" s="1">
        <v>265</v>
      </c>
      <c r="AH113" s="1"/>
      <c r="AI113" s="1" t="s">
        <v>181</v>
      </c>
      <c r="AJ113" s="1"/>
      <c r="AK113" s="3">
        <v>45753</v>
      </c>
      <c r="AL113" s="5">
        <v>45754</v>
      </c>
      <c r="AM113" s="3">
        <v>45754</v>
      </c>
      <c r="AN113" s="1"/>
      <c r="AO113" s="1">
        <v>9353842</v>
      </c>
      <c r="AP113" s="14">
        <v>45754</v>
      </c>
      <c r="AQ113" s="14">
        <v>45756</v>
      </c>
      <c r="AR113" s="1"/>
      <c r="AS113" s="5">
        <v>45763</v>
      </c>
      <c r="AT113" s="58">
        <v>49722</v>
      </c>
      <c r="AU113" s="1" t="s">
        <v>74</v>
      </c>
      <c r="AV113" s="5">
        <v>45763</v>
      </c>
      <c r="AW113" s="5">
        <v>45766</v>
      </c>
      <c r="AX113" s="1"/>
      <c r="AY113" s="2">
        <v>9703292</v>
      </c>
      <c r="AZ113" s="96">
        <v>45772</v>
      </c>
      <c r="BA113" s="1" t="s">
        <v>907</v>
      </c>
      <c r="BB113" s="1" t="s">
        <v>908</v>
      </c>
      <c r="BC113" s="5">
        <v>45772</v>
      </c>
      <c r="BD113" s="5">
        <v>45791</v>
      </c>
      <c r="BE113" s="1"/>
      <c r="BF113" s="14">
        <v>45791</v>
      </c>
      <c r="BG113" s="14">
        <v>45793</v>
      </c>
      <c r="BH113" s="2" t="s">
        <v>1082</v>
      </c>
      <c r="BI113" s="2" t="s">
        <v>273</v>
      </c>
      <c r="BJ113" s="1"/>
      <c r="BK113" s="1"/>
      <c r="BL113" s="1"/>
      <c r="BM113" s="8" t="s">
        <v>905</v>
      </c>
      <c r="BN113" s="1"/>
      <c r="BO113" s="1"/>
      <c r="BP113" s="1"/>
      <c r="BQ113" s="5">
        <v>45766</v>
      </c>
      <c r="BR113" s="5">
        <v>45772</v>
      </c>
    </row>
    <row r="114" spans="1:70" ht="18" customHeight="1" x14ac:dyDescent="0.3">
      <c r="A114" s="2">
        <v>114</v>
      </c>
      <c r="B114" s="2">
        <v>250412491</v>
      </c>
      <c r="C114" s="111">
        <v>45776</v>
      </c>
      <c r="D114" s="2">
        <v>54518.58</v>
      </c>
      <c r="E114" s="2" t="s">
        <v>677</v>
      </c>
      <c r="F114" s="2" t="s">
        <v>135</v>
      </c>
      <c r="G114" s="2" t="s">
        <v>417</v>
      </c>
      <c r="H114" s="1">
        <v>3</v>
      </c>
      <c r="I114" s="83">
        <v>49941</v>
      </c>
      <c r="J114" s="2" t="s">
        <v>142</v>
      </c>
      <c r="K114" s="15" t="s">
        <v>126</v>
      </c>
      <c r="L114" s="1" t="s">
        <v>854</v>
      </c>
      <c r="M114" s="78">
        <v>45778</v>
      </c>
      <c r="N114" s="56" t="s">
        <v>1181</v>
      </c>
      <c r="Q114" s="67">
        <f t="shared" si="8"/>
        <v>2</v>
      </c>
      <c r="R114" s="29">
        <f t="shared" si="9"/>
        <v>21</v>
      </c>
      <c r="T114" s="1"/>
      <c r="U114" s="1" t="s">
        <v>954</v>
      </c>
      <c r="V114" s="81" t="s">
        <v>755</v>
      </c>
      <c r="W114" s="1" t="s">
        <v>827</v>
      </c>
      <c r="X114" s="2" t="s">
        <v>955</v>
      </c>
      <c r="Y114" s="14">
        <v>45776</v>
      </c>
      <c r="Z114" s="14">
        <v>45779</v>
      </c>
      <c r="AA114" s="4">
        <v>45778</v>
      </c>
      <c r="AB114" s="4">
        <v>45778</v>
      </c>
      <c r="AC114" s="14">
        <v>45780</v>
      </c>
      <c r="AD114" s="2">
        <v>60738460553</v>
      </c>
      <c r="AE114" s="2">
        <v>4840707717</v>
      </c>
      <c r="AF114" s="2">
        <v>3</v>
      </c>
      <c r="AG114" s="2">
        <v>16</v>
      </c>
      <c r="AH114" s="2"/>
      <c r="AI114" s="2" t="s">
        <v>179</v>
      </c>
      <c r="AJ114" s="2"/>
      <c r="AK114" s="4">
        <v>45777</v>
      </c>
      <c r="AL114" s="14">
        <v>45777</v>
      </c>
      <c r="AM114" s="4">
        <v>45777</v>
      </c>
      <c r="AN114" s="2"/>
      <c r="AO114" s="2">
        <v>9822937</v>
      </c>
      <c r="AP114" s="14">
        <v>45779</v>
      </c>
      <c r="AQ114" s="14">
        <v>45780</v>
      </c>
      <c r="AS114" s="14">
        <v>45782</v>
      </c>
      <c r="AT114" s="44">
        <v>49969</v>
      </c>
      <c r="AU114" s="1" t="s">
        <v>74</v>
      </c>
      <c r="AV114" s="14">
        <v>45782</v>
      </c>
      <c r="AW114" s="14">
        <v>45782</v>
      </c>
      <c r="AY114" s="2">
        <v>9910606</v>
      </c>
      <c r="AZ114" s="14">
        <v>45784</v>
      </c>
      <c r="BA114" s="1">
        <v>4664065</v>
      </c>
      <c r="BB114" s="2">
        <v>839532</v>
      </c>
      <c r="BC114" s="14">
        <v>45784</v>
      </c>
      <c r="BD114" s="5">
        <v>45784</v>
      </c>
      <c r="BF114" s="14">
        <v>45786</v>
      </c>
      <c r="BG114" s="14">
        <v>45801</v>
      </c>
      <c r="BH114" s="2" t="s">
        <v>1180</v>
      </c>
      <c r="BI114" s="2" t="s">
        <v>273</v>
      </c>
      <c r="BQ114" s="14">
        <v>45782</v>
      </c>
      <c r="BR114" s="5">
        <v>45783</v>
      </c>
    </row>
    <row r="115" spans="1:70" ht="18" customHeight="1" x14ac:dyDescent="0.3">
      <c r="A115" s="2">
        <v>115</v>
      </c>
      <c r="B115" s="2" t="s">
        <v>1064</v>
      </c>
      <c r="C115" s="111">
        <v>45783</v>
      </c>
      <c r="D115" s="45">
        <v>96460</v>
      </c>
      <c r="E115" s="2" t="s">
        <v>677</v>
      </c>
      <c r="F115" s="2" t="s">
        <v>345</v>
      </c>
      <c r="G115" s="2" t="s">
        <v>346</v>
      </c>
      <c r="H115" s="1">
        <v>212</v>
      </c>
      <c r="I115" s="83">
        <v>50049</v>
      </c>
      <c r="J115" s="2" t="s">
        <v>142</v>
      </c>
      <c r="K115" s="15" t="s">
        <v>126</v>
      </c>
      <c r="L115" s="1" t="s">
        <v>854</v>
      </c>
      <c r="M115" s="78">
        <v>45792</v>
      </c>
      <c r="N115" s="56" t="s">
        <v>1185</v>
      </c>
      <c r="Q115" s="67">
        <f t="shared" si="8"/>
        <v>1</v>
      </c>
      <c r="R115" s="29">
        <f t="shared" si="9"/>
        <v>8</v>
      </c>
      <c r="T115" s="1"/>
      <c r="U115" s="1" t="s">
        <v>835</v>
      </c>
      <c r="V115" s="2" t="s">
        <v>755</v>
      </c>
      <c r="W115" s="1" t="s">
        <v>827</v>
      </c>
      <c r="X115" s="2" t="s">
        <v>1081</v>
      </c>
      <c r="Y115" s="14">
        <v>45792</v>
      </c>
      <c r="Z115" s="14">
        <v>45800</v>
      </c>
      <c r="AA115" s="4">
        <v>45792</v>
      </c>
      <c r="AB115" s="4">
        <v>45792</v>
      </c>
      <c r="AC115" s="14">
        <v>45793</v>
      </c>
      <c r="AD115" s="2" t="s">
        <v>1065</v>
      </c>
      <c r="AE115" s="2">
        <v>412656150</v>
      </c>
      <c r="AF115" s="2">
        <v>2</v>
      </c>
      <c r="AG115" s="2">
        <v>29</v>
      </c>
      <c r="AH115" s="2"/>
      <c r="AI115" s="2" t="s">
        <v>179</v>
      </c>
      <c r="AJ115" s="2"/>
      <c r="AK115" s="4">
        <v>45791</v>
      </c>
      <c r="AL115" s="14">
        <v>45791</v>
      </c>
      <c r="AM115" s="4">
        <v>45791</v>
      </c>
      <c r="AN115" s="2"/>
      <c r="AO115" s="2">
        <v>2061423</v>
      </c>
      <c r="AP115" s="14" t="s">
        <v>1078</v>
      </c>
      <c r="AQ115" s="14">
        <v>45793</v>
      </c>
      <c r="AS115" s="14">
        <v>45794</v>
      </c>
      <c r="AT115" s="44">
        <v>50090</v>
      </c>
      <c r="AU115" s="1" t="s">
        <v>74</v>
      </c>
      <c r="AV115" s="14">
        <v>45794</v>
      </c>
      <c r="AW115" s="14">
        <v>45795</v>
      </c>
      <c r="AY115" s="2">
        <v>2180959</v>
      </c>
      <c r="AZ115" s="14">
        <v>45798</v>
      </c>
      <c r="BA115" s="1">
        <v>8334144</v>
      </c>
      <c r="BB115" s="2">
        <v>1500146</v>
      </c>
      <c r="BC115" s="14">
        <v>45798</v>
      </c>
      <c r="BD115" s="14">
        <v>45798</v>
      </c>
      <c r="BF115" s="14">
        <v>45800</v>
      </c>
      <c r="BG115" s="14">
        <v>45801</v>
      </c>
      <c r="BH115" s="2" t="s">
        <v>1180</v>
      </c>
      <c r="BI115" s="2" t="s">
        <v>273</v>
      </c>
      <c r="BQ115" s="14">
        <v>45795</v>
      </c>
      <c r="BR115" s="5">
        <v>45797</v>
      </c>
    </row>
    <row r="116" spans="1:70" ht="18" customHeight="1" x14ac:dyDescent="0.3">
      <c r="A116" s="2">
        <v>116</v>
      </c>
      <c r="B116" s="2" t="s">
        <v>1066</v>
      </c>
      <c r="C116" s="111">
        <v>45783</v>
      </c>
      <c r="D116" s="45">
        <v>8190</v>
      </c>
      <c r="E116" s="2" t="s">
        <v>677</v>
      </c>
      <c r="F116" s="2" t="s">
        <v>345</v>
      </c>
      <c r="G116" s="2" t="s">
        <v>346</v>
      </c>
      <c r="H116" s="1">
        <v>18</v>
      </c>
      <c r="I116" s="83">
        <v>50054</v>
      </c>
      <c r="J116" s="2" t="s">
        <v>142</v>
      </c>
      <c r="K116" s="2" t="s">
        <v>126</v>
      </c>
      <c r="L116" s="2" t="s">
        <v>854</v>
      </c>
      <c r="M116" s="78">
        <v>45792</v>
      </c>
      <c r="N116" s="56" t="s">
        <v>1206</v>
      </c>
      <c r="Q116" s="67">
        <f t="shared" si="8"/>
        <v>1</v>
      </c>
      <c r="R116" s="29">
        <f t="shared" si="9"/>
        <v>11</v>
      </c>
      <c r="T116" s="1"/>
      <c r="U116" s="1" t="s">
        <v>1067</v>
      </c>
      <c r="V116" s="2" t="s">
        <v>335</v>
      </c>
      <c r="W116" s="2" t="s">
        <v>163</v>
      </c>
      <c r="X116" s="2" t="s">
        <v>1100</v>
      </c>
      <c r="Y116" s="14">
        <v>45793</v>
      </c>
      <c r="Z116" s="14">
        <v>45801</v>
      </c>
      <c r="AA116" s="4">
        <v>45792</v>
      </c>
      <c r="AB116" s="4">
        <v>45792</v>
      </c>
      <c r="AC116" s="14">
        <v>45793</v>
      </c>
      <c r="AD116" s="2" t="s">
        <v>1065</v>
      </c>
      <c r="AE116" s="2">
        <v>412656151</v>
      </c>
      <c r="AF116" s="2">
        <v>1</v>
      </c>
      <c r="AG116" s="2">
        <v>3</v>
      </c>
      <c r="AH116" s="2"/>
      <c r="AI116" s="2" t="s">
        <v>179</v>
      </c>
      <c r="AJ116" s="2"/>
      <c r="AK116" s="4">
        <v>45791</v>
      </c>
      <c r="AL116" s="14">
        <v>45791</v>
      </c>
      <c r="AM116" s="4">
        <v>45791</v>
      </c>
      <c r="AN116" s="2"/>
      <c r="AO116" s="2">
        <v>2061803</v>
      </c>
      <c r="AP116" s="14" t="s">
        <v>1078</v>
      </c>
      <c r="AQ116" s="14">
        <v>45793</v>
      </c>
      <c r="AS116" s="14">
        <v>45796</v>
      </c>
      <c r="AT116" s="44">
        <v>50091</v>
      </c>
      <c r="AU116" s="1" t="s">
        <v>74</v>
      </c>
      <c r="AV116" s="14">
        <v>45796</v>
      </c>
      <c r="AW116" s="14">
        <v>45797</v>
      </c>
      <c r="AY116" s="2">
        <v>2163053</v>
      </c>
      <c r="AZ116" s="14">
        <v>45797</v>
      </c>
      <c r="BA116" s="1">
        <v>707616</v>
      </c>
      <c r="BB116" s="2">
        <v>127371</v>
      </c>
      <c r="BC116" s="14">
        <v>45797</v>
      </c>
      <c r="BD116" s="14">
        <v>45797</v>
      </c>
      <c r="BF116" s="14">
        <v>45803</v>
      </c>
      <c r="BG116" s="14">
        <v>45804</v>
      </c>
      <c r="BH116" s="49" t="s">
        <v>1205</v>
      </c>
      <c r="BI116" s="2" t="s">
        <v>273</v>
      </c>
      <c r="BQ116" s="14">
        <v>45797</v>
      </c>
      <c r="BR116" s="5">
        <v>45797</v>
      </c>
    </row>
    <row r="117" spans="1:70" ht="18" customHeight="1" x14ac:dyDescent="0.3">
      <c r="A117" s="2">
        <v>117</v>
      </c>
      <c r="B117" s="1">
        <v>6729307</v>
      </c>
      <c r="C117" s="111">
        <v>45647</v>
      </c>
      <c r="D117" s="1">
        <v>159075</v>
      </c>
      <c r="E117" s="1" t="s">
        <v>678</v>
      </c>
      <c r="F117" s="8" t="s">
        <v>219</v>
      </c>
      <c r="G117" s="8" t="s">
        <v>650</v>
      </c>
      <c r="H117" s="8" t="s">
        <v>525</v>
      </c>
      <c r="I117" s="83">
        <v>49819</v>
      </c>
      <c r="J117" s="2" t="s">
        <v>142</v>
      </c>
      <c r="K117" s="2" t="s">
        <v>126</v>
      </c>
      <c r="L117" s="2" t="s">
        <v>854</v>
      </c>
      <c r="M117" s="77">
        <v>45769</v>
      </c>
      <c r="N117" s="70" t="s">
        <v>1221</v>
      </c>
      <c r="P117" s="1"/>
      <c r="Q117" s="67">
        <f t="shared" si="8"/>
        <v>2</v>
      </c>
      <c r="R117" s="29">
        <f t="shared" si="9"/>
        <v>34</v>
      </c>
      <c r="S117" s="1"/>
      <c r="T117" s="1"/>
      <c r="U117" s="1" t="s">
        <v>526</v>
      </c>
      <c r="V117" s="1" t="s">
        <v>384</v>
      </c>
      <c r="W117" s="1" t="s">
        <v>421</v>
      </c>
      <c r="X117" s="1">
        <v>20255044253</v>
      </c>
      <c r="Y117" s="5">
        <v>45763</v>
      </c>
      <c r="Z117" s="5">
        <v>45768</v>
      </c>
      <c r="AA117" s="4">
        <v>45769</v>
      </c>
      <c r="AB117" s="4">
        <v>45769</v>
      </c>
      <c r="AC117" s="3">
        <v>45771</v>
      </c>
      <c r="AD117" s="1" t="s">
        <v>794</v>
      </c>
      <c r="AE117" s="1" t="s">
        <v>795</v>
      </c>
      <c r="AF117" s="1">
        <v>5</v>
      </c>
      <c r="AG117" s="1">
        <v>1472.5</v>
      </c>
      <c r="AH117" s="1"/>
      <c r="AI117" s="1" t="s">
        <v>629</v>
      </c>
      <c r="AJ117" s="1"/>
      <c r="AK117" s="3">
        <v>45764</v>
      </c>
      <c r="AL117" s="5">
        <v>45766</v>
      </c>
      <c r="AM117" s="3">
        <v>45768</v>
      </c>
      <c r="AN117" s="1"/>
      <c r="AO117" s="1">
        <v>9644411</v>
      </c>
      <c r="AP117" s="14">
        <v>45769</v>
      </c>
      <c r="AQ117" s="14">
        <v>45771</v>
      </c>
      <c r="AR117" s="1"/>
      <c r="AS117" s="14">
        <v>45803</v>
      </c>
      <c r="AT117" s="44">
        <v>49886</v>
      </c>
      <c r="AU117" s="1" t="s">
        <v>74</v>
      </c>
      <c r="AV117" s="14">
        <v>45803</v>
      </c>
      <c r="AW117" s="14">
        <v>45803</v>
      </c>
      <c r="AX117" s="1"/>
      <c r="AY117" s="2">
        <v>2281551</v>
      </c>
      <c r="AZ117" s="14">
        <v>45803</v>
      </c>
      <c r="BA117" s="1">
        <v>13744080</v>
      </c>
      <c r="BB117" s="1">
        <v>2473934</v>
      </c>
      <c r="BC117" s="5">
        <v>45803</v>
      </c>
      <c r="BD117" s="5">
        <v>45803</v>
      </c>
      <c r="BE117" s="1"/>
      <c r="BF117" s="14">
        <v>45804</v>
      </c>
      <c r="BG117" s="14">
        <v>45805</v>
      </c>
      <c r="BH117" s="2" t="s">
        <v>1219</v>
      </c>
      <c r="BI117" s="2" t="s">
        <v>273</v>
      </c>
      <c r="BJ117" s="1"/>
      <c r="BK117" s="1"/>
      <c r="BL117" s="1"/>
      <c r="BM117" s="1" t="s">
        <v>877</v>
      </c>
      <c r="BN117" s="1"/>
      <c r="BO117" s="1"/>
      <c r="BP117" s="1"/>
      <c r="BQ117" s="5">
        <v>45803</v>
      </c>
      <c r="BR117" s="5">
        <v>45803</v>
      </c>
    </row>
    <row r="118" spans="1:70" ht="18" customHeight="1" x14ac:dyDescent="0.3">
      <c r="A118" s="2">
        <v>118</v>
      </c>
      <c r="B118" s="2">
        <v>6883265</v>
      </c>
      <c r="C118" s="111">
        <v>45776</v>
      </c>
      <c r="D118" s="2">
        <v>155775</v>
      </c>
      <c r="E118" s="2" t="s">
        <v>840</v>
      </c>
      <c r="F118" s="8" t="s">
        <v>219</v>
      </c>
      <c r="G118" s="8" t="s">
        <v>650</v>
      </c>
      <c r="H118" s="8" t="s">
        <v>525</v>
      </c>
      <c r="I118" s="83">
        <v>50094</v>
      </c>
      <c r="J118" s="2" t="s">
        <v>142</v>
      </c>
      <c r="K118" s="2" t="s">
        <v>126</v>
      </c>
      <c r="L118" s="2" t="s">
        <v>854</v>
      </c>
      <c r="M118" s="78">
        <v>45797</v>
      </c>
      <c r="N118" s="56" t="s">
        <v>1232</v>
      </c>
      <c r="Q118" s="67">
        <f t="shared" si="8"/>
        <v>2</v>
      </c>
      <c r="R118" s="29">
        <f t="shared" si="9"/>
        <v>7</v>
      </c>
      <c r="T118" s="1"/>
      <c r="U118" s="1" t="s">
        <v>1089</v>
      </c>
      <c r="V118" s="1" t="s">
        <v>844</v>
      </c>
      <c r="W118" s="1" t="s">
        <v>380</v>
      </c>
      <c r="X118" s="2">
        <v>20255055943</v>
      </c>
      <c r="Y118" s="14">
        <v>45791</v>
      </c>
      <c r="Z118" s="14">
        <v>45796</v>
      </c>
      <c r="AA118" s="4">
        <v>45797</v>
      </c>
      <c r="AB118" s="4">
        <v>45797</v>
      </c>
      <c r="AC118" s="14">
        <v>45799</v>
      </c>
      <c r="AD118" s="2" t="s">
        <v>1092</v>
      </c>
      <c r="AE118" s="2" t="s">
        <v>1093</v>
      </c>
      <c r="AF118" s="2">
        <v>5</v>
      </c>
      <c r="AG118" s="2">
        <v>1462.5</v>
      </c>
      <c r="AH118" s="2"/>
      <c r="AI118" s="2" t="s">
        <v>180</v>
      </c>
      <c r="AJ118" s="2"/>
      <c r="AK118" s="4">
        <v>45794</v>
      </c>
      <c r="AL118" s="14">
        <v>45794</v>
      </c>
      <c r="AM118" s="4">
        <v>45795</v>
      </c>
      <c r="AN118" s="2"/>
      <c r="AO118" s="2">
        <v>2175528</v>
      </c>
      <c r="AP118" s="14">
        <v>45797</v>
      </c>
      <c r="AQ118" s="14">
        <v>45799</v>
      </c>
      <c r="AS118" s="14">
        <v>45800</v>
      </c>
      <c r="AT118" s="44">
        <v>50162</v>
      </c>
      <c r="AU118" s="1" t="s">
        <v>74</v>
      </c>
      <c r="AV118" s="14">
        <v>45800</v>
      </c>
      <c r="AW118" s="14">
        <v>45801</v>
      </c>
      <c r="AY118" s="2">
        <v>2277242</v>
      </c>
      <c r="AZ118" s="14">
        <v>45803</v>
      </c>
      <c r="BA118" s="2">
        <v>6729480</v>
      </c>
      <c r="BB118" s="2">
        <v>1211306.3999999999</v>
      </c>
      <c r="BC118" s="14">
        <v>45803</v>
      </c>
      <c r="BD118" s="14">
        <v>45803</v>
      </c>
      <c r="BF118" s="14">
        <v>45804</v>
      </c>
      <c r="BG118" s="14">
        <v>45806</v>
      </c>
      <c r="BH118" s="2" t="s">
        <v>1231</v>
      </c>
      <c r="BI118" s="2" t="s">
        <v>273</v>
      </c>
      <c r="BQ118" s="5">
        <v>45801</v>
      </c>
      <c r="BR118" s="5">
        <v>45801</v>
      </c>
    </row>
    <row r="119" spans="1:70" ht="18" customHeight="1" x14ac:dyDescent="0.3">
      <c r="A119" s="2">
        <v>119</v>
      </c>
      <c r="B119" s="2">
        <v>6886450</v>
      </c>
      <c r="C119" s="111">
        <v>45776</v>
      </c>
      <c r="D119" s="2">
        <v>155775</v>
      </c>
      <c r="E119" s="2" t="s">
        <v>840</v>
      </c>
      <c r="F119" s="8" t="s">
        <v>219</v>
      </c>
      <c r="G119" s="8" t="s">
        <v>650</v>
      </c>
      <c r="H119" s="8" t="s">
        <v>525</v>
      </c>
      <c r="I119" s="83">
        <v>50096</v>
      </c>
      <c r="J119" s="2" t="s">
        <v>142</v>
      </c>
      <c r="K119" s="2" t="s">
        <v>126</v>
      </c>
      <c r="L119" s="2" t="s">
        <v>854</v>
      </c>
      <c r="M119" s="78">
        <v>45797</v>
      </c>
      <c r="N119" s="56" t="s">
        <v>1233</v>
      </c>
      <c r="Q119" s="67">
        <f t="shared" si="8"/>
        <v>2</v>
      </c>
      <c r="R119" s="29">
        <f t="shared" si="9"/>
        <v>7</v>
      </c>
      <c r="T119" s="1"/>
      <c r="U119" s="8" t="s">
        <v>1118</v>
      </c>
      <c r="V119" s="1" t="s">
        <v>844</v>
      </c>
      <c r="W119" s="1" t="s">
        <v>380</v>
      </c>
      <c r="X119" s="2">
        <v>20255055944</v>
      </c>
      <c r="Y119" s="14">
        <v>45791</v>
      </c>
      <c r="Z119" s="14">
        <v>45796</v>
      </c>
      <c r="AA119" s="4">
        <v>45797</v>
      </c>
      <c r="AB119" s="4">
        <v>45797</v>
      </c>
      <c r="AC119" s="14">
        <v>45799</v>
      </c>
      <c r="AD119" s="2" t="s">
        <v>1092</v>
      </c>
      <c r="AE119" s="2" t="s">
        <v>1094</v>
      </c>
      <c r="AF119" s="2">
        <v>5</v>
      </c>
      <c r="AG119" s="2">
        <v>1473</v>
      </c>
      <c r="AH119" s="2"/>
      <c r="AI119" s="2" t="s">
        <v>180</v>
      </c>
      <c r="AJ119" s="2"/>
      <c r="AK119" s="4">
        <v>45794</v>
      </c>
      <c r="AL119" s="14">
        <v>45794</v>
      </c>
      <c r="AM119" s="4">
        <v>45795</v>
      </c>
      <c r="AN119" s="2"/>
      <c r="AO119" s="2">
        <v>2175726</v>
      </c>
      <c r="AP119" s="14">
        <v>45797</v>
      </c>
      <c r="AQ119" s="14">
        <v>45799</v>
      </c>
      <c r="AS119" s="14">
        <v>45800</v>
      </c>
      <c r="AT119" s="44">
        <v>50170</v>
      </c>
      <c r="AU119" s="1" t="s">
        <v>74</v>
      </c>
      <c r="AV119" s="14">
        <v>45800</v>
      </c>
      <c r="AW119" s="14">
        <v>45801</v>
      </c>
      <c r="AY119" s="2">
        <v>2277368</v>
      </c>
      <c r="AZ119" s="14">
        <v>45803</v>
      </c>
      <c r="BA119" s="2">
        <v>6729480</v>
      </c>
      <c r="BB119" s="2">
        <v>1211306.3999999999</v>
      </c>
      <c r="BC119" s="14">
        <v>45803</v>
      </c>
      <c r="BD119" s="14">
        <v>45803</v>
      </c>
      <c r="BF119" s="14">
        <v>45804</v>
      </c>
      <c r="BG119" s="14">
        <v>45806</v>
      </c>
      <c r="BH119" s="2" t="s">
        <v>1231</v>
      </c>
      <c r="BI119" s="2" t="s">
        <v>273</v>
      </c>
      <c r="BQ119" s="5">
        <v>45801</v>
      </c>
      <c r="BR119" s="5">
        <v>45801</v>
      </c>
    </row>
    <row r="120" spans="1:70" ht="18" customHeight="1" x14ac:dyDescent="0.3">
      <c r="A120" s="2">
        <v>120</v>
      </c>
      <c r="B120" s="2">
        <v>6916731</v>
      </c>
      <c r="C120" s="111">
        <v>45786</v>
      </c>
      <c r="D120" s="2">
        <v>117670</v>
      </c>
      <c r="E120" s="2" t="s">
        <v>840</v>
      </c>
      <c r="F120" s="8" t="s">
        <v>648</v>
      </c>
      <c r="G120" s="8" t="s">
        <v>646</v>
      </c>
      <c r="H120" s="8" t="s">
        <v>651</v>
      </c>
      <c r="I120" s="83">
        <v>50098</v>
      </c>
      <c r="J120" s="2" t="s">
        <v>142</v>
      </c>
      <c r="K120" s="2" t="s">
        <v>126</v>
      </c>
      <c r="L120" s="2" t="s">
        <v>854</v>
      </c>
      <c r="M120" s="78">
        <v>45796</v>
      </c>
      <c r="N120" s="56" t="s">
        <v>1220</v>
      </c>
      <c r="Q120" s="67">
        <f t="shared" si="8"/>
        <v>2</v>
      </c>
      <c r="R120" s="29">
        <f t="shared" si="9"/>
        <v>7</v>
      </c>
      <c r="T120" s="1"/>
      <c r="U120" s="1" t="s">
        <v>1095</v>
      </c>
      <c r="V120" s="2" t="s">
        <v>384</v>
      </c>
      <c r="W120" s="64" t="s">
        <v>421</v>
      </c>
      <c r="X120" s="2">
        <v>20255056946</v>
      </c>
      <c r="Y120" s="14">
        <v>45793</v>
      </c>
      <c r="Z120" s="14">
        <v>45803</v>
      </c>
      <c r="AA120" s="4">
        <v>45796</v>
      </c>
      <c r="AB120" s="4">
        <v>45796</v>
      </c>
      <c r="AC120" s="14">
        <v>45798</v>
      </c>
      <c r="AD120" s="2" t="s">
        <v>1096</v>
      </c>
      <c r="AE120" s="2" t="s">
        <v>1097</v>
      </c>
      <c r="AF120" s="2">
        <v>2</v>
      </c>
      <c r="AG120" s="2">
        <v>405</v>
      </c>
      <c r="AH120" s="2"/>
      <c r="AI120" s="2" t="s">
        <v>180</v>
      </c>
      <c r="AJ120" s="2"/>
      <c r="AK120" s="4">
        <v>45794</v>
      </c>
      <c r="AL120" s="14">
        <v>45794</v>
      </c>
      <c r="AM120" s="4">
        <v>45795</v>
      </c>
      <c r="AN120" s="2"/>
      <c r="AO120" s="2">
        <v>2144156</v>
      </c>
      <c r="AP120" s="14">
        <v>45796</v>
      </c>
      <c r="AQ120" s="14">
        <v>45798</v>
      </c>
      <c r="AS120" s="14">
        <v>45800</v>
      </c>
      <c r="AT120" s="44">
        <v>50146</v>
      </c>
      <c r="AU120" s="1" t="s">
        <v>74</v>
      </c>
      <c r="AV120" s="14">
        <v>45800</v>
      </c>
      <c r="AW120" s="14">
        <v>45800</v>
      </c>
      <c r="AY120" s="2">
        <v>2276427</v>
      </c>
      <c r="AZ120" s="14">
        <v>45803</v>
      </c>
      <c r="BA120" s="2">
        <v>5083344</v>
      </c>
      <c r="BB120" s="2">
        <v>915001.9</v>
      </c>
      <c r="BC120" s="14">
        <v>45803</v>
      </c>
      <c r="BD120" s="14">
        <v>45803</v>
      </c>
      <c r="BF120" s="14">
        <v>45804</v>
      </c>
      <c r="BG120" s="14">
        <v>45805</v>
      </c>
      <c r="BH120" s="2" t="s">
        <v>1219</v>
      </c>
      <c r="BI120" s="2" t="s">
        <v>273</v>
      </c>
      <c r="BQ120" s="14">
        <v>45800</v>
      </c>
      <c r="BR120" s="14">
        <v>45800</v>
      </c>
    </row>
    <row r="121" spans="1:70" ht="18" customHeight="1" x14ac:dyDescent="0.3">
      <c r="A121" s="2">
        <v>121</v>
      </c>
      <c r="B121" s="2">
        <v>6916732</v>
      </c>
      <c r="C121" s="111">
        <v>45786</v>
      </c>
      <c r="D121" s="2">
        <v>110946</v>
      </c>
      <c r="E121" s="2" t="s">
        <v>840</v>
      </c>
      <c r="F121" s="8" t="s">
        <v>648</v>
      </c>
      <c r="G121" s="8" t="s">
        <v>646</v>
      </c>
      <c r="H121" s="8" t="s">
        <v>1098</v>
      </c>
      <c r="I121" s="83">
        <v>50100</v>
      </c>
      <c r="J121" s="2" t="s">
        <v>142</v>
      </c>
      <c r="K121" s="2" t="s">
        <v>126</v>
      </c>
      <c r="L121" s="2" t="s">
        <v>854</v>
      </c>
      <c r="M121" s="78">
        <v>45796</v>
      </c>
      <c r="N121" s="56" t="s">
        <v>1218</v>
      </c>
      <c r="O121" s="1" t="s">
        <v>1145</v>
      </c>
      <c r="Q121" s="67">
        <f t="shared" si="8"/>
        <v>3</v>
      </c>
      <c r="R121" s="29">
        <f t="shared" si="9"/>
        <v>6</v>
      </c>
      <c r="T121" s="1"/>
      <c r="U121" s="8" t="s">
        <v>1129</v>
      </c>
      <c r="V121" s="2" t="s">
        <v>161</v>
      </c>
      <c r="W121" s="64" t="s">
        <v>454</v>
      </c>
      <c r="X121" s="2">
        <v>20255056941</v>
      </c>
      <c r="Y121" s="14">
        <v>45793</v>
      </c>
      <c r="Z121" s="14">
        <v>45803</v>
      </c>
      <c r="AA121" s="4">
        <v>45796</v>
      </c>
      <c r="AB121" s="4">
        <v>45796</v>
      </c>
      <c r="AC121" s="14">
        <v>45799</v>
      </c>
      <c r="AD121" s="2" t="s">
        <v>1096</v>
      </c>
      <c r="AE121" s="2" t="s">
        <v>1099</v>
      </c>
      <c r="AF121" s="2">
        <v>2</v>
      </c>
      <c r="AG121" s="2">
        <v>386</v>
      </c>
      <c r="AH121" s="2"/>
      <c r="AI121" s="2" t="s">
        <v>180</v>
      </c>
      <c r="AJ121" s="2"/>
      <c r="AK121" s="4">
        <v>45794</v>
      </c>
      <c r="AL121" s="14">
        <v>45794</v>
      </c>
      <c r="AM121" s="4">
        <v>45795</v>
      </c>
      <c r="AN121" s="2"/>
      <c r="AO121" s="2">
        <v>2144153</v>
      </c>
      <c r="AP121" s="14">
        <v>45796</v>
      </c>
      <c r="AQ121" s="14">
        <v>45799</v>
      </c>
      <c r="AS121" s="14">
        <v>45800</v>
      </c>
      <c r="AT121" s="44">
        <v>50157</v>
      </c>
      <c r="AU121" s="1" t="s">
        <v>74</v>
      </c>
      <c r="AV121" s="14">
        <v>45800</v>
      </c>
      <c r="AW121" s="14">
        <v>45800</v>
      </c>
      <c r="AY121" s="2">
        <v>2276428</v>
      </c>
      <c r="AZ121" s="14">
        <v>45803</v>
      </c>
      <c r="BA121" s="2">
        <v>4792867.2</v>
      </c>
      <c r="BB121" s="2">
        <v>862716.1</v>
      </c>
      <c r="BC121" s="14">
        <v>45803</v>
      </c>
      <c r="BD121" s="14">
        <v>45803</v>
      </c>
      <c r="BF121" s="14">
        <v>45804</v>
      </c>
      <c r="BG121" s="14">
        <v>45805</v>
      </c>
      <c r="BH121" s="2" t="s">
        <v>1217</v>
      </c>
      <c r="BI121" s="2" t="s">
        <v>273</v>
      </c>
      <c r="BQ121" s="14">
        <v>45800</v>
      </c>
      <c r="BR121" s="14">
        <v>45800</v>
      </c>
    </row>
    <row r="122" spans="1:70" ht="18" customHeight="1" x14ac:dyDescent="0.3">
      <c r="A122" s="2">
        <v>122</v>
      </c>
      <c r="B122" s="8" t="s">
        <v>1116</v>
      </c>
      <c r="C122" s="75" t="s">
        <v>1102</v>
      </c>
      <c r="D122" s="45">
        <v>93465</v>
      </c>
      <c r="E122" s="2" t="s">
        <v>840</v>
      </c>
      <c r="F122" s="8" t="s">
        <v>219</v>
      </c>
      <c r="G122" s="8" t="s">
        <v>1117</v>
      </c>
      <c r="H122" s="8" t="s">
        <v>1130</v>
      </c>
      <c r="I122" s="83">
        <v>50115</v>
      </c>
      <c r="J122" s="2" t="s">
        <v>142</v>
      </c>
      <c r="K122" s="2" t="s">
        <v>126</v>
      </c>
      <c r="L122" s="2" t="s">
        <v>854</v>
      </c>
      <c r="M122" s="78">
        <v>45797</v>
      </c>
      <c r="N122" s="56" t="s">
        <v>1230</v>
      </c>
      <c r="Q122" s="67">
        <f t="shared" si="8"/>
        <v>2</v>
      </c>
      <c r="R122" s="29">
        <f t="shared" si="9"/>
        <v>7</v>
      </c>
      <c r="T122" s="1"/>
      <c r="U122" s="1" t="s">
        <v>1118</v>
      </c>
      <c r="V122" s="1" t="s">
        <v>844</v>
      </c>
      <c r="W122" s="64" t="s">
        <v>380</v>
      </c>
      <c r="X122" s="2">
        <v>20255056378</v>
      </c>
      <c r="Y122" s="14">
        <v>45792</v>
      </c>
      <c r="Z122" s="14">
        <v>45799</v>
      </c>
      <c r="AA122" s="4">
        <v>45797</v>
      </c>
      <c r="AB122" s="4">
        <v>45797</v>
      </c>
      <c r="AC122" s="14">
        <v>45799</v>
      </c>
      <c r="AD122" s="2" t="s">
        <v>1114</v>
      </c>
      <c r="AE122" s="2" t="s">
        <v>1119</v>
      </c>
      <c r="AF122" s="2">
        <v>7</v>
      </c>
      <c r="AG122" s="2">
        <v>2049.5</v>
      </c>
      <c r="AH122" s="2"/>
      <c r="AI122" s="2" t="s">
        <v>180</v>
      </c>
      <c r="AJ122" s="2"/>
      <c r="AK122" s="4">
        <v>45796</v>
      </c>
      <c r="AL122" s="14">
        <v>45796</v>
      </c>
      <c r="AM122" s="4">
        <v>45797</v>
      </c>
      <c r="AN122" s="2"/>
      <c r="AO122" s="2">
        <v>2165416</v>
      </c>
      <c r="AP122" s="14">
        <v>45797</v>
      </c>
      <c r="AQ122" s="14">
        <v>45799</v>
      </c>
      <c r="AS122" s="14">
        <v>45800</v>
      </c>
      <c r="AT122" s="44">
        <v>50160</v>
      </c>
      <c r="AU122" s="1" t="s">
        <v>74</v>
      </c>
      <c r="AV122" s="14">
        <v>45800</v>
      </c>
      <c r="AW122" s="14">
        <v>45801</v>
      </c>
      <c r="AY122" s="2">
        <v>2277291</v>
      </c>
      <c r="AZ122" s="14">
        <v>45803</v>
      </c>
      <c r="BA122" s="2">
        <v>4037688</v>
      </c>
      <c r="BB122" s="2">
        <v>726783.8</v>
      </c>
      <c r="BC122" s="14">
        <v>45803</v>
      </c>
      <c r="BD122" s="14">
        <v>45803</v>
      </c>
      <c r="BF122" s="14">
        <v>45803</v>
      </c>
      <c r="BG122" s="14">
        <v>45806</v>
      </c>
      <c r="BH122" s="2" t="s">
        <v>1229</v>
      </c>
      <c r="BI122" s="2" t="s">
        <v>282</v>
      </c>
      <c r="BQ122" s="5">
        <v>45801</v>
      </c>
      <c r="BR122" s="5">
        <v>45801</v>
      </c>
    </row>
    <row r="123" spans="1:70" ht="18" customHeight="1" x14ac:dyDescent="0.3">
      <c r="A123" s="2">
        <v>123</v>
      </c>
      <c r="B123" s="2">
        <v>6885542</v>
      </c>
      <c r="C123" s="103">
        <v>45776</v>
      </c>
      <c r="D123" s="45">
        <v>155775</v>
      </c>
      <c r="E123" s="2" t="s">
        <v>840</v>
      </c>
      <c r="F123" s="8" t="s">
        <v>219</v>
      </c>
      <c r="G123" s="8" t="s">
        <v>1117</v>
      </c>
      <c r="H123" s="8" t="s">
        <v>525</v>
      </c>
      <c r="I123" s="83">
        <v>50111</v>
      </c>
      <c r="J123" s="2" t="s">
        <v>142</v>
      </c>
      <c r="K123" s="2" t="s">
        <v>126</v>
      </c>
      <c r="L123" s="2" t="s">
        <v>854</v>
      </c>
      <c r="M123" s="78">
        <v>45798</v>
      </c>
      <c r="N123" s="56" t="s">
        <v>1234</v>
      </c>
      <c r="Q123" s="67">
        <f t="shared" si="8"/>
        <v>2</v>
      </c>
      <c r="R123" s="29">
        <f t="shared" si="9"/>
        <v>7</v>
      </c>
      <c r="T123" s="1"/>
      <c r="U123" s="1" t="s">
        <v>1118</v>
      </c>
      <c r="V123" s="1" t="s">
        <v>844</v>
      </c>
      <c r="W123" s="64" t="s">
        <v>380</v>
      </c>
      <c r="X123" s="2">
        <v>20255055942</v>
      </c>
      <c r="Y123" s="14">
        <v>45791</v>
      </c>
      <c r="Z123" s="14">
        <v>45796</v>
      </c>
      <c r="AA123" s="4">
        <v>45797</v>
      </c>
      <c r="AB123" s="4">
        <v>45797</v>
      </c>
      <c r="AC123" s="14">
        <v>45799</v>
      </c>
      <c r="AD123" s="2" t="s">
        <v>1092</v>
      </c>
      <c r="AE123" s="2" t="s">
        <v>1121</v>
      </c>
      <c r="AF123" s="2">
        <v>5</v>
      </c>
      <c r="AG123" s="2">
        <v>1473</v>
      </c>
      <c r="AH123" s="2"/>
      <c r="AI123" s="2" t="s">
        <v>180</v>
      </c>
      <c r="AJ123" s="2"/>
      <c r="AK123" s="4">
        <v>45796</v>
      </c>
      <c r="AL123" s="14">
        <v>45796</v>
      </c>
      <c r="AM123" s="4">
        <v>45797</v>
      </c>
      <c r="AN123" s="2"/>
      <c r="AO123" s="2">
        <v>2175438</v>
      </c>
      <c r="AP123" s="14">
        <v>45797</v>
      </c>
      <c r="AQ123" s="14">
        <v>45799</v>
      </c>
      <c r="AS123" s="14">
        <v>45800</v>
      </c>
      <c r="AT123" s="44">
        <v>50171</v>
      </c>
      <c r="AU123" s="1" t="s">
        <v>74</v>
      </c>
      <c r="AV123" s="14">
        <v>45800</v>
      </c>
      <c r="AW123" s="14">
        <v>45801</v>
      </c>
      <c r="AY123" s="2">
        <v>2277506</v>
      </c>
      <c r="AZ123" s="14">
        <v>45803</v>
      </c>
      <c r="BA123" s="2">
        <v>6729480</v>
      </c>
      <c r="BB123" s="2">
        <v>1211306.3999999999</v>
      </c>
      <c r="BC123" s="14">
        <v>45803</v>
      </c>
      <c r="BD123" s="14">
        <v>45803</v>
      </c>
      <c r="BF123" s="14">
        <v>45804</v>
      </c>
      <c r="BG123" s="14">
        <v>45806</v>
      </c>
      <c r="BH123" s="2" t="s">
        <v>1231</v>
      </c>
      <c r="BI123" s="2" t="s">
        <v>273</v>
      </c>
      <c r="BQ123" s="5">
        <v>45801</v>
      </c>
      <c r="BR123" s="5">
        <v>45801</v>
      </c>
    </row>
    <row r="124" spans="1:70" ht="18" customHeight="1" x14ac:dyDescent="0.3">
      <c r="A124" s="2">
        <v>124</v>
      </c>
      <c r="B124" s="2">
        <v>6881551</v>
      </c>
      <c r="C124" s="111">
        <v>45776</v>
      </c>
      <c r="D124" s="45">
        <v>155775</v>
      </c>
      <c r="E124" s="2" t="s">
        <v>840</v>
      </c>
      <c r="F124" s="8" t="s">
        <v>219</v>
      </c>
      <c r="G124" s="8" t="s">
        <v>650</v>
      </c>
      <c r="H124" s="8" t="s">
        <v>525</v>
      </c>
      <c r="I124" s="83">
        <v>50026</v>
      </c>
      <c r="J124" s="2" t="s">
        <v>142</v>
      </c>
      <c r="K124" s="2" t="s">
        <v>126</v>
      </c>
      <c r="L124" s="2" t="s">
        <v>854</v>
      </c>
      <c r="M124" s="78">
        <v>45790</v>
      </c>
      <c r="N124" s="56" t="s">
        <v>1265</v>
      </c>
      <c r="Q124" s="67">
        <f t="shared" si="8"/>
        <v>2</v>
      </c>
      <c r="R124" s="29">
        <f t="shared" si="9"/>
        <v>18</v>
      </c>
      <c r="T124" s="1"/>
      <c r="U124" s="8" t="s">
        <v>1110</v>
      </c>
      <c r="V124" s="2" t="s">
        <v>384</v>
      </c>
      <c r="W124" s="64" t="s">
        <v>421</v>
      </c>
      <c r="X124" s="2" t="s">
        <v>1056</v>
      </c>
      <c r="Y124" s="14">
        <v>45786</v>
      </c>
      <c r="Z124" s="14">
        <v>45792</v>
      </c>
      <c r="AA124" s="4">
        <v>45790</v>
      </c>
      <c r="AB124" s="4">
        <v>45790</v>
      </c>
      <c r="AC124" s="14">
        <v>45792</v>
      </c>
      <c r="AD124" s="2">
        <v>60785389006</v>
      </c>
      <c r="AE124" s="2" t="s">
        <v>1057</v>
      </c>
      <c r="AF124" s="2">
        <v>5</v>
      </c>
      <c r="AG124" s="2">
        <v>1490</v>
      </c>
      <c r="AH124" s="2"/>
      <c r="AI124" s="2" t="s">
        <v>611</v>
      </c>
      <c r="AJ124" s="2"/>
      <c r="AK124" s="4">
        <v>45788</v>
      </c>
      <c r="AL124" s="14">
        <v>45789</v>
      </c>
      <c r="AM124" s="4">
        <v>45790</v>
      </c>
      <c r="AN124" s="2"/>
      <c r="AO124" s="2">
        <v>2041459</v>
      </c>
      <c r="AP124" s="14">
        <v>45791</v>
      </c>
      <c r="AQ124" s="14">
        <v>45792</v>
      </c>
      <c r="AS124" s="14">
        <v>45805</v>
      </c>
      <c r="AT124" s="44">
        <v>50060</v>
      </c>
      <c r="AU124" s="1" t="s">
        <v>74</v>
      </c>
      <c r="AV124" s="14">
        <v>45805</v>
      </c>
      <c r="AW124" s="14">
        <v>45805</v>
      </c>
      <c r="AY124" s="2">
        <v>2341276</v>
      </c>
      <c r="AZ124" s="14">
        <v>45806</v>
      </c>
      <c r="BA124" s="1">
        <v>13458960</v>
      </c>
      <c r="BB124" s="2">
        <v>2422613</v>
      </c>
      <c r="BC124" s="14">
        <v>45806</v>
      </c>
      <c r="BD124" s="14">
        <v>45806</v>
      </c>
      <c r="BF124" s="5">
        <v>45807</v>
      </c>
      <c r="BG124" s="14">
        <v>45810</v>
      </c>
      <c r="BH124" s="2" t="s">
        <v>1264</v>
      </c>
      <c r="BI124" s="2" t="s">
        <v>273</v>
      </c>
      <c r="BQ124" s="14">
        <v>45805</v>
      </c>
      <c r="BR124" s="5">
        <v>45805</v>
      </c>
    </row>
    <row r="125" spans="1:70" ht="18" customHeight="1" x14ac:dyDescent="0.3">
      <c r="A125" s="2">
        <v>125</v>
      </c>
      <c r="B125" s="2">
        <v>6928712</v>
      </c>
      <c r="C125" s="111">
        <v>45792</v>
      </c>
      <c r="D125" s="45">
        <v>191634</v>
      </c>
      <c r="E125" s="2" t="s">
        <v>840</v>
      </c>
      <c r="F125" s="8" t="s">
        <v>648</v>
      </c>
      <c r="G125" s="8" t="s">
        <v>646</v>
      </c>
      <c r="H125" s="8" t="s">
        <v>709</v>
      </c>
      <c r="I125" s="83">
        <v>50164</v>
      </c>
      <c r="J125" s="2" t="s">
        <v>142</v>
      </c>
      <c r="K125" s="2" t="s">
        <v>126</v>
      </c>
      <c r="L125" s="2" t="s">
        <v>854</v>
      </c>
      <c r="M125" s="78">
        <v>45803</v>
      </c>
      <c r="N125" s="56" t="s">
        <v>1266</v>
      </c>
      <c r="Q125" s="67">
        <f t="shared" si="8"/>
        <v>2</v>
      </c>
      <c r="R125" s="29">
        <f t="shared" si="9"/>
        <v>5</v>
      </c>
      <c r="T125" s="1"/>
      <c r="U125" s="1" t="s">
        <v>1157</v>
      </c>
      <c r="V125" s="2" t="s">
        <v>239</v>
      </c>
      <c r="W125" s="64" t="s">
        <v>454</v>
      </c>
      <c r="X125" s="2">
        <v>20255058945</v>
      </c>
      <c r="Y125" s="14">
        <v>45798</v>
      </c>
      <c r="Z125" s="14">
        <v>45806</v>
      </c>
      <c r="AA125" s="4">
        <v>45803</v>
      </c>
      <c r="AB125" s="4">
        <v>45803</v>
      </c>
      <c r="AC125" s="14">
        <v>45805</v>
      </c>
      <c r="AD125" s="2" t="s">
        <v>1188</v>
      </c>
      <c r="AE125" s="2" t="s">
        <v>1158</v>
      </c>
      <c r="AF125" s="2">
        <v>3</v>
      </c>
      <c r="AG125" s="2">
        <v>660</v>
      </c>
      <c r="AH125" s="2"/>
      <c r="AI125" s="2" t="s">
        <v>180</v>
      </c>
      <c r="AJ125" s="2"/>
      <c r="AK125" s="4">
        <v>45800</v>
      </c>
      <c r="AL125" s="14">
        <v>45800</v>
      </c>
      <c r="AM125" s="4">
        <v>45800</v>
      </c>
      <c r="AN125" s="2"/>
      <c r="AO125" s="2">
        <v>2300408</v>
      </c>
      <c r="AP125" s="14">
        <v>45804</v>
      </c>
      <c r="AQ125" s="14">
        <v>45805</v>
      </c>
      <c r="AS125" s="14">
        <v>45806</v>
      </c>
      <c r="AT125" s="44">
        <v>50244</v>
      </c>
      <c r="AU125" s="1" t="s">
        <v>74</v>
      </c>
      <c r="AV125" s="14">
        <v>45806</v>
      </c>
      <c r="AW125" s="14">
        <v>45806</v>
      </c>
      <c r="AY125" s="2">
        <v>2363715</v>
      </c>
      <c r="AZ125" s="14">
        <v>45807</v>
      </c>
      <c r="BA125" s="1">
        <v>16557178</v>
      </c>
      <c r="BB125" s="2">
        <v>2980292</v>
      </c>
      <c r="BC125" s="14">
        <v>45807</v>
      </c>
      <c r="BD125" s="14">
        <v>45807</v>
      </c>
      <c r="BF125" s="5">
        <v>45808</v>
      </c>
      <c r="BG125" s="14">
        <v>45810</v>
      </c>
      <c r="BH125" s="2" t="s">
        <v>1262</v>
      </c>
      <c r="BI125" s="2" t="s">
        <v>273</v>
      </c>
      <c r="BQ125" s="14">
        <v>45806</v>
      </c>
      <c r="BR125" s="5">
        <v>45806</v>
      </c>
    </row>
    <row r="126" spans="1:70" ht="18" customHeight="1" x14ac:dyDescent="0.3">
      <c r="A126" s="2">
        <v>126</v>
      </c>
      <c r="B126" s="1" t="s">
        <v>1136</v>
      </c>
      <c r="C126" s="111">
        <v>45790</v>
      </c>
      <c r="D126" s="6">
        <v>134680</v>
      </c>
      <c r="E126" s="2" t="s">
        <v>677</v>
      </c>
      <c r="F126" s="1" t="s">
        <v>345</v>
      </c>
      <c r="G126" s="8" t="s">
        <v>1133</v>
      </c>
      <c r="H126" s="1">
        <v>296</v>
      </c>
      <c r="I126" s="83">
        <v>50125</v>
      </c>
      <c r="J126" s="1" t="s">
        <v>142</v>
      </c>
      <c r="K126" s="2" t="s">
        <v>126</v>
      </c>
      <c r="L126" s="2" t="s">
        <v>854</v>
      </c>
      <c r="M126" s="78">
        <v>45799</v>
      </c>
      <c r="N126" s="56" t="s">
        <v>1263</v>
      </c>
      <c r="Q126" s="67">
        <f t="shared" si="8"/>
        <v>1</v>
      </c>
      <c r="R126" s="29">
        <f t="shared" si="9"/>
        <v>10</v>
      </c>
      <c r="T126" s="1"/>
      <c r="U126" s="1" t="s">
        <v>835</v>
      </c>
      <c r="V126" s="2" t="s">
        <v>755</v>
      </c>
      <c r="W126" s="1" t="s">
        <v>827</v>
      </c>
      <c r="X126" s="2" t="s">
        <v>1144</v>
      </c>
      <c r="Y126" s="14">
        <v>45798</v>
      </c>
      <c r="Z126" s="14">
        <v>45803</v>
      </c>
      <c r="AA126" s="4">
        <v>45798</v>
      </c>
      <c r="AB126" s="4">
        <v>45799</v>
      </c>
      <c r="AC126" s="14">
        <v>45800</v>
      </c>
      <c r="AD126" s="106" t="s">
        <v>1135</v>
      </c>
      <c r="AE126" s="2">
        <v>412656215</v>
      </c>
      <c r="AF126" s="2">
        <v>2</v>
      </c>
      <c r="AG126" s="2">
        <v>36</v>
      </c>
      <c r="AH126" s="2"/>
      <c r="AI126" s="2" t="s">
        <v>179</v>
      </c>
      <c r="AJ126" s="2"/>
      <c r="AK126" s="4">
        <v>45797</v>
      </c>
      <c r="AL126" s="14">
        <v>45797</v>
      </c>
      <c r="AM126" s="14">
        <v>45797</v>
      </c>
      <c r="AN126" s="2"/>
      <c r="AO126" s="2">
        <v>2205502</v>
      </c>
      <c r="AP126" s="14">
        <v>45799</v>
      </c>
      <c r="AQ126" s="14">
        <v>45800</v>
      </c>
      <c r="AS126" s="14">
        <v>45803</v>
      </c>
      <c r="AT126" s="44">
        <v>50208</v>
      </c>
      <c r="AU126" s="1" t="s">
        <v>74</v>
      </c>
      <c r="AV126" s="14">
        <v>45803</v>
      </c>
      <c r="AW126" s="14">
        <v>45804</v>
      </c>
      <c r="AY126" s="2">
        <v>2341484</v>
      </c>
      <c r="AZ126" s="14">
        <v>45806</v>
      </c>
      <c r="BA126" s="1">
        <v>11636352</v>
      </c>
      <c r="BB126" s="2">
        <v>2094543</v>
      </c>
      <c r="BC126" s="14">
        <v>45806</v>
      </c>
      <c r="BD126" s="14">
        <v>45806</v>
      </c>
      <c r="BF126" s="5">
        <v>45807</v>
      </c>
      <c r="BG126" s="14">
        <v>45810</v>
      </c>
      <c r="BH126" s="2" t="s">
        <v>571</v>
      </c>
      <c r="BI126" s="2" t="s">
        <v>273</v>
      </c>
      <c r="BM126"/>
      <c r="BQ126" s="14">
        <v>45804</v>
      </c>
      <c r="BR126" s="5">
        <v>45805</v>
      </c>
    </row>
    <row r="127" spans="1:70" ht="18" customHeight="1" x14ac:dyDescent="0.3">
      <c r="A127" s="2">
        <v>127</v>
      </c>
      <c r="B127" s="2">
        <v>6881561</v>
      </c>
      <c r="C127" s="111">
        <v>45776</v>
      </c>
      <c r="D127" s="2">
        <v>114235</v>
      </c>
      <c r="E127" s="2" t="s">
        <v>840</v>
      </c>
      <c r="F127" s="8" t="s">
        <v>219</v>
      </c>
      <c r="G127" s="8" t="s">
        <v>650</v>
      </c>
      <c r="H127" s="8" t="s">
        <v>1058</v>
      </c>
      <c r="I127" s="83">
        <v>50028</v>
      </c>
      <c r="J127" s="2" t="s">
        <v>142</v>
      </c>
      <c r="K127" s="2" t="s">
        <v>126</v>
      </c>
      <c r="L127" s="2" t="s">
        <v>854</v>
      </c>
      <c r="M127" s="78">
        <v>45790</v>
      </c>
      <c r="N127" s="56" t="s">
        <v>1290</v>
      </c>
      <c r="Q127" s="67">
        <f t="shared" si="8"/>
        <v>2</v>
      </c>
      <c r="R127" s="29">
        <f t="shared" si="9"/>
        <v>20</v>
      </c>
      <c r="T127" s="1"/>
      <c r="U127" s="8" t="s">
        <v>1110</v>
      </c>
      <c r="V127" s="2" t="s">
        <v>384</v>
      </c>
      <c r="W127" s="64" t="s">
        <v>421</v>
      </c>
      <c r="X127" s="2" t="s">
        <v>1059</v>
      </c>
      <c r="Y127" s="14">
        <v>45786</v>
      </c>
      <c r="Z127" s="14">
        <v>45792</v>
      </c>
      <c r="AA127" s="4">
        <v>45790</v>
      </c>
      <c r="AB127" s="4">
        <v>45790</v>
      </c>
      <c r="AC127" s="14">
        <v>45792</v>
      </c>
      <c r="AD127" s="2">
        <v>60779279771</v>
      </c>
      <c r="AE127" s="2" t="s">
        <v>1060</v>
      </c>
      <c r="AF127" s="2">
        <v>4</v>
      </c>
      <c r="AG127" s="2">
        <v>1100</v>
      </c>
      <c r="AH127" s="2"/>
      <c r="AI127" s="2" t="s">
        <v>611</v>
      </c>
      <c r="AJ127" s="2"/>
      <c r="AK127" s="4">
        <v>45788</v>
      </c>
      <c r="AL127" s="14">
        <v>45789</v>
      </c>
      <c r="AM127" s="4">
        <v>45790</v>
      </c>
      <c r="AN127" s="2"/>
      <c r="AO127" s="2">
        <v>2041460</v>
      </c>
      <c r="AP127" s="14">
        <v>45791</v>
      </c>
      <c r="AQ127" s="14">
        <v>45792</v>
      </c>
      <c r="AS127" s="14">
        <v>45805</v>
      </c>
      <c r="AT127" s="44">
        <v>50061</v>
      </c>
      <c r="AU127" s="1" t="s">
        <v>74</v>
      </c>
      <c r="AV127" s="14">
        <v>45805</v>
      </c>
      <c r="AW127" s="14">
        <v>45808</v>
      </c>
      <c r="AY127" s="2">
        <v>2430145</v>
      </c>
      <c r="AZ127" s="14">
        <v>45811</v>
      </c>
      <c r="BA127" s="1">
        <v>9869904</v>
      </c>
      <c r="BB127" s="2">
        <v>1776583</v>
      </c>
      <c r="BC127" s="14">
        <v>45811</v>
      </c>
      <c r="BD127" s="14">
        <v>45811</v>
      </c>
      <c r="BF127" s="5">
        <v>45812</v>
      </c>
      <c r="BG127" s="14">
        <v>45812</v>
      </c>
      <c r="BH127" s="117" t="s">
        <v>1292</v>
      </c>
      <c r="BI127" s="2" t="s">
        <v>273</v>
      </c>
      <c r="BQ127" s="14">
        <v>45808</v>
      </c>
      <c r="BR127" s="5">
        <v>45810</v>
      </c>
    </row>
    <row r="128" spans="1:70" ht="18" customHeight="1" x14ac:dyDescent="0.3">
      <c r="A128" s="2">
        <v>128</v>
      </c>
      <c r="B128" s="2">
        <v>6886583</v>
      </c>
      <c r="C128" s="111">
        <v>45776</v>
      </c>
      <c r="D128" s="2">
        <v>122543</v>
      </c>
      <c r="E128" s="2" t="s">
        <v>840</v>
      </c>
      <c r="F128" s="8" t="s">
        <v>219</v>
      </c>
      <c r="G128" s="8" t="s">
        <v>650</v>
      </c>
      <c r="H128" s="8" t="s">
        <v>1088</v>
      </c>
      <c r="I128" s="83">
        <v>50092</v>
      </c>
      <c r="J128" s="2" t="s">
        <v>142</v>
      </c>
      <c r="K128" s="2" t="s">
        <v>126</v>
      </c>
      <c r="L128" s="2" t="s">
        <v>854</v>
      </c>
      <c r="M128" s="78">
        <v>45797</v>
      </c>
      <c r="N128" s="56" t="s">
        <v>1285</v>
      </c>
      <c r="Q128" s="67">
        <f t="shared" si="8"/>
        <v>2</v>
      </c>
      <c r="R128" s="29">
        <f t="shared" si="9"/>
        <v>12</v>
      </c>
      <c r="T128" s="1"/>
      <c r="U128" s="8" t="s">
        <v>1118</v>
      </c>
      <c r="V128" s="1" t="s">
        <v>844</v>
      </c>
      <c r="W128" s="1" t="s">
        <v>380</v>
      </c>
      <c r="X128" s="2">
        <v>20255056502</v>
      </c>
      <c r="Y128" s="14">
        <v>45792</v>
      </c>
      <c r="Z128" s="14">
        <v>45799</v>
      </c>
      <c r="AA128" s="4">
        <v>45798</v>
      </c>
      <c r="AB128" s="4">
        <v>45798</v>
      </c>
      <c r="AC128" s="14">
        <v>45800</v>
      </c>
      <c r="AD128" s="2" t="s">
        <v>1090</v>
      </c>
      <c r="AE128" s="2" t="s">
        <v>1091</v>
      </c>
      <c r="AF128" s="2">
        <v>4</v>
      </c>
      <c r="AG128" s="2">
        <v>1170</v>
      </c>
      <c r="AH128" s="2"/>
      <c r="AI128" s="2" t="s">
        <v>180</v>
      </c>
      <c r="AJ128" s="2"/>
      <c r="AK128" s="4">
        <v>45794</v>
      </c>
      <c r="AL128" s="14">
        <v>45794</v>
      </c>
      <c r="AM128" s="4">
        <v>45795</v>
      </c>
      <c r="AN128" s="2"/>
      <c r="AO128" s="1">
        <v>2184410</v>
      </c>
      <c r="AP128" s="14">
        <v>45798</v>
      </c>
      <c r="AQ128" s="14">
        <v>45800</v>
      </c>
      <c r="AS128" s="14">
        <v>45804</v>
      </c>
      <c r="AT128" s="44">
        <v>50210</v>
      </c>
      <c r="AU128" s="1" t="s">
        <v>74</v>
      </c>
      <c r="AV128" s="14">
        <v>45804</v>
      </c>
      <c r="AW128" s="14">
        <v>45804</v>
      </c>
      <c r="AY128" s="2">
        <v>2411518</v>
      </c>
      <c r="AZ128" s="14">
        <v>45810</v>
      </c>
      <c r="BA128" s="1">
        <v>10587715</v>
      </c>
      <c r="BB128" s="2">
        <v>1905789</v>
      </c>
      <c r="BC128" s="14">
        <v>45810</v>
      </c>
      <c r="BD128" s="14">
        <v>45810</v>
      </c>
      <c r="BF128" s="5">
        <v>45811</v>
      </c>
      <c r="BG128" s="14">
        <v>45812</v>
      </c>
      <c r="BH128" s="2" t="s">
        <v>1283</v>
      </c>
      <c r="BI128" s="2" t="s">
        <v>273</v>
      </c>
      <c r="BM128" s="15" t="s">
        <v>1227</v>
      </c>
      <c r="BQ128" s="14">
        <v>45804</v>
      </c>
      <c r="BR128" s="5">
        <v>45806</v>
      </c>
    </row>
    <row r="129" spans="1:70" ht="18" customHeight="1" x14ac:dyDescent="0.3">
      <c r="A129" s="2">
        <v>129</v>
      </c>
      <c r="B129" s="1">
        <v>6882558</v>
      </c>
      <c r="C129" s="103">
        <v>45776</v>
      </c>
      <c r="D129" s="45">
        <v>155775</v>
      </c>
      <c r="E129" s="2" t="s">
        <v>840</v>
      </c>
      <c r="F129" s="8" t="s">
        <v>219</v>
      </c>
      <c r="G129" s="8" t="s">
        <v>1109</v>
      </c>
      <c r="H129" s="8" t="s">
        <v>525</v>
      </c>
      <c r="I129" s="83">
        <v>50108</v>
      </c>
      <c r="J129" s="2" t="s">
        <v>142</v>
      </c>
      <c r="K129" s="2" t="s">
        <v>126</v>
      </c>
      <c r="L129" s="2" t="s">
        <v>854</v>
      </c>
      <c r="M129" s="78">
        <v>45796</v>
      </c>
      <c r="N129" s="56" t="s">
        <v>1291</v>
      </c>
      <c r="Q129" s="67">
        <f t="shared" si="8"/>
        <v>3</v>
      </c>
      <c r="R129" s="29">
        <f t="shared" si="9"/>
        <v>13</v>
      </c>
      <c r="T129" s="1"/>
      <c r="U129" s="1" t="s">
        <v>1110</v>
      </c>
      <c r="V129" s="2" t="s">
        <v>384</v>
      </c>
      <c r="W129" s="64" t="s">
        <v>421</v>
      </c>
      <c r="X129" s="2">
        <v>20255055941</v>
      </c>
      <c r="Y129" s="14">
        <v>45791</v>
      </c>
      <c r="Z129" s="14">
        <v>45796</v>
      </c>
      <c r="AA129" s="4">
        <v>45796</v>
      </c>
      <c r="AB129" s="4">
        <v>45796</v>
      </c>
      <c r="AC129" s="14">
        <v>45799</v>
      </c>
      <c r="AD129" s="2" t="s">
        <v>1111</v>
      </c>
      <c r="AE129" s="2" t="s">
        <v>1112</v>
      </c>
      <c r="AF129" s="2">
        <v>5</v>
      </c>
      <c r="AG129" s="2">
        <v>1462.5</v>
      </c>
      <c r="AH129" s="2"/>
      <c r="AI129" s="2" t="s">
        <v>180</v>
      </c>
      <c r="AJ129" s="2"/>
      <c r="AK129" s="4">
        <v>45795</v>
      </c>
      <c r="AL129" s="14">
        <v>45796</v>
      </c>
      <c r="AM129" s="14">
        <v>45796</v>
      </c>
      <c r="AN129" s="2"/>
      <c r="AO129" s="2">
        <v>2176079</v>
      </c>
      <c r="AP129" s="14">
        <v>45797</v>
      </c>
      <c r="AQ129" s="14">
        <v>45799</v>
      </c>
      <c r="AS129" s="14">
        <v>45804</v>
      </c>
      <c r="AT129" s="44">
        <v>50219</v>
      </c>
      <c r="AU129" s="1" t="s">
        <v>74</v>
      </c>
      <c r="AV129" s="14">
        <v>45804</v>
      </c>
      <c r="AW129" s="14">
        <v>45804</v>
      </c>
      <c r="AY129" s="2">
        <v>2363716</v>
      </c>
      <c r="AZ129" s="14">
        <v>45807</v>
      </c>
      <c r="BA129" s="1">
        <v>13458960</v>
      </c>
      <c r="BB129" s="2">
        <v>2422613</v>
      </c>
      <c r="BC129" s="5">
        <v>45807</v>
      </c>
      <c r="BD129" s="14">
        <v>45810</v>
      </c>
      <c r="BF129" s="5">
        <v>45811</v>
      </c>
      <c r="BG129" s="14">
        <v>45812</v>
      </c>
      <c r="BH129" s="117" t="s">
        <v>1292</v>
      </c>
      <c r="BI129" s="2" t="s">
        <v>273</v>
      </c>
      <c r="BQ129" s="14">
        <v>45804</v>
      </c>
      <c r="BR129" s="1"/>
    </row>
    <row r="130" spans="1:70" ht="18" customHeight="1" x14ac:dyDescent="0.3">
      <c r="A130" s="2">
        <v>130</v>
      </c>
      <c r="B130" s="2">
        <v>6886581</v>
      </c>
      <c r="C130" s="103">
        <v>45776</v>
      </c>
      <c r="D130" s="45">
        <v>155775</v>
      </c>
      <c r="E130" s="2" t="s">
        <v>840</v>
      </c>
      <c r="F130" s="8" t="s">
        <v>219</v>
      </c>
      <c r="G130" s="8" t="s">
        <v>1117</v>
      </c>
      <c r="H130" s="8" t="s">
        <v>525</v>
      </c>
      <c r="I130" s="83">
        <v>50112</v>
      </c>
      <c r="J130" s="2" t="s">
        <v>142</v>
      </c>
      <c r="K130" s="2" t="s">
        <v>126</v>
      </c>
      <c r="L130" s="2" t="s">
        <v>854</v>
      </c>
      <c r="M130" s="78">
        <v>45798</v>
      </c>
      <c r="N130" s="56" t="s">
        <v>1285</v>
      </c>
      <c r="Q130" s="67">
        <f t="shared" si="8"/>
        <v>3</v>
      </c>
      <c r="R130" s="29">
        <f t="shared" si="9"/>
        <v>12</v>
      </c>
      <c r="T130" s="1"/>
      <c r="U130" s="1" t="s">
        <v>1118</v>
      </c>
      <c r="V130" s="1" t="s">
        <v>844</v>
      </c>
      <c r="W130" s="64" t="s">
        <v>380</v>
      </c>
      <c r="X130" s="2">
        <v>20255055931</v>
      </c>
      <c r="Y130" s="14">
        <v>45791</v>
      </c>
      <c r="Z130" s="14">
        <v>45796</v>
      </c>
      <c r="AA130" s="4">
        <v>45797</v>
      </c>
      <c r="AB130" s="4">
        <v>45797</v>
      </c>
      <c r="AC130" s="14">
        <v>45800</v>
      </c>
      <c r="AD130" s="2" t="s">
        <v>1122</v>
      </c>
      <c r="AE130" s="2" t="s">
        <v>1123</v>
      </c>
      <c r="AF130" s="2">
        <v>5</v>
      </c>
      <c r="AG130" s="2">
        <v>1462.5</v>
      </c>
      <c r="AH130" s="2"/>
      <c r="AI130" s="2" t="s">
        <v>180</v>
      </c>
      <c r="AJ130" s="2"/>
      <c r="AK130" s="4">
        <v>45796</v>
      </c>
      <c r="AL130" s="14">
        <v>45796</v>
      </c>
      <c r="AM130" s="4">
        <v>45797</v>
      </c>
      <c r="AN130" s="2"/>
      <c r="AO130" s="2">
        <v>2184416</v>
      </c>
      <c r="AP130" s="14">
        <v>45798</v>
      </c>
      <c r="AQ130" s="14">
        <v>45800</v>
      </c>
      <c r="AS130" s="14">
        <v>45804</v>
      </c>
      <c r="AT130" s="44">
        <v>50211</v>
      </c>
      <c r="AU130" s="1" t="s">
        <v>74</v>
      </c>
      <c r="AV130" s="14">
        <v>45804</v>
      </c>
      <c r="AW130" s="14">
        <v>45804</v>
      </c>
      <c r="AY130" s="2">
        <v>2411342</v>
      </c>
      <c r="AZ130" s="14">
        <v>45810</v>
      </c>
      <c r="BA130" s="1">
        <v>13458960</v>
      </c>
      <c r="BB130" s="2">
        <v>2422613</v>
      </c>
      <c r="BC130" s="14">
        <v>45810</v>
      </c>
      <c r="BD130" s="14">
        <v>45810</v>
      </c>
      <c r="BF130" s="5">
        <v>45811</v>
      </c>
      <c r="BG130" s="14">
        <v>45812</v>
      </c>
      <c r="BH130" s="2" t="s">
        <v>1284</v>
      </c>
      <c r="BI130" s="2" t="s">
        <v>273</v>
      </c>
      <c r="BM130" s="113" t="s">
        <v>1227</v>
      </c>
      <c r="BQ130" s="14">
        <v>45804</v>
      </c>
      <c r="BR130" s="5">
        <v>45806</v>
      </c>
    </row>
    <row r="131" spans="1:70" ht="18" customHeight="1" x14ac:dyDescent="0.3">
      <c r="A131" s="2">
        <v>131</v>
      </c>
      <c r="B131" s="8" t="s">
        <v>1124</v>
      </c>
      <c r="C131" s="112" t="s">
        <v>1102</v>
      </c>
      <c r="D131" s="104" t="s">
        <v>1125</v>
      </c>
      <c r="E131" s="2" t="s">
        <v>840</v>
      </c>
      <c r="F131" s="8" t="s">
        <v>219</v>
      </c>
      <c r="G131" s="8" t="s">
        <v>1117</v>
      </c>
      <c r="H131" s="8" t="s">
        <v>1126</v>
      </c>
      <c r="I131" s="83">
        <v>50116</v>
      </c>
      <c r="J131" s="2" t="s">
        <v>142</v>
      </c>
      <c r="K131" s="2" t="s">
        <v>126</v>
      </c>
      <c r="L131" s="2" t="s">
        <v>854</v>
      </c>
      <c r="M131" s="78">
        <v>45798</v>
      </c>
      <c r="N131" s="56" t="s">
        <v>1287</v>
      </c>
      <c r="Q131" s="67">
        <f t="shared" si="8"/>
        <v>3</v>
      </c>
      <c r="R131" s="29">
        <f t="shared" si="9"/>
        <v>12</v>
      </c>
      <c r="T131" s="1"/>
      <c r="U131" s="8" t="s">
        <v>1127</v>
      </c>
      <c r="V131" s="1" t="s">
        <v>844</v>
      </c>
      <c r="W131" s="64" t="s">
        <v>380</v>
      </c>
      <c r="X131" s="2">
        <v>20255055932</v>
      </c>
      <c r="Y131" s="14">
        <v>45791</v>
      </c>
      <c r="Z131" s="14">
        <v>45796</v>
      </c>
      <c r="AA131" s="4">
        <v>45797</v>
      </c>
      <c r="AB131" s="4">
        <v>45797</v>
      </c>
      <c r="AC131" s="14">
        <v>45800</v>
      </c>
      <c r="AD131" s="2" t="s">
        <v>1122</v>
      </c>
      <c r="AE131" s="2" t="s">
        <v>1128</v>
      </c>
      <c r="AF131" s="2">
        <v>7</v>
      </c>
      <c r="AG131" s="2">
        <v>1846.5</v>
      </c>
      <c r="AH131" s="2"/>
      <c r="AI131" s="2" t="s">
        <v>180</v>
      </c>
      <c r="AJ131" s="2"/>
      <c r="AK131" s="4">
        <v>45796</v>
      </c>
      <c r="AL131" s="14">
        <v>45796</v>
      </c>
      <c r="AM131" s="4">
        <v>45797</v>
      </c>
      <c r="AN131" s="2"/>
      <c r="AO131" s="2">
        <v>2184834</v>
      </c>
      <c r="AP131" s="14">
        <v>45798</v>
      </c>
      <c r="AQ131" s="14">
        <v>45800</v>
      </c>
      <c r="AS131" s="14">
        <v>45804</v>
      </c>
      <c r="AT131" s="44">
        <v>50213</v>
      </c>
      <c r="AU131" s="1" t="s">
        <v>74</v>
      </c>
      <c r="AV131" s="14">
        <v>45804</v>
      </c>
      <c r="AW131" s="14">
        <v>45804</v>
      </c>
      <c r="AY131" s="2">
        <v>2411345</v>
      </c>
      <c r="AZ131" s="14">
        <v>45810</v>
      </c>
      <c r="BA131" s="1">
        <v>17410205</v>
      </c>
      <c r="BB131" s="2">
        <v>3133837</v>
      </c>
      <c r="BC131" s="14">
        <v>45810</v>
      </c>
      <c r="BD131" s="14">
        <v>45810</v>
      </c>
      <c r="BF131" s="5">
        <v>45811</v>
      </c>
      <c r="BG131" s="14">
        <v>45812</v>
      </c>
      <c r="BH131" s="2" t="s">
        <v>1286</v>
      </c>
      <c r="BI131" s="2" t="s">
        <v>273</v>
      </c>
      <c r="BM131" s="113" t="s">
        <v>1227</v>
      </c>
      <c r="BQ131" s="14">
        <v>45804</v>
      </c>
      <c r="BR131" s="5">
        <v>45806</v>
      </c>
    </row>
    <row r="132" spans="1:70" ht="18" customHeight="1" x14ac:dyDescent="0.3">
      <c r="A132" s="2">
        <v>132</v>
      </c>
      <c r="B132" s="2">
        <v>6873212</v>
      </c>
      <c r="C132" s="111">
        <v>45729</v>
      </c>
      <c r="D132" s="2">
        <v>142107</v>
      </c>
      <c r="E132" s="2" t="s">
        <v>840</v>
      </c>
      <c r="F132" s="8" t="s">
        <v>219</v>
      </c>
      <c r="G132" s="8" t="s">
        <v>650</v>
      </c>
      <c r="H132" s="8" t="s">
        <v>1146</v>
      </c>
      <c r="I132" s="83">
        <v>50149</v>
      </c>
      <c r="J132" s="2" t="s">
        <v>142</v>
      </c>
      <c r="K132" s="2" t="s">
        <v>126</v>
      </c>
      <c r="L132" s="2" t="s">
        <v>854</v>
      </c>
      <c r="M132" s="78">
        <v>45799</v>
      </c>
      <c r="N132" s="56" t="s">
        <v>1288</v>
      </c>
      <c r="Q132" s="67">
        <f t="shared" si="8"/>
        <v>3</v>
      </c>
      <c r="R132" s="29">
        <f t="shared" si="9"/>
        <v>8</v>
      </c>
      <c r="T132" s="1"/>
      <c r="U132" s="1" t="s">
        <v>1147</v>
      </c>
      <c r="V132" s="1" t="s">
        <v>844</v>
      </c>
      <c r="W132" s="64" t="s">
        <v>380</v>
      </c>
      <c r="X132" s="2">
        <v>20255057573</v>
      </c>
      <c r="Y132" s="14">
        <v>45735</v>
      </c>
      <c r="Z132" s="14">
        <v>45800</v>
      </c>
      <c r="AA132" s="4">
        <v>45801</v>
      </c>
      <c r="AB132" s="4">
        <v>45801</v>
      </c>
      <c r="AC132" s="14">
        <v>45804</v>
      </c>
      <c r="AD132" s="2" t="s">
        <v>1148</v>
      </c>
      <c r="AE132" s="2" t="s">
        <v>1149</v>
      </c>
      <c r="AF132" s="2">
        <v>5</v>
      </c>
      <c r="AG132" s="2">
        <v>1360.5</v>
      </c>
      <c r="AH132" s="2"/>
      <c r="AI132" s="2" t="s">
        <v>180</v>
      </c>
      <c r="AJ132" s="2"/>
      <c r="AK132" s="4">
        <v>45798</v>
      </c>
      <c r="AL132" s="14">
        <v>45799</v>
      </c>
      <c r="AM132" s="14">
        <v>45799</v>
      </c>
      <c r="AN132" s="2"/>
      <c r="AO132" s="2">
        <v>2254501</v>
      </c>
      <c r="AP132" s="14">
        <v>45801</v>
      </c>
      <c r="AQ132" s="14">
        <v>45804</v>
      </c>
      <c r="AS132" s="14">
        <v>45805</v>
      </c>
      <c r="AT132" s="44">
        <v>50226</v>
      </c>
      <c r="AU132" s="1" t="s">
        <v>74</v>
      </c>
      <c r="AV132" s="14">
        <v>45805</v>
      </c>
      <c r="AW132" s="14">
        <v>45805</v>
      </c>
      <c r="AY132" s="2">
        <v>2411340</v>
      </c>
      <c r="AZ132" s="14">
        <v>45810</v>
      </c>
      <c r="BA132" s="1">
        <v>12278045</v>
      </c>
      <c r="BB132" s="2">
        <v>2210048</v>
      </c>
      <c r="BC132" s="14">
        <v>45810</v>
      </c>
      <c r="BD132" s="14">
        <v>45810</v>
      </c>
      <c r="BF132" s="5">
        <v>45811</v>
      </c>
      <c r="BG132" s="14">
        <v>45812</v>
      </c>
      <c r="BH132" s="2" t="s">
        <v>1286</v>
      </c>
      <c r="BI132" s="2" t="s">
        <v>273</v>
      </c>
      <c r="BM132" s="113" t="s">
        <v>1227</v>
      </c>
      <c r="BQ132" s="14">
        <v>45805</v>
      </c>
      <c r="BR132" s="5">
        <v>45806</v>
      </c>
    </row>
    <row r="133" spans="1:70" ht="18" customHeight="1" x14ac:dyDescent="0.3">
      <c r="A133" s="2">
        <v>133</v>
      </c>
      <c r="B133" s="2">
        <v>6881291</v>
      </c>
      <c r="C133" s="111">
        <v>45736</v>
      </c>
      <c r="D133" s="2">
        <v>61509</v>
      </c>
      <c r="E133" s="2" t="s">
        <v>840</v>
      </c>
      <c r="F133" s="8" t="s">
        <v>219</v>
      </c>
      <c r="G133" s="8" t="s">
        <v>650</v>
      </c>
      <c r="H133" s="8" t="s">
        <v>1150</v>
      </c>
      <c r="I133" s="83">
        <v>50150</v>
      </c>
      <c r="J133" s="2" t="s">
        <v>142</v>
      </c>
      <c r="K133" s="2" t="s">
        <v>126</v>
      </c>
      <c r="L133" s="2" t="s">
        <v>854</v>
      </c>
      <c r="M133" s="78">
        <v>45799</v>
      </c>
      <c r="N133" s="56" t="s">
        <v>1289</v>
      </c>
      <c r="Q133" s="67">
        <f t="shared" ref="Q133:Q142" si="10">AQ133-AB133</f>
        <v>3</v>
      </c>
      <c r="R133" s="29">
        <f t="shared" ref="R133:R142" si="11">BG133-AC133</f>
        <v>9</v>
      </c>
      <c r="T133" s="1"/>
      <c r="U133" s="1" t="s">
        <v>1151</v>
      </c>
      <c r="V133" s="1" t="s">
        <v>844</v>
      </c>
      <c r="W133" s="64" t="s">
        <v>380</v>
      </c>
      <c r="X133" s="2">
        <v>20255057562</v>
      </c>
      <c r="Y133" s="14">
        <v>45735</v>
      </c>
      <c r="Z133" s="14">
        <v>45800</v>
      </c>
      <c r="AA133" s="4">
        <v>45800</v>
      </c>
      <c r="AB133" s="4">
        <v>45800</v>
      </c>
      <c r="AC133" s="14">
        <v>45803</v>
      </c>
      <c r="AD133" s="2" t="s">
        <v>1152</v>
      </c>
      <c r="AE133" s="2" t="s">
        <v>1153</v>
      </c>
      <c r="AF133" s="2">
        <v>2</v>
      </c>
      <c r="AG133" s="2">
        <v>597.5</v>
      </c>
      <c r="AH133" s="2"/>
      <c r="AI133" s="2" t="s">
        <v>180</v>
      </c>
      <c r="AJ133" s="2"/>
      <c r="AK133" s="4">
        <v>45798</v>
      </c>
      <c r="AL133" s="14">
        <v>45799</v>
      </c>
      <c r="AM133" s="14">
        <v>45799</v>
      </c>
      <c r="AN133" s="2"/>
      <c r="AO133" s="2">
        <v>2252494</v>
      </c>
      <c r="AP133" s="14">
        <v>45801</v>
      </c>
      <c r="AQ133" s="14">
        <v>45803</v>
      </c>
      <c r="AS133" s="14">
        <v>45804</v>
      </c>
      <c r="AT133" s="44">
        <v>50217</v>
      </c>
      <c r="AU133" s="1" t="s">
        <v>74</v>
      </c>
      <c r="AV133" s="14">
        <v>45804</v>
      </c>
      <c r="AW133" s="14">
        <v>45804</v>
      </c>
      <c r="AY133" s="2">
        <v>2411343</v>
      </c>
      <c r="AZ133" s="14">
        <v>45810</v>
      </c>
      <c r="BA133" s="1">
        <v>5314378</v>
      </c>
      <c r="BB133" s="2">
        <v>956588</v>
      </c>
      <c r="BC133" s="14">
        <v>45810</v>
      </c>
      <c r="BD133" s="14">
        <v>45810</v>
      </c>
      <c r="BF133" s="5">
        <v>45811</v>
      </c>
      <c r="BG133" s="14">
        <v>45812</v>
      </c>
      <c r="BH133" s="2" t="s">
        <v>1286</v>
      </c>
      <c r="BI133" s="2" t="s">
        <v>273</v>
      </c>
      <c r="BM133" s="113" t="s">
        <v>1227</v>
      </c>
      <c r="BQ133" s="14">
        <v>45804</v>
      </c>
      <c r="BR133" s="5">
        <v>45806</v>
      </c>
    </row>
    <row r="134" spans="1:70" ht="18" customHeight="1" x14ac:dyDescent="0.3">
      <c r="A134" s="2">
        <v>134</v>
      </c>
      <c r="B134" s="2">
        <v>6928713</v>
      </c>
      <c r="C134" s="111">
        <v>45792</v>
      </c>
      <c r="D134" s="45">
        <v>84050</v>
      </c>
      <c r="E134" s="2" t="s">
        <v>840</v>
      </c>
      <c r="F134" s="8" t="s">
        <v>648</v>
      </c>
      <c r="G134" s="8" t="s">
        <v>1186</v>
      </c>
      <c r="H134" s="8" t="s">
        <v>446</v>
      </c>
      <c r="I134" s="83">
        <v>50199</v>
      </c>
      <c r="J134" s="2" t="s">
        <v>142</v>
      </c>
      <c r="K134" s="2" t="s">
        <v>126</v>
      </c>
      <c r="L134" s="2" t="s">
        <v>854</v>
      </c>
      <c r="M134" s="78">
        <v>45803</v>
      </c>
      <c r="N134" s="56" t="s">
        <v>1295</v>
      </c>
      <c r="Q134" s="67">
        <f t="shared" si="10"/>
        <v>2</v>
      </c>
      <c r="R134" s="29">
        <f t="shared" si="11"/>
        <v>7</v>
      </c>
      <c r="T134" s="1"/>
      <c r="U134" s="1" t="s">
        <v>1159</v>
      </c>
      <c r="V134" s="2" t="s">
        <v>1473</v>
      </c>
      <c r="W134" s="64" t="s">
        <v>426</v>
      </c>
      <c r="X134" s="2">
        <v>20255059530</v>
      </c>
      <c r="Y134" s="14">
        <v>45799</v>
      </c>
      <c r="Z134" s="14">
        <v>45805</v>
      </c>
      <c r="AA134" s="4">
        <v>45803</v>
      </c>
      <c r="AB134" s="4">
        <v>45803</v>
      </c>
      <c r="AC134" s="14">
        <v>45805</v>
      </c>
      <c r="AD134" s="2" t="s">
        <v>1188</v>
      </c>
      <c r="AE134" s="2" t="s">
        <v>1187</v>
      </c>
      <c r="AF134" s="2">
        <v>2</v>
      </c>
      <c r="AG134" s="2">
        <v>286</v>
      </c>
      <c r="AH134" s="2"/>
      <c r="AI134" s="2" t="s">
        <v>180</v>
      </c>
      <c r="AJ134" s="2"/>
      <c r="AK134" s="4">
        <v>45803</v>
      </c>
      <c r="AL134" s="14">
        <v>45803</v>
      </c>
      <c r="AM134" s="14">
        <v>45803</v>
      </c>
      <c r="AN134" s="2"/>
      <c r="AO134" s="2">
        <v>2300022</v>
      </c>
      <c r="AP134" s="14">
        <v>45804</v>
      </c>
      <c r="AQ134" s="14">
        <v>45805</v>
      </c>
      <c r="AS134" s="14">
        <v>45806</v>
      </c>
      <c r="AT134" s="44">
        <v>50248</v>
      </c>
      <c r="AU134" s="1" t="s">
        <v>74</v>
      </c>
      <c r="AV134" s="14">
        <v>45806</v>
      </c>
      <c r="AW134" s="14">
        <v>45806</v>
      </c>
      <c r="AY134" s="2">
        <v>2411341</v>
      </c>
      <c r="AZ134" s="14">
        <v>45810</v>
      </c>
      <c r="BA134" s="1">
        <v>7261920</v>
      </c>
      <c r="BB134" s="2">
        <v>1307146</v>
      </c>
      <c r="BC134" s="14">
        <v>45810</v>
      </c>
      <c r="BD134" s="14">
        <v>45810</v>
      </c>
      <c r="BF134" s="5">
        <v>45811</v>
      </c>
      <c r="BG134" s="14">
        <v>45812</v>
      </c>
      <c r="BH134" s="2" t="s">
        <v>1293</v>
      </c>
      <c r="BI134" s="2" t="s">
        <v>273</v>
      </c>
      <c r="BQ134" s="14">
        <v>45806</v>
      </c>
      <c r="BR134" s="5">
        <v>45807</v>
      </c>
    </row>
    <row r="135" spans="1:70" ht="18" customHeight="1" x14ac:dyDescent="0.3">
      <c r="A135" s="2">
        <v>135</v>
      </c>
      <c r="B135" s="2">
        <v>6927734</v>
      </c>
      <c r="C135" s="111">
        <v>45791</v>
      </c>
      <c r="D135" s="45">
        <v>168100</v>
      </c>
      <c r="E135" s="2" t="s">
        <v>840</v>
      </c>
      <c r="F135" s="8" t="s">
        <v>648</v>
      </c>
      <c r="G135" s="8" t="s">
        <v>1186</v>
      </c>
      <c r="H135" s="8" t="s">
        <v>749</v>
      </c>
      <c r="I135" s="83">
        <v>50198</v>
      </c>
      <c r="J135" s="2" t="s">
        <v>142</v>
      </c>
      <c r="K135" s="2" t="s">
        <v>126</v>
      </c>
      <c r="L135" s="2" t="s">
        <v>854</v>
      </c>
      <c r="M135" s="78">
        <v>45803</v>
      </c>
      <c r="N135" s="56" t="s">
        <v>1294</v>
      </c>
      <c r="Q135" s="67">
        <f t="shared" si="10"/>
        <v>2</v>
      </c>
      <c r="R135" s="29">
        <f t="shared" si="11"/>
        <v>7</v>
      </c>
      <c r="T135" s="1"/>
      <c r="U135" s="1" t="s">
        <v>1159</v>
      </c>
      <c r="V135" s="2" t="s">
        <v>1473</v>
      </c>
      <c r="W135" s="64" t="s">
        <v>426</v>
      </c>
      <c r="X135" s="2">
        <v>20255059518</v>
      </c>
      <c r="Y135" s="14">
        <v>45799</v>
      </c>
      <c r="Z135" s="14">
        <v>45805</v>
      </c>
      <c r="AA135" s="4">
        <v>45803</v>
      </c>
      <c r="AB135" s="4">
        <v>45803</v>
      </c>
      <c r="AC135" s="14">
        <v>45805</v>
      </c>
      <c r="AD135" s="2" t="s">
        <v>1188</v>
      </c>
      <c r="AE135" s="2" t="s">
        <v>1189</v>
      </c>
      <c r="AF135" s="2">
        <v>3</v>
      </c>
      <c r="AG135" s="2">
        <v>581</v>
      </c>
      <c r="AH135" s="2"/>
      <c r="AI135" s="2" t="s">
        <v>180</v>
      </c>
      <c r="AJ135" s="2"/>
      <c r="AK135" s="4">
        <v>45803</v>
      </c>
      <c r="AL135" s="14">
        <v>45803</v>
      </c>
      <c r="AM135" s="14">
        <v>45803</v>
      </c>
      <c r="AN135" s="2"/>
      <c r="AO135" s="2">
        <v>2301476</v>
      </c>
      <c r="AP135" s="14">
        <v>45804</v>
      </c>
      <c r="AQ135" s="14">
        <v>45805</v>
      </c>
      <c r="AS135" s="14">
        <v>45806</v>
      </c>
      <c r="AT135" s="44">
        <v>50245</v>
      </c>
      <c r="AU135" s="1" t="s">
        <v>74</v>
      </c>
      <c r="AV135" s="14">
        <v>45806</v>
      </c>
      <c r="AW135" s="14">
        <v>45807</v>
      </c>
      <c r="AY135" s="2">
        <v>2411344</v>
      </c>
      <c r="AZ135" s="14">
        <v>45810</v>
      </c>
      <c r="BA135" s="1">
        <v>14523840</v>
      </c>
      <c r="BB135" s="2">
        <v>2614291</v>
      </c>
      <c r="BC135" s="14">
        <v>45810</v>
      </c>
      <c r="BD135" s="14">
        <v>45810</v>
      </c>
      <c r="BF135" s="5">
        <v>45811</v>
      </c>
      <c r="BG135" s="14">
        <v>45812</v>
      </c>
      <c r="BH135" s="2" t="s">
        <v>1293</v>
      </c>
      <c r="BI135" s="2" t="s">
        <v>273</v>
      </c>
      <c r="BQ135" s="14">
        <v>45807</v>
      </c>
      <c r="BR135" s="5">
        <v>45807</v>
      </c>
    </row>
    <row r="136" spans="1:70" ht="18" customHeight="1" x14ac:dyDescent="0.3">
      <c r="A136" s="2">
        <v>136</v>
      </c>
      <c r="B136" s="2">
        <v>6927725</v>
      </c>
      <c r="C136" s="111">
        <v>45791</v>
      </c>
      <c r="D136" s="2">
        <v>141204</v>
      </c>
      <c r="E136" s="2" t="s">
        <v>840</v>
      </c>
      <c r="F136" s="8" t="s">
        <v>648</v>
      </c>
      <c r="G136" s="8" t="s">
        <v>646</v>
      </c>
      <c r="H136" s="8" t="s">
        <v>1155</v>
      </c>
      <c r="I136" s="83">
        <v>50163</v>
      </c>
      <c r="J136" s="2" t="s">
        <v>142</v>
      </c>
      <c r="K136" s="2" t="s">
        <v>126</v>
      </c>
      <c r="L136" s="2" t="s">
        <v>854</v>
      </c>
      <c r="M136" s="78">
        <v>45803</v>
      </c>
      <c r="N136" s="56" t="s">
        <v>1304</v>
      </c>
      <c r="Q136" s="67">
        <f t="shared" si="10"/>
        <v>2</v>
      </c>
      <c r="R136" s="29">
        <f t="shared" si="11"/>
        <v>6</v>
      </c>
      <c r="T136" s="1"/>
      <c r="U136" s="1" t="s">
        <v>1129</v>
      </c>
      <c r="V136" s="2" t="s">
        <v>161</v>
      </c>
      <c r="W136" s="64" t="s">
        <v>454</v>
      </c>
      <c r="X136" s="2">
        <v>20255058958</v>
      </c>
      <c r="Y136" s="14">
        <v>45798</v>
      </c>
      <c r="Z136" s="14">
        <v>45803</v>
      </c>
      <c r="AA136" s="4">
        <v>45805</v>
      </c>
      <c r="AB136" s="4">
        <v>45805</v>
      </c>
      <c r="AC136" s="14">
        <v>45807</v>
      </c>
      <c r="AD136" s="2">
        <v>21704813340</v>
      </c>
      <c r="AE136" s="2" t="s">
        <v>1156</v>
      </c>
      <c r="AF136" s="2">
        <v>2</v>
      </c>
      <c r="AG136" s="2">
        <v>485</v>
      </c>
      <c r="AH136" s="2"/>
      <c r="AI136" s="2" t="s">
        <v>180</v>
      </c>
      <c r="AJ136" s="2"/>
      <c r="AK136" s="4">
        <v>45800</v>
      </c>
      <c r="AL136" s="14">
        <v>45800</v>
      </c>
      <c r="AM136" s="4">
        <v>45800</v>
      </c>
      <c r="AN136" s="2"/>
      <c r="AO136" s="2">
        <v>2343258</v>
      </c>
      <c r="AP136" s="14">
        <v>45806</v>
      </c>
      <c r="AQ136" s="14">
        <v>45807</v>
      </c>
      <c r="AS136" s="14">
        <v>45808</v>
      </c>
      <c r="AT136" s="44">
        <v>50262</v>
      </c>
      <c r="AU136" s="1" t="s">
        <v>74</v>
      </c>
      <c r="AV136" s="14">
        <v>45808</v>
      </c>
      <c r="AW136" s="14">
        <v>45809</v>
      </c>
      <c r="AY136" s="2">
        <v>2430144</v>
      </c>
      <c r="AZ136" s="14">
        <v>45811</v>
      </c>
      <c r="BA136" s="1">
        <v>12200026</v>
      </c>
      <c r="BB136" s="2">
        <v>2196005</v>
      </c>
      <c r="BC136" s="14">
        <v>45811</v>
      </c>
      <c r="BD136" s="14">
        <v>45811</v>
      </c>
      <c r="BF136" s="5">
        <v>45812</v>
      </c>
      <c r="BG136" s="14">
        <v>45813</v>
      </c>
      <c r="BH136" s="2" t="s">
        <v>1303</v>
      </c>
      <c r="BI136" s="2" t="s">
        <v>282</v>
      </c>
      <c r="BQ136" s="14">
        <v>45809</v>
      </c>
      <c r="BR136" s="5">
        <v>45810</v>
      </c>
    </row>
    <row r="137" spans="1:70" ht="18" customHeight="1" x14ac:dyDescent="0.3">
      <c r="A137" s="2">
        <v>137</v>
      </c>
      <c r="B137" s="2">
        <v>6873249</v>
      </c>
      <c r="C137" s="111">
        <v>45777</v>
      </c>
      <c r="D137" s="45">
        <v>174525</v>
      </c>
      <c r="E137" s="2" t="s">
        <v>840</v>
      </c>
      <c r="F137" s="8" t="s">
        <v>224</v>
      </c>
      <c r="G137" s="8" t="s">
        <v>1113</v>
      </c>
      <c r="H137" s="8" t="s">
        <v>525</v>
      </c>
      <c r="I137" s="83">
        <v>50200</v>
      </c>
      <c r="J137" s="2" t="s">
        <v>142</v>
      </c>
      <c r="K137" s="2" t="s">
        <v>126</v>
      </c>
      <c r="L137" s="2" t="s">
        <v>854</v>
      </c>
      <c r="M137" s="78">
        <v>45804</v>
      </c>
      <c r="N137" s="56" t="s">
        <v>1305</v>
      </c>
      <c r="Q137" s="67">
        <f t="shared" si="10"/>
        <v>2</v>
      </c>
      <c r="R137" s="29">
        <f t="shared" si="11"/>
        <v>6</v>
      </c>
      <c r="T137" s="1"/>
      <c r="U137" s="1" t="s">
        <v>1182</v>
      </c>
      <c r="V137" s="2" t="s">
        <v>161</v>
      </c>
      <c r="W137" s="64" t="s">
        <v>454</v>
      </c>
      <c r="X137" s="2">
        <v>20255060064</v>
      </c>
      <c r="Y137" s="14">
        <v>45801</v>
      </c>
      <c r="Z137" s="14">
        <v>45806</v>
      </c>
      <c r="AA137" s="4">
        <v>45805</v>
      </c>
      <c r="AB137" s="4">
        <v>45805</v>
      </c>
      <c r="AC137" s="14">
        <v>45807</v>
      </c>
      <c r="AD137" s="2" t="s">
        <v>1183</v>
      </c>
      <c r="AE137" s="2" t="s">
        <v>1184</v>
      </c>
      <c r="AF137" s="2">
        <v>5</v>
      </c>
      <c r="AG137" s="2">
        <v>1462.5</v>
      </c>
      <c r="AH137" s="2"/>
      <c r="AI137" s="2" t="s">
        <v>180</v>
      </c>
      <c r="AJ137" s="2"/>
      <c r="AK137" s="4">
        <v>45803</v>
      </c>
      <c r="AL137" s="14">
        <v>45803</v>
      </c>
      <c r="AM137" s="14">
        <v>45803</v>
      </c>
      <c r="AN137" s="2"/>
      <c r="AO137" s="2">
        <v>2343754</v>
      </c>
      <c r="AP137" s="14">
        <v>45806</v>
      </c>
      <c r="AQ137" s="14">
        <v>45807</v>
      </c>
      <c r="AS137" s="14">
        <v>45807</v>
      </c>
      <c r="AT137" s="44">
        <v>50255</v>
      </c>
      <c r="AU137" s="1" t="s">
        <v>74</v>
      </c>
      <c r="AV137" s="14">
        <v>45807</v>
      </c>
      <c r="AW137" s="14">
        <v>45808</v>
      </c>
      <c r="AY137" s="2">
        <v>2430146</v>
      </c>
      <c r="AZ137" s="14">
        <v>45811</v>
      </c>
      <c r="BA137" s="1">
        <v>15078960</v>
      </c>
      <c r="BB137" s="2">
        <v>2714213</v>
      </c>
      <c r="BC137" s="14">
        <v>45811</v>
      </c>
      <c r="BD137" s="14">
        <v>45811</v>
      </c>
      <c r="BF137" s="5">
        <v>45812</v>
      </c>
      <c r="BG137" s="14">
        <v>45813</v>
      </c>
      <c r="BH137" s="2" t="s">
        <v>1303</v>
      </c>
      <c r="BI137" s="2" t="s">
        <v>282</v>
      </c>
      <c r="BQ137" s="14">
        <v>45808</v>
      </c>
      <c r="BR137" s="5">
        <v>45810</v>
      </c>
    </row>
    <row r="138" spans="1:70" ht="18" customHeight="1" x14ac:dyDescent="0.3">
      <c r="A138" s="2">
        <v>138</v>
      </c>
      <c r="B138" s="8" t="s">
        <v>1101</v>
      </c>
      <c r="C138" s="112" t="s">
        <v>1102</v>
      </c>
      <c r="D138" s="8" t="s">
        <v>1103</v>
      </c>
      <c r="E138" s="2" t="s">
        <v>840</v>
      </c>
      <c r="F138" s="8" t="s">
        <v>1104</v>
      </c>
      <c r="G138" s="8" t="s">
        <v>1105</v>
      </c>
      <c r="H138" s="8" t="s">
        <v>1106</v>
      </c>
      <c r="I138" s="83">
        <v>50118</v>
      </c>
      <c r="J138" s="2" t="s">
        <v>142</v>
      </c>
      <c r="K138" s="2" t="s">
        <v>126</v>
      </c>
      <c r="L138" s="2" t="s">
        <v>854</v>
      </c>
      <c r="M138" s="78">
        <v>45796</v>
      </c>
      <c r="N138" s="56" t="s">
        <v>1307</v>
      </c>
      <c r="Q138" s="67">
        <f t="shared" si="10"/>
        <v>2</v>
      </c>
      <c r="R138" s="29">
        <f t="shared" si="11"/>
        <v>13</v>
      </c>
      <c r="T138" s="1"/>
      <c r="U138" s="1" t="s">
        <v>1107</v>
      </c>
      <c r="V138" s="2" t="s">
        <v>626</v>
      </c>
      <c r="W138" s="64" t="s">
        <v>627</v>
      </c>
      <c r="X138" s="2">
        <v>20255056497</v>
      </c>
      <c r="Y138" s="14">
        <v>45792</v>
      </c>
      <c r="Z138" s="14">
        <v>45799</v>
      </c>
      <c r="AA138" s="4">
        <v>45798</v>
      </c>
      <c r="AB138" s="4">
        <v>45798</v>
      </c>
      <c r="AC138" s="14">
        <v>45800</v>
      </c>
      <c r="AD138" s="2" t="s">
        <v>1090</v>
      </c>
      <c r="AE138" s="2" t="s">
        <v>1108</v>
      </c>
      <c r="AF138" s="2">
        <v>4</v>
      </c>
      <c r="AG138" s="2">
        <v>1083</v>
      </c>
      <c r="AH138" s="2"/>
      <c r="AI138" s="2" t="s">
        <v>180</v>
      </c>
      <c r="AJ138" s="2"/>
      <c r="AK138" s="4">
        <v>45795</v>
      </c>
      <c r="AL138" s="14">
        <v>45796</v>
      </c>
      <c r="AM138" s="4">
        <v>45797</v>
      </c>
      <c r="AN138" s="2"/>
      <c r="AO138" s="2">
        <v>2185031</v>
      </c>
      <c r="AP138" s="14">
        <v>45798</v>
      </c>
      <c r="AQ138" s="14">
        <v>45800</v>
      </c>
      <c r="AS138" s="14">
        <v>45805</v>
      </c>
      <c r="AT138" s="44">
        <v>50236</v>
      </c>
      <c r="AU138" s="1" t="s">
        <v>74</v>
      </c>
      <c r="AV138" s="14">
        <v>45805</v>
      </c>
      <c r="AW138" s="14">
        <v>45806</v>
      </c>
      <c r="AY138" s="2">
        <v>2430147</v>
      </c>
      <c r="AZ138" s="14">
        <v>45811</v>
      </c>
      <c r="BA138" s="1">
        <v>8972640</v>
      </c>
      <c r="BB138" s="2">
        <v>1615075</v>
      </c>
      <c r="BC138" s="14">
        <v>45811</v>
      </c>
      <c r="BD138" s="14">
        <v>45811</v>
      </c>
      <c r="BF138" s="5">
        <v>45812</v>
      </c>
      <c r="BG138" s="14">
        <v>45813</v>
      </c>
      <c r="BH138" s="2" t="s">
        <v>1306</v>
      </c>
      <c r="BI138" s="2" t="s">
        <v>282</v>
      </c>
      <c r="BQ138" s="14">
        <v>45837</v>
      </c>
      <c r="BR138" s="5">
        <v>45810</v>
      </c>
    </row>
    <row r="139" spans="1:70" ht="18" customHeight="1" x14ac:dyDescent="0.3">
      <c r="A139" s="2">
        <v>139</v>
      </c>
      <c r="B139" s="2">
        <v>6873217</v>
      </c>
      <c r="C139" s="103">
        <v>45776</v>
      </c>
      <c r="D139" s="45">
        <v>174525</v>
      </c>
      <c r="E139" s="2" t="s">
        <v>840</v>
      </c>
      <c r="F139" s="8" t="s">
        <v>224</v>
      </c>
      <c r="G139" s="8" t="s">
        <v>1113</v>
      </c>
      <c r="H139" s="8" t="s">
        <v>525</v>
      </c>
      <c r="I139" s="83">
        <v>50117</v>
      </c>
      <c r="J139" s="2" t="s">
        <v>142</v>
      </c>
      <c r="K139" s="2" t="s">
        <v>126</v>
      </c>
      <c r="L139" s="2" t="s">
        <v>854</v>
      </c>
      <c r="M139" s="78">
        <v>45797</v>
      </c>
      <c r="N139" s="56" t="s">
        <v>1308</v>
      </c>
      <c r="Q139" s="67">
        <f t="shared" si="10"/>
        <v>2</v>
      </c>
      <c r="R139" s="29">
        <f t="shared" si="11"/>
        <v>14</v>
      </c>
      <c r="T139" s="1"/>
      <c r="U139" s="1" t="s">
        <v>750</v>
      </c>
      <c r="V139" s="2" t="s">
        <v>626</v>
      </c>
      <c r="W139" s="64" t="s">
        <v>627</v>
      </c>
      <c r="X139" s="2">
        <v>20255055938</v>
      </c>
      <c r="Y139" s="14">
        <v>45791</v>
      </c>
      <c r="Z139" s="14">
        <v>45796</v>
      </c>
      <c r="AA139" s="4">
        <v>45797</v>
      </c>
      <c r="AB139" s="4">
        <v>45797</v>
      </c>
      <c r="AC139" s="14">
        <v>45799</v>
      </c>
      <c r="AD139" s="2" t="s">
        <v>1114</v>
      </c>
      <c r="AE139" s="2" t="s">
        <v>1115</v>
      </c>
      <c r="AF139" s="2">
        <v>5</v>
      </c>
      <c r="AG139" s="2">
        <v>1590</v>
      </c>
      <c r="AH139" s="2"/>
      <c r="AI139" s="2" t="s">
        <v>180</v>
      </c>
      <c r="AJ139" s="2"/>
      <c r="AK139" s="4">
        <v>45796</v>
      </c>
      <c r="AL139" s="14">
        <v>45796</v>
      </c>
      <c r="AM139" s="4">
        <v>45797</v>
      </c>
      <c r="AN139" s="2"/>
      <c r="AO139" s="2">
        <v>2165415</v>
      </c>
      <c r="AP139" s="14">
        <v>45797</v>
      </c>
      <c r="AQ139" s="14">
        <v>45799</v>
      </c>
      <c r="AS139" s="14">
        <v>45805</v>
      </c>
      <c r="AT139" s="44">
        <v>50228</v>
      </c>
      <c r="AU139" s="1" t="s">
        <v>74</v>
      </c>
      <c r="AV139" s="14">
        <v>45805</v>
      </c>
      <c r="AW139" s="14">
        <v>45805</v>
      </c>
      <c r="AY139" s="2">
        <v>2430148</v>
      </c>
      <c r="AZ139" s="14">
        <v>45811</v>
      </c>
      <c r="BA139" s="1">
        <v>15078960</v>
      </c>
      <c r="BB139" s="2">
        <v>2714213</v>
      </c>
      <c r="BC139" s="14">
        <v>45811</v>
      </c>
      <c r="BD139" s="14">
        <v>45811</v>
      </c>
      <c r="BF139" s="5">
        <v>45812</v>
      </c>
      <c r="BG139" s="14">
        <v>45813</v>
      </c>
      <c r="BH139" s="2" t="s">
        <v>1306</v>
      </c>
      <c r="BI139" s="2" t="s">
        <v>282</v>
      </c>
      <c r="BQ139" s="14">
        <v>45805</v>
      </c>
      <c r="BR139" s="5">
        <v>45810</v>
      </c>
    </row>
    <row r="140" spans="1:70" ht="18" customHeight="1" x14ac:dyDescent="0.3">
      <c r="A140" s="2">
        <v>140</v>
      </c>
      <c r="B140" s="2">
        <v>6883211</v>
      </c>
      <c r="C140" s="75" t="s">
        <v>1102</v>
      </c>
      <c r="D140" s="45">
        <v>41540</v>
      </c>
      <c r="E140" s="2" t="s">
        <v>840</v>
      </c>
      <c r="F140" s="8" t="s">
        <v>219</v>
      </c>
      <c r="G140" s="8" t="s">
        <v>1117</v>
      </c>
      <c r="H140" s="8" t="s">
        <v>201</v>
      </c>
      <c r="I140" s="83">
        <v>50109</v>
      </c>
      <c r="J140" s="2" t="s">
        <v>142</v>
      </c>
      <c r="K140" s="2" t="s">
        <v>126</v>
      </c>
      <c r="L140" s="2" t="s">
        <v>854</v>
      </c>
      <c r="M140" s="78">
        <v>45796</v>
      </c>
      <c r="N140" s="56" t="s">
        <v>1316</v>
      </c>
      <c r="Q140" s="67">
        <f t="shared" si="10"/>
        <v>3</v>
      </c>
      <c r="R140" s="29">
        <f t="shared" si="11"/>
        <v>14</v>
      </c>
      <c r="T140" s="1">
        <v>265</v>
      </c>
      <c r="U140" s="1" t="s">
        <v>1110</v>
      </c>
      <c r="V140" s="2" t="s">
        <v>384</v>
      </c>
      <c r="W140" s="64" t="s">
        <v>421</v>
      </c>
      <c r="X140" s="2">
        <v>20255055957</v>
      </c>
      <c r="Y140" s="14">
        <v>45791</v>
      </c>
      <c r="Z140" s="14">
        <v>45796</v>
      </c>
      <c r="AA140" s="4">
        <v>45796</v>
      </c>
      <c r="AB140" s="4">
        <v>45797</v>
      </c>
      <c r="AC140" s="14">
        <v>45800</v>
      </c>
      <c r="AD140" s="2" t="s">
        <v>1111</v>
      </c>
      <c r="AE140" s="2" t="s">
        <v>1120</v>
      </c>
      <c r="AF140" s="2">
        <v>2</v>
      </c>
      <c r="AG140" s="2">
        <v>402.5</v>
      </c>
      <c r="AH140" s="2"/>
      <c r="AI140" s="2" t="s">
        <v>180</v>
      </c>
      <c r="AJ140" s="2"/>
      <c r="AK140" s="4">
        <v>45796</v>
      </c>
      <c r="AL140" s="14">
        <v>45796</v>
      </c>
      <c r="AM140" s="14">
        <v>45796</v>
      </c>
      <c r="AN140" s="2"/>
      <c r="AO140" s="2">
        <v>2183556</v>
      </c>
      <c r="AP140" s="14">
        <v>45798</v>
      </c>
      <c r="AQ140" s="14">
        <v>45800</v>
      </c>
      <c r="AS140" s="14">
        <v>45804</v>
      </c>
      <c r="AT140" s="44">
        <v>50223</v>
      </c>
      <c r="AU140" s="1" t="s">
        <v>74</v>
      </c>
      <c r="AV140" s="14">
        <v>45804</v>
      </c>
      <c r="AW140" s="14">
        <v>45805</v>
      </c>
      <c r="AY140" s="2">
        <v>2469952</v>
      </c>
      <c r="AZ140" s="14">
        <v>45813</v>
      </c>
      <c r="BA140" s="1">
        <v>3589056</v>
      </c>
      <c r="BB140" s="2">
        <v>646030</v>
      </c>
      <c r="BC140" s="14">
        <v>45813</v>
      </c>
      <c r="BD140" s="14">
        <v>45814</v>
      </c>
      <c r="BF140" s="5">
        <v>45814</v>
      </c>
      <c r="BG140" s="14">
        <v>45814</v>
      </c>
      <c r="BH140" s="2" t="s">
        <v>1315</v>
      </c>
      <c r="BI140" s="2" t="s">
        <v>273</v>
      </c>
      <c r="BQ140" s="14">
        <v>45805</v>
      </c>
      <c r="BR140" s="1"/>
    </row>
    <row r="141" spans="1:70" ht="18" customHeight="1" x14ac:dyDescent="0.3">
      <c r="A141" s="2">
        <v>141</v>
      </c>
      <c r="B141" s="1" t="s">
        <v>1132</v>
      </c>
      <c r="C141" s="111">
        <v>45790</v>
      </c>
      <c r="D141" s="6">
        <v>115570</v>
      </c>
      <c r="E141" s="2" t="s">
        <v>677</v>
      </c>
      <c r="F141" s="1" t="s">
        <v>345</v>
      </c>
      <c r="G141" s="8" t="s">
        <v>1133</v>
      </c>
      <c r="H141" s="1">
        <v>254</v>
      </c>
      <c r="I141" s="83">
        <v>50124</v>
      </c>
      <c r="J141" s="2" t="s">
        <v>142</v>
      </c>
      <c r="K141" s="2" t="s">
        <v>126</v>
      </c>
      <c r="L141" s="2" t="s">
        <v>854</v>
      </c>
      <c r="M141" s="78">
        <v>45799</v>
      </c>
      <c r="N141" s="56" t="s">
        <v>1321</v>
      </c>
      <c r="Q141" s="67">
        <f t="shared" si="10"/>
        <v>1</v>
      </c>
      <c r="R141" s="29">
        <f t="shared" si="11"/>
        <v>14</v>
      </c>
      <c r="T141" s="1"/>
      <c r="U141" s="8" t="s">
        <v>1134</v>
      </c>
      <c r="V141" s="2" t="s">
        <v>1179</v>
      </c>
      <c r="W141" s="64" t="s">
        <v>948</v>
      </c>
      <c r="X141" s="2" t="s">
        <v>1197</v>
      </c>
      <c r="Y141" s="14">
        <v>45798</v>
      </c>
      <c r="Z141" s="14">
        <v>45803</v>
      </c>
      <c r="AA141" s="4">
        <v>45798</v>
      </c>
      <c r="AB141" s="4">
        <v>45799</v>
      </c>
      <c r="AC141" s="14">
        <v>45800</v>
      </c>
      <c r="AD141" s="2" t="s">
        <v>1135</v>
      </c>
      <c r="AE141" s="2">
        <v>412656214</v>
      </c>
      <c r="AF141" s="2">
        <v>2</v>
      </c>
      <c r="AG141" s="2">
        <v>30</v>
      </c>
      <c r="AH141" s="2"/>
      <c r="AI141" s="2" t="s">
        <v>179</v>
      </c>
      <c r="AJ141" s="2"/>
      <c r="AK141" s="4">
        <v>45797</v>
      </c>
      <c r="AL141" s="14">
        <v>45797</v>
      </c>
      <c r="AM141" s="14">
        <v>45797</v>
      </c>
      <c r="AN141" s="2"/>
      <c r="AO141" s="2">
        <v>2205996</v>
      </c>
      <c r="AP141" s="14">
        <v>45799</v>
      </c>
      <c r="AQ141" s="14">
        <v>45800</v>
      </c>
      <c r="AS141" s="14">
        <v>45803</v>
      </c>
      <c r="AT141" s="44">
        <v>50206</v>
      </c>
      <c r="AU141" s="1" t="s">
        <v>74</v>
      </c>
      <c r="AV141" s="14">
        <v>45803</v>
      </c>
      <c r="AW141" s="14">
        <v>45804</v>
      </c>
      <c r="AY141" s="2">
        <v>2411338</v>
      </c>
      <c r="AZ141" s="14">
        <v>45810</v>
      </c>
      <c r="BA141" s="1">
        <v>9985248</v>
      </c>
      <c r="BB141" s="2">
        <v>1797345</v>
      </c>
      <c r="BC141" s="14">
        <v>45810</v>
      </c>
      <c r="BD141" s="14">
        <v>45810</v>
      </c>
      <c r="BF141" s="5">
        <v>45811</v>
      </c>
      <c r="BG141" s="14">
        <v>45814</v>
      </c>
      <c r="BH141" s="2" t="s">
        <v>1319</v>
      </c>
      <c r="BI141" s="2" t="s">
        <v>273</v>
      </c>
      <c r="BM141" s="113" t="s">
        <v>1227</v>
      </c>
      <c r="BQ141" s="14">
        <v>45804</v>
      </c>
      <c r="BR141" s="1" t="s">
        <v>1228</v>
      </c>
    </row>
    <row r="142" spans="1:70" ht="18" customHeight="1" x14ac:dyDescent="0.3">
      <c r="A142" s="2">
        <v>142</v>
      </c>
      <c r="B142" s="2">
        <v>6927726</v>
      </c>
      <c r="C142" s="111">
        <v>45791</v>
      </c>
      <c r="D142" s="45">
        <v>127756</v>
      </c>
      <c r="E142" s="2" t="s">
        <v>840</v>
      </c>
      <c r="F142" s="8" t="s">
        <v>648</v>
      </c>
      <c r="G142" s="8" t="s">
        <v>1186</v>
      </c>
      <c r="H142" s="8" t="s">
        <v>542</v>
      </c>
      <c r="I142" s="83">
        <v>50203</v>
      </c>
      <c r="J142" s="2" t="s">
        <v>142</v>
      </c>
      <c r="K142" s="2" t="s">
        <v>126</v>
      </c>
      <c r="L142" s="2" t="s">
        <v>854</v>
      </c>
      <c r="M142" s="78">
        <v>45803</v>
      </c>
      <c r="N142" s="56" t="s">
        <v>1318</v>
      </c>
      <c r="Q142" s="67">
        <f t="shared" si="10"/>
        <v>2</v>
      </c>
      <c r="R142" s="29">
        <f t="shared" si="11"/>
        <v>7</v>
      </c>
      <c r="T142" s="1"/>
      <c r="U142" s="1" t="s">
        <v>1195</v>
      </c>
      <c r="V142" s="2" t="s">
        <v>239</v>
      </c>
      <c r="W142" s="64" t="s">
        <v>454</v>
      </c>
      <c r="X142" s="2">
        <v>20255059654</v>
      </c>
      <c r="Y142" s="14">
        <v>45800</v>
      </c>
      <c r="Z142" s="14">
        <v>45806</v>
      </c>
      <c r="AA142" s="4">
        <v>45805</v>
      </c>
      <c r="AB142" s="4">
        <v>45805</v>
      </c>
      <c r="AC142" s="14">
        <v>45807</v>
      </c>
      <c r="AD142" s="2" t="s">
        <v>1183</v>
      </c>
      <c r="AE142" s="2" t="s">
        <v>1196</v>
      </c>
      <c r="AF142" s="2">
        <v>2</v>
      </c>
      <c r="AG142" s="2">
        <v>441</v>
      </c>
      <c r="AH142" s="2"/>
      <c r="AI142" s="2" t="s">
        <v>180</v>
      </c>
      <c r="AJ142" s="2"/>
      <c r="AK142" s="4">
        <v>45803</v>
      </c>
      <c r="AL142" s="14">
        <v>45803</v>
      </c>
      <c r="AM142" s="4">
        <v>45804</v>
      </c>
      <c r="AN142" s="2"/>
      <c r="AO142" s="2">
        <v>2342661</v>
      </c>
      <c r="AP142" s="14">
        <v>45806</v>
      </c>
      <c r="AQ142" s="14">
        <v>45807</v>
      </c>
      <c r="AS142" s="14">
        <v>45807</v>
      </c>
      <c r="AT142" s="44">
        <v>50256</v>
      </c>
      <c r="AU142" s="1" t="s">
        <v>74</v>
      </c>
      <c r="AV142" s="14">
        <v>45807</v>
      </c>
      <c r="AW142" s="14">
        <v>45809</v>
      </c>
      <c r="AY142" s="2">
        <v>2448715</v>
      </c>
      <c r="AZ142" s="14">
        <v>45812</v>
      </c>
      <c r="BA142" s="1">
        <v>11038118</v>
      </c>
      <c r="BB142" s="2">
        <v>1986861</v>
      </c>
      <c r="BC142" s="14">
        <v>45812</v>
      </c>
      <c r="BD142" s="14">
        <v>45812</v>
      </c>
      <c r="BF142" s="5">
        <v>45813</v>
      </c>
      <c r="BG142" s="14">
        <v>45814</v>
      </c>
      <c r="BH142" s="2" t="s">
        <v>1317</v>
      </c>
      <c r="BI142" s="2" t="s">
        <v>273</v>
      </c>
      <c r="BQ142" s="14">
        <v>45809</v>
      </c>
      <c r="BR142" s="5">
        <v>45811</v>
      </c>
    </row>
    <row r="143" spans="1:70" ht="18" customHeight="1" x14ac:dyDescent="0.3">
      <c r="A143" s="2">
        <v>143</v>
      </c>
      <c r="B143" s="2">
        <v>250513550</v>
      </c>
      <c r="C143" s="111">
        <v>45800</v>
      </c>
      <c r="D143" s="45">
        <v>489310.38</v>
      </c>
      <c r="E143" s="2" t="s">
        <v>677</v>
      </c>
      <c r="F143" s="2" t="s">
        <v>1198</v>
      </c>
      <c r="G143" s="8" t="s">
        <v>2503</v>
      </c>
      <c r="H143" s="2">
        <v>9</v>
      </c>
      <c r="I143" s="83">
        <v>50212</v>
      </c>
      <c r="J143" s="2" t="s">
        <v>142</v>
      </c>
      <c r="K143" s="2" t="s">
        <v>126</v>
      </c>
      <c r="L143" s="2" t="s">
        <v>854</v>
      </c>
      <c r="M143" s="78">
        <v>45805</v>
      </c>
      <c r="N143" s="56" t="s">
        <v>1320</v>
      </c>
      <c r="Q143" s="67">
        <f t="shared" ref="Q143" si="12">AQ143-AB143</f>
        <v>2</v>
      </c>
      <c r="R143" s="29">
        <f t="shared" ref="R143:R208" si="13">BG143-AC143</f>
        <v>7</v>
      </c>
      <c r="T143" s="1"/>
      <c r="U143" s="1" t="s">
        <v>1199</v>
      </c>
      <c r="V143" s="2" t="s">
        <v>755</v>
      </c>
      <c r="W143" s="1" t="s">
        <v>827</v>
      </c>
      <c r="X143" s="2" t="s">
        <v>1201</v>
      </c>
      <c r="Y143" s="14">
        <v>45803</v>
      </c>
      <c r="Z143" s="14">
        <v>45806</v>
      </c>
      <c r="AA143" s="4">
        <v>45805</v>
      </c>
      <c r="AB143" s="4">
        <v>45805</v>
      </c>
      <c r="AC143" s="14">
        <v>45807</v>
      </c>
      <c r="AD143" s="2" t="s">
        <v>1200</v>
      </c>
      <c r="AE143" s="2">
        <v>4840713587</v>
      </c>
      <c r="AF143" s="2">
        <v>1</v>
      </c>
      <c r="AG143" s="2">
        <v>53</v>
      </c>
      <c r="AH143" s="2"/>
      <c r="AI143" s="2" t="s">
        <v>179</v>
      </c>
      <c r="AJ143" s="2"/>
      <c r="AK143" s="4">
        <v>45804</v>
      </c>
      <c r="AL143" s="14">
        <v>45804</v>
      </c>
      <c r="AM143" s="4">
        <v>45804</v>
      </c>
      <c r="AN143" s="2"/>
      <c r="AO143" s="2">
        <v>2341758</v>
      </c>
      <c r="AP143" s="14">
        <v>45806</v>
      </c>
      <c r="AQ143" s="14">
        <v>45807</v>
      </c>
      <c r="AS143" s="14">
        <v>45808</v>
      </c>
      <c r="AT143" s="44">
        <v>50260</v>
      </c>
      <c r="AU143" s="1" t="s">
        <v>74</v>
      </c>
      <c r="AV143" s="14">
        <v>45808</v>
      </c>
      <c r="AW143" s="14">
        <v>45809</v>
      </c>
      <c r="AY143" s="2">
        <v>2448714</v>
      </c>
      <c r="AZ143" s="14">
        <v>45812</v>
      </c>
      <c r="BA143" s="1">
        <v>42276417</v>
      </c>
      <c r="BB143" s="2">
        <v>7609755</v>
      </c>
      <c r="BC143" s="14">
        <v>45812</v>
      </c>
      <c r="BD143" s="14">
        <v>45812</v>
      </c>
      <c r="BF143" s="5">
        <v>45813</v>
      </c>
      <c r="BG143" s="14">
        <v>45814</v>
      </c>
      <c r="BH143" s="2" t="s">
        <v>1319</v>
      </c>
      <c r="BI143" s="2" t="s">
        <v>273</v>
      </c>
      <c r="BQ143" s="14">
        <v>45809</v>
      </c>
      <c r="BR143" s="5">
        <v>45811</v>
      </c>
    </row>
    <row r="144" spans="1:70" ht="18" customHeight="1" x14ac:dyDescent="0.3">
      <c r="A144" s="2">
        <v>144</v>
      </c>
      <c r="B144" s="2">
        <v>6930779</v>
      </c>
      <c r="C144" s="111">
        <v>45797</v>
      </c>
      <c r="D144" s="45">
        <v>168100</v>
      </c>
      <c r="E144" s="2" t="s">
        <v>840</v>
      </c>
      <c r="F144" s="8" t="s">
        <v>648</v>
      </c>
      <c r="G144" s="8" t="s">
        <v>1186</v>
      </c>
      <c r="H144" s="8" t="s">
        <v>749</v>
      </c>
      <c r="I144" s="83">
        <v>50201</v>
      </c>
      <c r="J144" s="2" t="s">
        <v>142</v>
      </c>
      <c r="K144" s="2" t="s">
        <v>126</v>
      </c>
      <c r="L144" s="2" t="s">
        <v>854</v>
      </c>
      <c r="M144" s="78">
        <v>45805</v>
      </c>
      <c r="N144" s="56" t="s">
        <v>1359</v>
      </c>
      <c r="Q144" s="67">
        <f>AQ144-AB144</f>
        <v>2</v>
      </c>
      <c r="R144" s="29">
        <f t="shared" si="13"/>
        <v>11</v>
      </c>
      <c r="T144" s="1"/>
      <c r="U144" s="1" t="s">
        <v>1190</v>
      </c>
      <c r="V144" s="2" t="s">
        <v>335</v>
      </c>
      <c r="W144" s="64" t="s">
        <v>163</v>
      </c>
      <c r="X144" s="2">
        <v>20255060056</v>
      </c>
      <c r="Y144" s="14">
        <v>45800</v>
      </c>
      <c r="Z144" s="14">
        <v>45806</v>
      </c>
      <c r="AA144" s="4">
        <v>45806</v>
      </c>
      <c r="AB144" s="4">
        <v>45806</v>
      </c>
      <c r="AC144" s="14">
        <v>45808</v>
      </c>
      <c r="AD144" s="2" t="s">
        <v>1191</v>
      </c>
      <c r="AE144" s="2" t="s">
        <v>1192</v>
      </c>
      <c r="AF144" s="2">
        <v>3</v>
      </c>
      <c r="AG144" s="2">
        <v>575</v>
      </c>
      <c r="AH144" s="2"/>
      <c r="AI144" s="2" t="s">
        <v>180</v>
      </c>
      <c r="AJ144" s="2"/>
      <c r="AK144" s="4">
        <v>45803</v>
      </c>
      <c r="AL144" s="14">
        <v>45803</v>
      </c>
      <c r="AM144" s="14">
        <v>45803</v>
      </c>
      <c r="AN144" s="2"/>
      <c r="AO144" s="2">
        <v>2368869</v>
      </c>
      <c r="AP144" s="14">
        <v>45807</v>
      </c>
      <c r="AQ144" s="14">
        <v>45808</v>
      </c>
      <c r="AS144" s="14">
        <v>45810</v>
      </c>
      <c r="AT144" s="44">
        <v>50272</v>
      </c>
      <c r="AU144" s="1" t="s">
        <v>74</v>
      </c>
      <c r="AV144" s="14">
        <v>45810</v>
      </c>
      <c r="AW144" s="14">
        <v>45810</v>
      </c>
      <c r="AY144" s="2">
        <v>2539308</v>
      </c>
      <c r="AZ144" s="14">
        <v>45817</v>
      </c>
      <c r="BA144" s="1">
        <v>14582675</v>
      </c>
      <c r="BB144" s="2">
        <v>2624882</v>
      </c>
      <c r="BC144" s="14">
        <v>45817</v>
      </c>
      <c r="BD144" s="5">
        <v>45817</v>
      </c>
      <c r="BF144" s="5">
        <v>45818</v>
      </c>
      <c r="BG144" s="14">
        <v>45819</v>
      </c>
      <c r="BH144" s="1" t="s">
        <v>1358</v>
      </c>
      <c r="BI144" s="15" t="s">
        <v>273</v>
      </c>
      <c r="BQ144" s="14">
        <v>45810</v>
      </c>
      <c r="BR144" s="5">
        <v>45810</v>
      </c>
    </row>
    <row r="145" spans="1:70" ht="18" customHeight="1" x14ac:dyDescent="0.3">
      <c r="A145" s="2">
        <v>145</v>
      </c>
      <c r="B145" s="2">
        <v>6936906</v>
      </c>
      <c r="C145" s="111">
        <v>45806</v>
      </c>
      <c r="D145" s="2">
        <v>100860</v>
      </c>
      <c r="E145" s="2" t="s">
        <v>840</v>
      </c>
      <c r="F145" s="8" t="s">
        <v>648</v>
      </c>
      <c r="G145" s="8" t="s">
        <v>1186</v>
      </c>
      <c r="H145" s="8" t="s">
        <v>451</v>
      </c>
      <c r="I145" s="83">
        <v>50265</v>
      </c>
      <c r="J145" s="2" t="s">
        <v>142</v>
      </c>
      <c r="K145" s="2" t="s">
        <v>126</v>
      </c>
      <c r="L145" s="2" t="s">
        <v>854</v>
      </c>
      <c r="M145" s="78">
        <v>45811</v>
      </c>
      <c r="N145" s="56" t="s">
        <v>1357</v>
      </c>
      <c r="Q145" s="67">
        <f>AQ145-AB145</f>
        <v>2</v>
      </c>
      <c r="R145" s="29">
        <f t="shared" si="13"/>
        <v>7</v>
      </c>
      <c r="T145" s="1"/>
      <c r="U145" s="1" t="s">
        <v>1244</v>
      </c>
      <c r="V145" s="2" t="s">
        <v>1245</v>
      </c>
      <c r="W145" s="64" t="s">
        <v>421</v>
      </c>
      <c r="X145" s="2">
        <v>20255063248</v>
      </c>
      <c r="Y145" s="14">
        <v>45808</v>
      </c>
      <c r="Z145" s="14">
        <v>45813</v>
      </c>
      <c r="AA145" s="4">
        <v>45810</v>
      </c>
      <c r="AB145" s="4">
        <v>45810</v>
      </c>
      <c r="AC145" s="14">
        <v>45812</v>
      </c>
      <c r="AD145" s="2" t="s">
        <v>1246</v>
      </c>
      <c r="AE145" s="2" t="s">
        <v>1247</v>
      </c>
      <c r="AF145" s="2">
        <v>2</v>
      </c>
      <c r="AG145" s="2">
        <v>330</v>
      </c>
      <c r="AH145" s="2"/>
      <c r="AI145" s="2" t="s">
        <v>180</v>
      </c>
      <c r="AJ145" s="2"/>
      <c r="AK145" s="4">
        <v>45808</v>
      </c>
      <c r="AL145" s="14">
        <v>45808</v>
      </c>
      <c r="AM145" s="4">
        <v>45808</v>
      </c>
      <c r="AN145" s="2"/>
      <c r="AO145" s="2">
        <v>2435735</v>
      </c>
      <c r="AP145" s="14">
        <v>45811</v>
      </c>
      <c r="AQ145" s="14">
        <v>45812</v>
      </c>
      <c r="AS145" s="14">
        <v>45813</v>
      </c>
      <c r="AT145" s="44">
        <v>50318</v>
      </c>
      <c r="AU145" s="1" t="s">
        <v>74</v>
      </c>
      <c r="AV145" s="14">
        <v>45813</v>
      </c>
      <c r="AW145" s="14">
        <v>45813</v>
      </c>
      <c r="AY145" s="2">
        <v>2538990</v>
      </c>
      <c r="AZ145" s="14">
        <v>45817</v>
      </c>
      <c r="BA145" s="1">
        <v>8749605</v>
      </c>
      <c r="BB145" s="2">
        <v>1574929</v>
      </c>
      <c r="BC145" s="14">
        <v>45817</v>
      </c>
      <c r="BD145" s="14">
        <v>45817</v>
      </c>
      <c r="BF145" s="5">
        <v>45818</v>
      </c>
      <c r="BG145" s="14">
        <v>45819</v>
      </c>
      <c r="BH145" s="1" t="s">
        <v>1356</v>
      </c>
      <c r="BI145" s="1" t="s">
        <v>273</v>
      </c>
      <c r="BQ145" s="14">
        <v>45813</v>
      </c>
      <c r="BR145" s="5">
        <v>45814</v>
      </c>
    </row>
    <row r="146" spans="1:70" ht="18" customHeight="1" x14ac:dyDescent="0.3">
      <c r="A146" s="2">
        <v>146</v>
      </c>
      <c r="B146" s="2">
        <v>6936907</v>
      </c>
      <c r="C146" s="111">
        <v>45806</v>
      </c>
      <c r="D146" s="2">
        <v>184910</v>
      </c>
      <c r="E146" s="2" t="s">
        <v>840</v>
      </c>
      <c r="F146" s="8" t="s">
        <v>648</v>
      </c>
      <c r="G146" s="8" t="s">
        <v>1186</v>
      </c>
      <c r="H146" s="8">
        <v>55</v>
      </c>
      <c r="I146" s="83">
        <v>50266</v>
      </c>
      <c r="J146" s="2" t="s">
        <v>142</v>
      </c>
      <c r="K146" s="2" t="s">
        <v>126</v>
      </c>
      <c r="L146" s="2" t="s">
        <v>854</v>
      </c>
      <c r="M146" s="78">
        <v>45811</v>
      </c>
      <c r="N146" s="56" t="s">
        <v>1360</v>
      </c>
      <c r="Q146" s="67">
        <f>AQ146-AB146</f>
        <v>2</v>
      </c>
      <c r="R146" s="29">
        <f t="shared" si="13"/>
        <v>7</v>
      </c>
      <c r="T146" s="1"/>
      <c r="U146" s="1" t="s">
        <v>1248</v>
      </c>
      <c r="V146" s="2" t="s">
        <v>335</v>
      </c>
      <c r="W146" s="64" t="s">
        <v>163</v>
      </c>
      <c r="X146" s="2">
        <v>20255063249</v>
      </c>
      <c r="Y146" s="14">
        <v>45808</v>
      </c>
      <c r="Z146" s="14">
        <v>45813</v>
      </c>
      <c r="AA146" s="4">
        <v>45810</v>
      </c>
      <c r="AB146" s="4">
        <v>45810</v>
      </c>
      <c r="AC146" s="14">
        <v>45812</v>
      </c>
      <c r="AD146" s="2" t="s">
        <v>1246</v>
      </c>
      <c r="AE146" s="2" t="s">
        <v>1250</v>
      </c>
      <c r="AF146" s="2">
        <v>3</v>
      </c>
      <c r="AG146" s="2">
        <v>594</v>
      </c>
      <c r="AH146" s="2"/>
      <c r="AI146" s="2" t="s">
        <v>180</v>
      </c>
      <c r="AJ146" s="2"/>
      <c r="AK146" s="4">
        <v>45808</v>
      </c>
      <c r="AL146" s="14">
        <v>45808</v>
      </c>
      <c r="AM146" s="4">
        <v>45808</v>
      </c>
      <c r="AN146" s="2"/>
      <c r="AO146" s="2">
        <v>2435738</v>
      </c>
      <c r="AP146" s="14">
        <v>45811</v>
      </c>
      <c r="AQ146" s="14">
        <v>45812</v>
      </c>
      <c r="AS146" s="14">
        <v>45813</v>
      </c>
      <c r="AT146" s="44">
        <v>50319</v>
      </c>
      <c r="AU146" s="1" t="s">
        <v>74</v>
      </c>
      <c r="AV146" s="14">
        <v>45813</v>
      </c>
      <c r="AW146" s="14">
        <v>45813</v>
      </c>
      <c r="AY146" s="2">
        <v>2538991</v>
      </c>
      <c r="AZ146" s="14">
        <v>45817</v>
      </c>
      <c r="BA146" s="1">
        <v>16040943</v>
      </c>
      <c r="BB146" s="2">
        <v>2887370</v>
      </c>
      <c r="BC146" s="14">
        <v>45817</v>
      </c>
      <c r="BD146" s="14">
        <v>45817</v>
      </c>
      <c r="BF146" s="5">
        <v>45818</v>
      </c>
      <c r="BG146" s="14">
        <v>45819</v>
      </c>
      <c r="BH146" s="1" t="s">
        <v>1358</v>
      </c>
      <c r="BI146" s="15" t="s">
        <v>273</v>
      </c>
      <c r="BQ146" s="14">
        <v>45813</v>
      </c>
      <c r="BR146" s="5">
        <v>45813</v>
      </c>
    </row>
    <row r="147" spans="1:70" ht="18" customHeight="1" x14ac:dyDescent="0.3">
      <c r="A147" s="2">
        <v>147</v>
      </c>
      <c r="B147" s="1">
        <v>6735241</v>
      </c>
      <c r="C147" s="111">
        <v>45657</v>
      </c>
      <c r="D147" s="1">
        <v>120897</v>
      </c>
      <c r="E147" s="1" t="s">
        <v>678</v>
      </c>
      <c r="F147" s="8" t="s">
        <v>222</v>
      </c>
      <c r="G147" s="8" t="s">
        <v>560</v>
      </c>
      <c r="H147" s="8" t="s">
        <v>709</v>
      </c>
      <c r="I147" s="83">
        <v>49711</v>
      </c>
      <c r="J147" s="2" t="s">
        <v>142</v>
      </c>
      <c r="K147" s="2" t="s">
        <v>126</v>
      </c>
      <c r="L147" s="2" t="s">
        <v>854</v>
      </c>
      <c r="M147" s="77">
        <v>45757</v>
      </c>
      <c r="N147" s="70" t="s">
        <v>1390</v>
      </c>
      <c r="O147" s="99">
        <v>36991</v>
      </c>
      <c r="P147" s="1"/>
      <c r="Q147" s="67">
        <f t="shared" ref="Q147:Q160" si="14">AQ147-AB147</f>
        <v>6</v>
      </c>
      <c r="R147" s="29">
        <f t="shared" si="13"/>
        <v>57</v>
      </c>
      <c r="S147" s="1"/>
      <c r="T147" s="1"/>
      <c r="U147" s="1" t="s">
        <v>710</v>
      </c>
      <c r="V147" s="1" t="s">
        <v>161</v>
      </c>
      <c r="W147" s="1" t="s">
        <v>454</v>
      </c>
      <c r="X147" s="1">
        <v>20255039373</v>
      </c>
      <c r="Y147" s="5">
        <v>45751</v>
      </c>
      <c r="Z147" s="5">
        <v>45758</v>
      </c>
      <c r="AA147" s="4">
        <v>45756</v>
      </c>
      <c r="AB147" s="4">
        <v>45757</v>
      </c>
      <c r="AC147" s="5">
        <v>45763</v>
      </c>
      <c r="AD147" s="1">
        <v>17608001910</v>
      </c>
      <c r="AE147" s="1" t="s">
        <v>711</v>
      </c>
      <c r="AF147" s="1">
        <v>4</v>
      </c>
      <c r="AG147" s="1">
        <v>1178.5</v>
      </c>
      <c r="AH147" s="1"/>
      <c r="AI147" s="1" t="s">
        <v>180</v>
      </c>
      <c r="AJ147" s="1"/>
      <c r="AK147" s="3">
        <v>45758</v>
      </c>
      <c r="AL147" s="5">
        <v>45758</v>
      </c>
      <c r="AM147" s="3">
        <v>45759</v>
      </c>
      <c r="AN147" s="1"/>
      <c r="AO147" s="1">
        <v>9472589</v>
      </c>
      <c r="AP147" s="14">
        <v>45761</v>
      </c>
      <c r="AQ147" s="14">
        <v>45763</v>
      </c>
      <c r="AR147" s="8" t="s">
        <v>757</v>
      </c>
      <c r="AS147" s="14">
        <v>45805</v>
      </c>
      <c r="AT147" s="44">
        <v>49809</v>
      </c>
      <c r="AU147" s="1" t="s">
        <v>74</v>
      </c>
      <c r="AV147" s="14">
        <v>45805</v>
      </c>
      <c r="AW147" s="14">
        <v>45806</v>
      </c>
      <c r="AX147" s="1"/>
      <c r="AY147" s="2">
        <v>2562286</v>
      </c>
      <c r="AZ147" s="14">
        <v>45818</v>
      </c>
      <c r="BA147" s="1">
        <v>10487815</v>
      </c>
      <c r="BB147" s="1">
        <v>1887807</v>
      </c>
      <c r="BC147" s="5">
        <v>45818</v>
      </c>
      <c r="BD147" s="5">
        <v>45818</v>
      </c>
      <c r="BE147" s="1"/>
      <c r="BF147" s="5">
        <v>45819</v>
      </c>
      <c r="BG147" s="14">
        <v>45820</v>
      </c>
      <c r="BH147" s="1" t="s">
        <v>1387</v>
      </c>
      <c r="BI147" s="1" t="s">
        <v>273</v>
      </c>
      <c r="BJ147" s="1"/>
      <c r="BK147" s="1"/>
      <c r="BL147" s="1"/>
      <c r="BM147" s="1"/>
      <c r="BN147" s="1"/>
      <c r="BO147" s="1"/>
      <c r="BP147" s="1"/>
      <c r="BQ147" s="5">
        <v>45806</v>
      </c>
      <c r="BR147" s="5">
        <v>45806</v>
      </c>
    </row>
    <row r="148" spans="1:70" ht="18" customHeight="1" x14ac:dyDescent="0.3">
      <c r="A148" s="2">
        <v>148</v>
      </c>
      <c r="B148" s="2">
        <v>6930797</v>
      </c>
      <c r="C148" s="111">
        <v>45797</v>
      </c>
      <c r="D148" s="45">
        <v>168100</v>
      </c>
      <c r="E148" s="2" t="s">
        <v>840</v>
      </c>
      <c r="F148" s="8" t="s">
        <v>648</v>
      </c>
      <c r="G148" s="8" t="s">
        <v>1186</v>
      </c>
      <c r="H148" s="8" t="s">
        <v>749</v>
      </c>
      <c r="I148" s="83">
        <v>50202</v>
      </c>
      <c r="J148" s="2" t="s">
        <v>142</v>
      </c>
      <c r="K148" s="2" t="s">
        <v>126</v>
      </c>
      <c r="L148" s="2" t="s">
        <v>854</v>
      </c>
      <c r="M148" s="78">
        <v>45805</v>
      </c>
      <c r="N148" s="56" t="s">
        <v>1389</v>
      </c>
      <c r="Q148" s="67">
        <f t="shared" si="14"/>
        <v>2</v>
      </c>
      <c r="R148" s="29">
        <f t="shared" si="13"/>
        <v>12</v>
      </c>
      <c r="T148" s="1"/>
      <c r="U148" s="1" t="s">
        <v>1193</v>
      </c>
      <c r="V148" s="2" t="s">
        <v>161</v>
      </c>
      <c r="W148" s="64" t="s">
        <v>454</v>
      </c>
      <c r="X148" s="2">
        <v>20255059691</v>
      </c>
      <c r="Y148" s="14">
        <v>45800</v>
      </c>
      <c r="Z148" s="14">
        <v>45806</v>
      </c>
      <c r="AA148" s="4">
        <v>45806</v>
      </c>
      <c r="AB148" s="4">
        <v>45806</v>
      </c>
      <c r="AC148" s="14">
        <v>45808</v>
      </c>
      <c r="AD148" s="2" t="s">
        <v>1191</v>
      </c>
      <c r="AE148" s="2" t="s">
        <v>1194</v>
      </c>
      <c r="AF148" s="2">
        <v>3</v>
      </c>
      <c r="AG148" s="2">
        <v>575</v>
      </c>
      <c r="AH148" s="2"/>
      <c r="AI148" s="2" t="s">
        <v>180</v>
      </c>
      <c r="AJ148" s="2"/>
      <c r="AK148" s="4">
        <v>45803</v>
      </c>
      <c r="AL148" s="14">
        <v>45803</v>
      </c>
      <c r="AM148" s="4">
        <v>45804</v>
      </c>
      <c r="AN148" s="2"/>
      <c r="AO148" s="2">
        <v>2367179</v>
      </c>
      <c r="AP148" s="14">
        <v>45807</v>
      </c>
      <c r="AQ148" s="14">
        <v>45808</v>
      </c>
      <c r="AS148" s="14">
        <v>45810</v>
      </c>
      <c r="AT148" s="44">
        <v>50282</v>
      </c>
      <c r="AU148" s="1" t="s">
        <v>74</v>
      </c>
      <c r="AV148" s="14">
        <v>45810</v>
      </c>
      <c r="AW148" s="14">
        <v>45810</v>
      </c>
      <c r="AY148" s="2">
        <v>2561206</v>
      </c>
      <c r="AZ148" s="14">
        <v>45818</v>
      </c>
      <c r="BA148" s="1">
        <v>14582675</v>
      </c>
      <c r="BB148" s="2">
        <v>2624882</v>
      </c>
      <c r="BC148" s="5">
        <v>45818</v>
      </c>
      <c r="BD148" s="5">
        <v>45818</v>
      </c>
      <c r="BF148" s="5">
        <v>45819</v>
      </c>
      <c r="BG148" s="14">
        <v>45820</v>
      </c>
      <c r="BH148" s="1" t="s">
        <v>1387</v>
      </c>
      <c r="BI148" s="1" t="s">
        <v>273</v>
      </c>
      <c r="BQ148" s="14">
        <v>45810</v>
      </c>
      <c r="BR148" s="5">
        <v>45813</v>
      </c>
    </row>
    <row r="149" spans="1:70" ht="18" customHeight="1" x14ac:dyDescent="0.3">
      <c r="A149" s="2">
        <v>149</v>
      </c>
      <c r="B149" s="2">
        <v>6874243</v>
      </c>
      <c r="C149" s="111">
        <v>45777</v>
      </c>
      <c r="D149" s="45">
        <v>58175</v>
      </c>
      <c r="E149" s="2" t="s">
        <v>840</v>
      </c>
      <c r="F149" s="8" t="s">
        <v>760</v>
      </c>
      <c r="G149" s="8" t="s">
        <v>1210</v>
      </c>
      <c r="H149" s="8" t="s">
        <v>446</v>
      </c>
      <c r="I149" s="83">
        <v>50235</v>
      </c>
      <c r="J149" s="2" t="s">
        <v>142</v>
      </c>
      <c r="K149" s="2" t="s">
        <v>126</v>
      </c>
      <c r="L149" s="2" t="s">
        <v>854</v>
      </c>
      <c r="M149" s="78">
        <v>45809</v>
      </c>
      <c r="N149" s="56" t="s">
        <v>1398</v>
      </c>
      <c r="Q149" s="67">
        <f t="shared" si="14"/>
        <v>3</v>
      </c>
      <c r="R149" s="29">
        <f t="shared" si="13"/>
        <v>9</v>
      </c>
      <c r="T149" s="1"/>
      <c r="U149" s="1" t="s">
        <v>1211</v>
      </c>
      <c r="V149" s="2" t="s">
        <v>161</v>
      </c>
      <c r="W149" s="64" t="s">
        <v>454</v>
      </c>
      <c r="X149" s="2">
        <v>20255060922</v>
      </c>
      <c r="Y149" s="14">
        <v>45803</v>
      </c>
      <c r="Z149" s="14">
        <v>45807</v>
      </c>
      <c r="AA149" s="4">
        <v>45808</v>
      </c>
      <c r="AB149" s="4">
        <v>45808</v>
      </c>
      <c r="AC149" s="14">
        <v>45811</v>
      </c>
      <c r="AD149" s="2" t="s">
        <v>1212</v>
      </c>
      <c r="AE149" s="2" t="s">
        <v>1213</v>
      </c>
      <c r="AF149" s="2">
        <v>2</v>
      </c>
      <c r="AG149" s="2">
        <v>498</v>
      </c>
      <c r="AH149" s="2"/>
      <c r="AI149" s="2" t="s">
        <v>180</v>
      </c>
      <c r="AJ149" s="2"/>
      <c r="AK149" s="4">
        <v>45805</v>
      </c>
      <c r="AL149" s="14">
        <v>45805</v>
      </c>
      <c r="AM149" s="4">
        <v>45805</v>
      </c>
      <c r="AN149" s="2"/>
      <c r="AO149" s="2">
        <v>2387630</v>
      </c>
      <c r="AP149" s="14">
        <v>45808</v>
      </c>
      <c r="AQ149" s="14">
        <v>45811</v>
      </c>
      <c r="AS149" s="14">
        <v>45812</v>
      </c>
      <c r="AT149" s="44">
        <v>50306</v>
      </c>
      <c r="AU149" s="1" t="s">
        <v>74</v>
      </c>
      <c r="AV149" s="14">
        <v>45812</v>
      </c>
      <c r="AW149" s="14">
        <v>45812</v>
      </c>
      <c r="AY149" s="2">
        <v>2562303</v>
      </c>
      <c r="AZ149" s="14">
        <v>45818</v>
      </c>
      <c r="BA149" s="1">
        <v>5046681</v>
      </c>
      <c r="BB149" s="2">
        <v>908403</v>
      </c>
      <c r="BC149" s="5">
        <v>45818</v>
      </c>
      <c r="BD149" s="5">
        <v>45818</v>
      </c>
      <c r="BF149" s="5">
        <v>45819</v>
      </c>
      <c r="BG149" s="14">
        <v>45820</v>
      </c>
      <c r="BH149" s="1" t="s">
        <v>1388</v>
      </c>
      <c r="BI149" s="1" t="s">
        <v>273</v>
      </c>
      <c r="BQ149" s="14">
        <v>45812</v>
      </c>
      <c r="BR149" s="5">
        <v>45817</v>
      </c>
    </row>
    <row r="150" spans="1:70" ht="18" customHeight="1" x14ac:dyDescent="0.3">
      <c r="A150" s="2">
        <v>150</v>
      </c>
      <c r="B150" s="2">
        <v>6930597</v>
      </c>
      <c r="C150" s="111">
        <v>45799</v>
      </c>
      <c r="D150" s="45">
        <v>114235</v>
      </c>
      <c r="E150" s="2" t="s">
        <v>840</v>
      </c>
      <c r="F150" s="8" t="s">
        <v>219</v>
      </c>
      <c r="G150" s="8" t="s">
        <v>1117</v>
      </c>
      <c r="H150" s="8" t="s">
        <v>1058</v>
      </c>
      <c r="I150" s="83">
        <v>50237</v>
      </c>
      <c r="J150" s="2" t="s">
        <v>142</v>
      </c>
      <c r="K150" s="2" t="s">
        <v>126</v>
      </c>
      <c r="L150" s="2" t="s">
        <v>854</v>
      </c>
      <c r="M150" s="78">
        <v>45809</v>
      </c>
      <c r="N150" s="56" t="s">
        <v>1397</v>
      </c>
      <c r="Q150" s="67">
        <f t="shared" si="14"/>
        <v>3</v>
      </c>
      <c r="R150" s="29">
        <f t="shared" si="13"/>
        <v>9</v>
      </c>
      <c r="T150" s="1"/>
      <c r="U150" s="1" t="s">
        <v>1214</v>
      </c>
      <c r="V150" s="2" t="s">
        <v>161</v>
      </c>
      <c r="W150" s="64" t="s">
        <v>454</v>
      </c>
      <c r="X150" s="2">
        <v>20255060965</v>
      </c>
      <c r="Y150" s="14">
        <v>45803</v>
      </c>
      <c r="Z150" s="14">
        <v>45807</v>
      </c>
      <c r="AA150" s="4">
        <v>45808</v>
      </c>
      <c r="AB150" s="4">
        <v>45808</v>
      </c>
      <c r="AC150" s="14">
        <v>45811</v>
      </c>
      <c r="AD150" s="2" t="s">
        <v>1212</v>
      </c>
      <c r="AE150" s="2" t="s">
        <v>1215</v>
      </c>
      <c r="AF150" s="2">
        <v>4</v>
      </c>
      <c r="AG150" s="2">
        <v>1095.5</v>
      </c>
      <c r="AH150" s="2"/>
      <c r="AI150" s="2" t="s">
        <v>180</v>
      </c>
      <c r="AJ150" s="2"/>
      <c r="AK150" s="4">
        <v>45805</v>
      </c>
      <c r="AL150" s="14">
        <v>45805</v>
      </c>
      <c r="AM150" s="4">
        <v>45805</v>
      </c>
      <c r="AN150" s="2"/>
      <c r="AO150" s="2">
        <v>2387587</v>
      </c>
      <c r="AP150" s="14">
        <v>45808</v>
      </c>
      <c r="AQ150" s="14">
        <v>45811</v>
      </c>
      <c r="AS150" s="14">
        <v>45812</v>
      </c>
      <c r="AT150" s="44">
        <v>50310</v>
      </c>
      <c r="AU150" s="1" t="s">
        <v>74</v>
      </c>
      <c r="AV150" s="14">
        <v>45812</v>
      </c>
      <c r="AW150" s="14">
        <v>45812</v>
      </c>
      <c r="AY150" s="2">
        <v>2562590</v>
      </c>
      <c r="AZ150" s="14">
        <v>45818</v>
      </c>
      <c r="BA150" s="1">
        <v>9909886</v>
      </c>
      <c r="BB150" s="2">
        <v>1783780</v>
      </c>
      <c r="BC150" s="5">
        <v>45818</v>
      </c>
      <c r="BD150" s="5">
        <v>45818</v>
      </c>
      <c r="BF150" s="5">
        <v>45819</v>
      </c>
      <c r="BG150" s="14">
        <v>45820</v>
      </c>
      <c r="BH150" s="1" t="s">
        <v>1387</v>
      </c>
      <c r="BI150" s="1" t="s">
        <v>273</v>
      </c>
      <c r="BQ150" s="14">
        <v>45812</v>
      </c>
      <c r="BR150" s="5">
        <v>45817</v>
      </c>
    </row>
    <row r="151" spans="1:70" ht="18" customHeight="1" x14ac:dyDescent="0.3">
      <c r="A151" s="2">
        <v>151</v>
      </c>
      <c r="B151" s="2">
        <v>250516961</v>
      </c>
      <c r="C151" s="111">
        <v>45807</v>
      </c>
      <c r="D151" s="2">
        <v>166859.28</v>
      </c>
      <c r="E151" s="2" t="s">
        <v>677</v>
      </c>
      <c r="F151" s="2" t="s">
        <v>132</v>
      </c>
      <c r="G151" s="2" t="s">
        <v>323</v>
      </c>
      <c r="H151" s="2">
        <v>63</v>
      </c>
      <c r="I151" s="83">
        <v>50276</v>
      </c>
      <c r="J151" s="2" t="s">
        <v>142</v>
      </c>
      <c r="K151" s="2" t="s">
        <v>126</v>
      </c>
      <c r="L151" s="2" t="s">
        <v>854</v>
      </c>
      <c r="M151" s="78">
        <v>45811</v>
      </c>
      <c r="N151" s="56" t="s">
        <v>1392</v>
      </c>
      <c r="Q151" s="67">
        <f t="shared" si="14"/>
        <v>1</v>
      </c>
      <c r="R151" s="29">
        <f t="shared" si="13"/>
        <v>8</v>
      </c>
      <c r="T151" s="1"/>
      <c r="U151" s="1" t="s">
        <v>833</v>
      </c>
      <c r="V151" s="2" t="s">
        <v>755</v>
      </c>
      <c r="W151" s="1" t="s">
        <v>827</v>
      </c>
      <c r="X151" s="2" t="s">
        <v>1298</v>
      </c>
      <c r="Y151" s="14">
        <v>45812</v>
      </c>
      <c r="Z151" s="14">
        <v>45817</v>
      </c>
      <c r="AA151" s="4">
        <v>45810</v>
      </c>
      <c r="AB151" s="4">
        <v>45811</v>
      </c>
      <c r="AC151" s="14">
        <v>45812</v>
      </c>
      <c r="AD151" s="2" t="s">
        <v>1255</v>
      </c>
      <c r="AE151" s="2">
        <v>4840714577</v>
      </c>
      <c r="AF151" s="2">
        <v>1</v>
      </c>
      <c r="AG151" s="2">
        <v>162</v>
      </c>
      <c r="AH151" s="2"/>
      <c r="AI151" s="2" t="s">
        <v>179</v>
      </c>
      <c r="AJ151" s="2"/>
      <c r="AK151" s="4">
        <v>45810</v>
      </c>
      <c r="AL151" s="14">
        <v>45810</v>
      </c>
      <c r="AM151" s="4">
        <v>45810</v>
      </c>
      <c r="AN151" s="2"/>
      <c r="AO151" s="2">
        <v>2434561</v>
      </c>
      <c r="AP151" s="14">
        <v>45811</v>
      </c>
      <c r="AQ151" s="14">
        <v>45812</v>
      </c>
      <c r="AS151" s="14">
        <v>45813</v>
      </c>
      <c r="AT151" s="44">
        <v>50320</v>
      </c>
      <c r="AU151" s="1" t="s">
        <v>74</v>
      </c>
      <c r="AV151" s="14">
        <v>45813</v>
      </c>
      <c r="AW151" s="14">
        <v>45813</v>
      </c>
      <c r="AY151" s="2">
        <v>2539645</v>
      </c>
      <c r="AZ151" s="14">
        <v>45817</v>
      </c>
      <c r="BA151" s="1">
        <v>14475043</v>
      </c>
      <c r="BB151" s="2">
        <v>2605508</v>
      </c>
      <c r="BC151" s="14">
        <v>45817</v>
      </c>
      <c r="BD151" s="14">
        <v>45817</v>
      </c>
      <c r="BF151" s="5">
        <v>45818</v>
      </c>
      <c r="BG151" s="14">
        <v>45820</v>
      </c>
      <c r="BH151" s="1" t="s">
        <v>1391</v>
      </c>
      <c r="BI151" s="1" t="s">
        <v>273</v>
      </c>
      <c r="BQ151" s="14">
        <v>45813</v>
      </c>
      <c r="BR151" s="5">
        <v>45813</v>
      </c>
    </row>
    <row r="152" spans="1:70" ht="18" customHeight="1" x14ac:dyDescent="0.3">
      <c r="A152" s="2">
        <v>152</v>
      </c>
      <c r="B152" s="2">
        <v>250517172</v>
      </c>
      <c r="C152" s="111">
        <v>45807</v>
      </c>
      <c r="D152" s="2">
        <v>54753.62</v>
      </c>
      <c r="E152" s="2" t="s">
        <v>677</v>
      </c>
      <c r="F152" s="2" t="s">
        <v>136</v>
      </c>
      <c r="G152" s="2" t="s">
        <v>476</v>
      </c>
      <c r="H152" s="2">
        <v>2</v>
      </c>
      <c r="I152" s="83">
        <v>50277</v>
      </c>
      <c r="J152" s="2" t="s">
        <v>142</v>
      </c>
      <c r="K152" s="2" t="s">
        <v>126</v>
      </c>
      <c r="L152" s="2" t="s">
        <v>854</v>
      </c>
      <c r="M152" s="78">
        <v>45811</v>
      </c>
      <c r="N152" s="56" t="s">
        <v>1393</v>
      </c>
      <c r="Q152" s="67">
        <f t="shared" si="14"/>
        <v>1</v>
      </c>
      <c r="R152" s="29">
        <f t="shared" si="13"/>
        <v>8</v>
      </c>
      <c r="T152" s="1"/>
      <c r="U152" s="1" t="s">
        <v>1256</v>
      </c>
      <c r="V152" s="2" t="s">
        <v>755</v>
      </c>
      <c r="W152" s="1" t="s">
        <v>827</v>
      </c>
      <c r="X152" s="2" t="s">
        <v>1299</v>
      </c>
      <c r="Y152" s="14">
        <v>45812</v>
      </c>
      <c r="Z152" s="14">
        <v>45817</v>
      </c>
      <c r="AA152" s="4">
        <v>45810</v>
      </c>
      <c r="AB152" s="4">
        <v>45811</v>
      </c>
      <c r="AC152" s="14">
        <v>45812</v>
      </c>
      <c r="AD152" s="2" t="s">
        <v>1255</v>
      </c>
      <c r="AE152" s="2">
        <v>4840714639</v>
      </c>
      <c r="AF152" s="2">
        <v>2</v>
      </c>
      <c r="AG152" s="2">
        <v>6.5</v>
      </c>
      <c r="AH152" s="2"/>
      <c r="AI152" s="2" t="s">
        <v>179</v>
      </c>
      <c r="AJ152" s="2"/>
      <c r="AK152" s="4">
        <v>45810</v>
      </c>
      <c r="AL152" s="14">
        <v>45810</v>
      </c>
      <c r="AM152" s="4">
        <v>45810</v>
      </c>
      <c r="AN152" s="2"/>
      <c r="AO152" s="2">
        <v>2435733</v>
      </c>
      <c r="AP152" s="14">
        <v>45811</v>
      </c>
      <c r="AQ152" s="14">
        <v>45812</v>
      </c>
      <c r="AS152" s="14">
        <v>45813</v>
      </c>
      <c r="AT152" s="44">
        <v>50324</v>
      </c>
      <c r="AU152" s="1" t="s">
        <v>74</v>
      </c>
      <c r="AV152" s="14">
        <v>45813</v>
      </c>
      <c r="AW152" s="14">
        <v>45813</v>
      </c>
      <c r="AY152" s="2">
        <v>2539668</v>
      </c>
      <c r="AZ152" s="14">
        <v>45817</v>
      </c>
      <c r="BA152" s="1">
        <v>4749877</v>
      </c>
      <c r="BB152" s="2">
        <v>854978</v>
      </c>
      <c r="BC152" s="14">
        <v>45817</v>
      </c>
      <c r="BD152" s="14">
        <v>45817</v>
      </c>
      <c r="BF152" s="5">
        <v>45818</v>
      </c>
      <c r="BG152" s="14">
        <v>45820</v>
      </c>
      <c r="BH152" s="1" t="s">
        <v>1391</v>
      </c>
      <c r="BI152" s="1" t="s">
        <v>273</v>
      </c>
      <c r="BQ152" s="14">
        <v>45813</v>
      </c>
      <c r="BR152" s="5">
        <v>45813</v>
      </c>
    </row>
    <row r="153" spans="1:70" ht="18" customHeight="1" x14ac:dyDescent="0.3">
      <c r="A153" s="2">
        <v>153</v>
      </c>
      <c r="B153" s="2">
        <v>250516549</v>
      </c>
      <c r="C153" s="111">
        <v>45806</v>
      </c>
      <c r="D153" s="2">
        <v>82130.429999999993</v>
      </c>
      <c r="E153" s="2" t="s">
        <v>677</v>
      </c>
      <c r="F153" s="2" t="s">
        <v>136</v>
      </c>
      <c r="G153" s="2" t="s">
        <v>476</v>
      </c>
      <c r="H153" s="2">
        <v>3</v>
      </c>
      <c r="I153" s="83">
        <v>50279</v>
      </c>
      <c r="J153" s="2" t="s">
        <v>142</v>
      </c>
      <c r="K153" s="2" t="s">
        <v>126</v>
      </c>
      <c r="L153" s="2" t="s">
        <v>854</v>
      </c>
      <c r="M153" s="78">
        <v>45811</v>
      </c>
      <c r="N153" s="56" t="s">
        <v>1394</v>
      </c>
      <c r="Q153" s="67">
        <f t="shared" si="14"/>
        <v>2</v>
      </c>
      <c r="R153" s="29">
        <f t="shared" si="13"/>
        <v>7</v>
      </c>
      <c r="T153" s="1"/>
      <c r="U153" s="1" t="s">
        <v>954</v>
      </c>
      <c r="V153" s="2" t="s">
        <v>755</v>
      </c>
      <c r="W153" s="1" t="s">
        <v>827</v>
      </c>
      <c r="X153" s="2" t="s">
        <v>1257</v>
      </c>
      <c r="Y153" s="14">
        <v>45807</v>
      </c>
      <c r="Z153" s="14">
        <v>45812</v>
      </c>
      <c r="AA153" s="4">
        <v>45811</v>
      </c>
      <c r="AB153" s="4">
        <v>45811</v>
      </c>
      <c r="AC153" s="14">
        <v>45813</v>
      </c>
      <c r="AD153" s="2" t="s">
        <v>1258</v>
      </c>
      <c r="AE153" s="2">
        <v>4840714373</v>
      </c>
      <c r="AF153" s="2">
        <v>3</v>
      </c>
      <c r="AG153" s="2">
        <v>11</v>
      </c>
      <c r="AH153" s="2"/>
      <c r="AI153" s="2" t="s">
        <v>179</v>
      </c>
      <c r="AJ153" s="2"/>
      <c r="AK153" s="4">
        <v>45810</v>
      </c>
      <c r="AL153" s="14">
        <v>45810</v>
      </c>
      <c r="AM153" s="14">
        <v>45810</v>
      </c>
      <c r="AN153" s="2"/>
      <c r="AO153" s="2">
        <v>2449921</v>
      </c>
      <c r="AP153" s="14">
        <v>45812</v>
      </c>
      <c r="AQ153" s="14">
        <v>45813</v>
      </c>
      <c r="AS153" s="14">
        <v>45814</v>
      </c>
      <c r="AT153" s="44">
        <v>50348</v>
      </c>
      <c r="AU153" s="1" t="s">
        <v>74</v>
      </c>
      <c r="AV153" s="14">
        <v>45814</v>
      </c>
      <c r="AW153" s="14">
        <v>45815</v>
      </c>
      <c r="AY153" s="2">
        <v>2561169</v>
      </c>
      <c r="AZ153" s="14">
        <v>45818</v>
      </c>
      <c r="BA153" s="1">
        <v>7124815</v>
      </c>
      <c r="BB153" s="2">
        <v>1282467</v>
      </c>
      <c r="BC153" s="14">
        <v>45818</v>
      </c>
      <c r="BD153" s="5">
        <v>45818</v>
      </c>
      <c r="BF153" s="5">
        <v>45819</v>
      </c>
      <c r="BG153" s="14">
        <v>45820</v>
      </c>
      <c r="BH153" s="1" t="s">
        <v>1391</v>
      </c>
      <c r="BI153" s="1" t="s">
        <v>273</v>
      </c>
      <c r="BQ153" s="14">
        <v>45815</v>
      </c>
      <c r="BR153" s="5">
        <v>45817</v>
      </c>
    </row>
    <row r="154" spans="1:70" ht="18" customHeight="1" x14ac:dyDescent="0.3">
      <c r="A154" s="2">
        <v>154</v>
      </c>
      <c r="B154" s="2">
        <v>250516545</v>
      </c>
      <c r="C154" s="111">
        <v>45806</v>
      </c>
      <c r="D154" s="2">
        <v>248266.07</v>
      </c>
      <c r="E154" s="2" t="s">
        <v>677</v>
      </c>
      <c r="F154" s="2" t="s">
        <v>130</v>
      </c>
      <c r="G154" s="2" t="s">
        <v>830</v>
      </c>
      <c r="H154" s="2">
        <v>41</v>
      </c>
      <c r="I154" s="83">
        <v>50280</v>
      </c>
      <c r="J154" s="2" t="s">
        <v>142</v>
      </c>
      <c r="K154" s="2" t="s">
        <v>126</v>
      </c>
      <c r="L154" s="2" t="s">
        <v>854</v>
      </c>
      <c r="M154" s="78">
        <v>45811</v>
      </c>
      <c r="N154" s="56" t="s">
        <v>1394</v>
      </c>
      <c r="Q154" s="67">
        <f t="shared" si="14"/>
        <v>2</v>
      </c>
      <c r="R154" s="29">
        <f t="shared" si="13"/>
        <v>7</v>
      </c>
      <c r="T154" s="1"/>
      <c r="U154" s="1" t="s">
        <v>833</v>
      </c>
      <c r="V154" s="2" t="s">
        <v>755</v>
      </c>
      <c r="W154" s="1" t="s">
        <v>827</v>
      </c>
      <c r="X154" s="2" t="s">
        <v>1259</v>
      </c>
      <c r="Y154" s="14">
        <v>45807</v>
      </c>
      <c r="Z154" s="14">
        <v>45812</v>
      </c>
      <c r="AA154" s="4">
        <v>45811</v>
      </c>
      <c r="AB154" s="4">
        <v>45811</v>
      </c>
      <c r="AC154" s="14">
        <v>45813</v>
      </c>
      <c r="AD154" s="2" t="s">
        <v>1258</v>
      </c>
      <c r="AE154" s="2">
        <v>4840714374</v>
      </c>
      <c r="AF154" s="2">
        <v>1</v>
      </c>
      <c r="AG154" s="2">
        <v>169</v>
      </c>
      <c r="AH154" s="2"/>
      <c r="AI154" s="2" t="s">
        <v>179</v>
      </c>
      <c r="AJ154" s="2"/>
      <c r="AK154" s="4">
        <v>45810</v>
      </c>
      <c r="AL154" s="14">
        <v>45810</v>
      </c>
      <c r="AM154" s="14">
        <v>45810</v>
      </c>
      <c r="AN154" s="2"/>
      <c r="AO154" s="2">
        <v>2450299</v>
      </c>
      <c r="AP154" s="14">
        <v>45812</v>
      </c>
      <c r="AQ154" s="14">
        <v>45813</v>
      </c>
      <c r="AS154" s="14">
        <v>45814</v>
      </c>
      <c r="AT154" s="44">
        <v>50349</v>
      </c>
      <c r="AU154" s="1" t="s">
        <v>74</v>
      </c>
      <c r="AV154" s="14">
        <v>45814</v>
      </c>
      <c r="AW154" s="14">
        <v>45815</v>
      </c>
      <c r="AY154" s="2">
        <v>2561167</v>
      </c>
      <c r="AZ154" s="14">
        <v>45818</v>
      </c>
      <c r="BA154" s="1">
        <v>21537082</v>
      </c>
      <c r="BB154" s="2">
        <v>3876675</v>
      </c>
      <c r="BC154" s="14">
        <v>45818</v>
      </c>
      <c r="BD154" s="5">
        <v>45818</v>
      </c>
      <c r="BF154" s="5">
        <v>45819</v>
      </c>
      <c r="BG154" s="14">
        <v>45820</v>
      </c>
      <c r="BH154" s="1" t="s">
        <v>1391</v>
      </c>
      <c r="BI154" s="1" t="s">
        <v>273</v>
      </c>
      <c r="BQ154" s="14">
        <v>45815</v>
      </c>
      <c r="BR154" s="5">
        <v>45817</v>
      </c>
    </row>
    <row r="155" spans="1:70" ht="18" customHeight="1" x14ac:dyDescent="0.3">
      <c r="A155" s="2">
        <v>155</v>
      </c>
      <c r="B155" s="2">
        <v>250516547</v>
      </c>
      <c r="C155" s="111">
        <v>45806</v>
      </c>
      <c r="D155" s="2">
        <v>12110.54</v>
      </c>
      <c r="E155" s="2" t="s">
        <v>677</v>
      </c>
      <c r="F155" s="2" t="s">
        <v>1260</v>
      </c>
      <c r="G155" s="2" t="s">
        <v>830</v>
      </c>
      <c r="H155" s="2">
        <v>2</v>
      </c>
      <c r="I155" s="83">
        <v>50281</v>
      </c>
      <c r="J155" s="2" t="s">
        <v>142</v>
      </c>
      <c r="K155" s="2" t="s">
        <v>126</v>
      </c>
      <c r="L155" s="2" t="s">
        <v>854</v>
      </c>
      <c r="M155" s="78">
        <v>45811</v>
      </c>
      <c r="N155" s="56" t="s">
        <v>1394</v>
      </c>
      <c r="Q155" s="67">
        <f t="shared" si="14"/>
        <v>2</v>
      </c>
      <c r="R155" s="29">
        <f t="shared" si="13"/>
        <v>7</v>
      </c>
      <c r="T155" s="1"/>
      <c r="U155" s="1" t="s">
        <v>835</v>
      </c>
      <c r="V155" s="2" t="s">
        <v>755</v>
      </c>
      <c r="W155" s="1" t="s">
        <v>827</v>
      </c>
      <c r="X155" s="2" t="s">
        <v>1261</v>
      </c>
      <c r="Y155" s="14">
        <v>45807</v>
      </c>
      <c r="Z155" s="14">
        <v>45812</v>
      </c>
      <c r="AA155" s="4">
        <v>45811</v>
      </c>
      <c r="AB155" s="4">
        <v>45811</v>
      </c>
      <c r="AC155" s="14">
        <v>45813</v>
      </c>
      <c r="AD155" s="2" t="s">
        <v>1258</v>
      </c>
      <c r="AE155" s="2">
        <v>4840714372</v>
      </c>
      <c r="AF155" s="2">
        <v>2</v>
      </c>
      <c r="AG155" s="2">
        <v>5</v>
      </c>
      <c r="AH155" s="2"/>
      <c r="AI155" s="2" t="s">
        <v>179</v>
      </c>
      <c r="AJ155" s="2"/>
      <c r="AK155" s="4">
        <v>45810</v>
      </c>
      <c r="AL155" s="14">
        <v>45810</v>
      </c>
      <c r="AM155" s="14">
        <v>45810</v>
      </c>
      <c r="AN155" s="2"/>
      <c r="AO155" s="2">
        <v>2450859</v>
      </c>
      <c r="AP155" s="14">
        <v>45812</v>
      </c>
      <c r="AQ155" s="14">
        <v>45813</v>
      </c>
      <c r="AS155" s="14">
        <v>45814</v>
      </c>
      <c r="AT155" s="44">
        <v>50350</v>
      </c>
      <c r="AU155" s="1" t="s">
        <v>74</v>
      </c>
      <c r="AV155" s="14">
        <v>45814</v>
      </c>
      <c r="AW155" s="14">
        <v>45815</v>
      </c>
      <c r="AY155" s="2">
        <v>2561065</v>
      </c>
      <c r="AZ155" s="14">
        <v>45818</v>
      </c>
      <c r="BA155" s="1">
        <v>1050589</v>
      </c>
      <c r="BB155" s="2">
        <v>189106</v>
      </c>
      <c r="BC155" s="14">
        <v>45818</v>
      </c>
      <c r="BD155" s="5">
        <v>45818</v>
      </c>
      <c r="BF155" s="5">
        <v>45819</v>
      </c>
      <c r="BG155" s="14">
        <v>45820</v>
      </c>
      <c r="BH155" s="1" t="s">
        <v>1391</v>
      </c>
      <c r="BI155" s="1" t="s">
        <v>273</v>
      </c>
      <c r="BQ155" s="14">
        <v>45815</v>
      </c>
      <c r="BR155" s="5">
        <v>45817</v>
      </c>
    </row>
    <row r="156" spans="1:70" ht="18" customHeight="1" x14ac:dyDescent="0.3">
      <c r="A156" s="2">
        <v>156</v>
      </c>
      <c r="B156" s="1">
        <v>6730475</v>
      </c>
      <c r="C156" s="111">
        <v>45645</v>
      </c>
      <c r="D156" s="1">
        <v>25452</v>
      </c>
      <c r="E156" s="1" t="s">
        <v>678</v>
      </c>
      <c r="F156" s="8" t="s">
        <v>222</v>
      </c>
      <c r="G156" s="8" t="s">
        <v>560</v>
      </c>
      <c r="H156" s="8" t="s">
        <v>799</v>
      </c>
      <c r="I156" s="83">
        <v>49822</v>
      </c>
      <c r="J156" s="2" t="s">
        <v>142</v>
      </c>
      <c r="K156" s="2" t="s">
        <v>126</v>
      </c>
      <c r="L156" s="2" t="s">
        <v>854</v>
      </c>
      <c r="M156" s="77">
        <v>45769</v>
      </c>
      <c r="N156" s="94" t="s">
        <v>1402</v>
      </c>
      <c r="P156" s="1"/>
      <c r="Q156" s="67">
        <f t="shared" si="14"/>
        <v>3</v>
      </c>
      <c r="R156" s="29">
        <f t="shared" si="13"/>
        <v>49</v>
      </c>
      <c r="S156" s="1"/>
      <c r="T156" s="1" t="s">
        <v>1224</v>
      </c>
      <c r="U156" s="1" t="s">
        <v>800</v>
      </c>
      <c r="V156" s="1" t="s">
        <v>204</v>
      </c>
      <c r="W156" s="1" t="s">
        <v>203</v>
      </c>
      <c r="X156" s="1">
        <v>20255044252</v>
      </c>
      <c r="Y156" s="5">
        <v>45763</v>
      </c>
      <c r="Z156" s="5">
        <v>45768</v>
      </c>
      <c r="AA156" s="4">
        <v>45769</v>
      </c>
      <c r="AB156" s="4">
        <v>45769</v>
      </c>
      <c r="AC156" s="3">
        <v>45772</v>
      </c>
      <c r="AD156" s="1" t="s">
        <v>797</v>
      </c>
      <c r="AE156" s="1" t="s">
        <v>801</v>
      </c>
      <c r="AF156" s="1">
        <v>3</v>
      </c>
      <c r="AG156" s="1">
        <v>881.5</v>
      </c>
      <c r="AH156" s="1"/>
      <c r="AI156" s="1" t="s">
        <v>629</v>
      </c>
      <c r="AJ156" s="1"/>
      <c r="AK156" s="3">
        <v>45764</v>
      </c>
      <c r="AL156" s="5">
        <v>45766</v>
      </c>
      <c r="AM156" s="3">
        <v>45768</v>
      </c>
      <c r="AN156" s="1"/>
      <c r="AO156" s="1">
        <v>9654232</v>
      </c>
      <c r="AP156" s="14">
        <v>45770</v>
      </c>
      <c r="AQ156" s="14">
        <v>45772</v>
      </c>
      <c r="AR156" s="1"/>
      <c r="AS156" s="14">
        <v>45775</v>
      </c>
      <c r="AT156" s="44">
        <v>49919</v>
      </c>
      <c r="AU156" s="1" t="s">
        <v>74</v>
      </c>
      <c r="AV156" s="14">
        <v>45775</v>
      </c>
      <c r="AW156" s="14">
        <v>45775</v>
      </c>
      <c r="AX156" s="1"/>
      <c r="AY156" s="2">
        <v>9757610</v>
      </c>
      <c r="AZ156" s="14">
        <v>45775</v>
      </c>
      <c r="BA156" s="1">
        <v>7879939</v>
      </c>
      <c r="BB156" s="1">
        <v>1418389</v>
      </c>
      <c r="BC156" s="5">
        <v>45776</v>
      </c>
      <c r="BD156" s="5">
        <v>45805</v>
      </c>
      <c r="BE156" s="1"/>
      <c r="BF156" s="5">
        <v>45806</v>
      </c>
      <c r="BG156" s="14">
        <v>45821</v>
      </c>
      <c r="BH156" s="1" t="s">
        <v>1399</v>
      </c>
      <c r="BI156" s="1" t="s">
        <v>273</v>
      </c>
      <c r="BJ156" s="1"/>
      <c r="BK156" s="1"/>
      <c r="BL156" s="1"/>
      <c r="BM156" s="1" t="s">
        <v>931</v>
      </c>
      <c r="BN156" s="1"/>
      <c r="BO156" s="1"/>
      <c r="BP156" s="1"/>
      <c r="BQ156" s="5">
        <v>45775</v>
      </c>
      <c r="BR156" s="5">
        <v>45775</v>
      </c>
    </row>
    <row r="157" spans="1:70" ht="18" customHeight="1" x14ac:dyDescent="0.3">
      <c r="A157" s="2">
        <v>157</v>
      </c>
      <c r="B157" s="2">
        <v>6874247</v>
      </c>
      <c r="C157" s="111">
        <v>45777</v>
      </c>
      <c r="D157" s="2">
        <v>139620</v>
      </c>
      <c r="E157" s="2" t="s">
        <v>840</v>
      </c>
      <c r="F157" s="8" t="s">
        <v>760</v>
      </c>
      <c r="G157" s="8" t="s">
        <v>982</v>
      </c>
      <c r="H157" s="8" t="s">
        <v>582</v>
      </c>
      <c r="I157" s="83">
        <v>50270</v>
      </c>
      <c r="J157" s="2" t="s">
        <v>142</v>
      </c>
      <c r="K157" s="2" t="s">
        <v>126</v>
      </c>
      <c r="L157" s="2" t="s">
        <v>854</v>
      </c>
      <c r="M157" s="78">
        <v>45812</v>
      </c>
      <c r="N157" s="56" t="s">
        <v>1400</v>
      </c>
      <c r="Q157" s="67">
        <f t="shared" si="14"/>
        <v>2</v>
      </c>
      <c r="R157" s="29">
        <f t="shared" si="13"/>
        <v>7</v>
      </c>
      <c r="T157" s="1"/>
      <c r="U157" s="1" t="s">
        <v>1251</v>
      </c>
      <c r="V157" s="1" t="s">
        <v>645</v>
      </c>
      <c r="W157" s="64" t="s">
        <v>426</v>
      </c>
      <c r="X157" s="2" t="s">
        <v>1252</v>
      </c>
      <c r="Y157" s="14">
        <v>45807</v>
      </c>
      <c r="Z157" s="14">
        <v>45812</v>
      </c>
      <c r="AA157" s="4">
        <v>45812</v>
      </c>
      <c r="AB157" s="4">
        <v>45812</v>
      </c>
      <c r="AC157" s="14">
        <v>45814</v>
      </c>
      <c r="AD157" s="2" t="s">
        <v>1253</v>
      </c>
      <c r="AE157" s="2" t="s">
        <v>1254</v>
      </c>
      <c r="AF157" s="2">
        <v>4</v>
      </c>
      <c r="AG157" s="2">
        <v>1200</v>
      </c>
      <c r="AH157" s="2"/>
      <c r="AI157" s="2" t="s">
        <v>611</v>
      </c>
      <c r="AJ157" s="2"/>
      <c r="AK157" s="4">
        <v>45808</v>
      </c>
      <c r="AL157" s="14">
        <v>45808</v>
      </c>
      <c r="AM157" s="4">
        <v>45808</v>
      </c>
      <c r="AN157" s="2"/>
      <c r="AO157" s="2">
        <v>2473465</v>
      </c>
      <c r="AP157" s="14">
        <v>45813</v>
      </c>
      <c r="AQ157" s="14">
        <v>45814</v>
      </c>
      <c r="AS157" s="14">
        <v>45817</v>
      </c>
      <c r="AT157" s="44">
        <v>50364</v>
      </c>
      <c r="AU157" s="1" t="s">
        <v>74</v>
      </c>
      <c r="AV157" s="14">
        <v>45817</v>
      </c>
      <c r="AW157" s="14">
        <v>45817</v>
      </c>
      <c r="AY157" s="2">
        <v>2579484</v>
      </c>
      <c r="AZ157" s="14">
        <v>45819</v>
      </c>
      <c r="BA157" s="1">
        <v>12112035</v>
      </c>
      <c r="BB157" s="2">
        <v>2180166</v>
      </c>
      <c r="BC157" s="14">
        <v>45819</v>
      </c>
      <c r="BD157" s="14">
        <v>45819</v>
      </c>
      <c r="BF157" s="5">
        <v>45820</v>
      </c>
      <c r="BG157" s="14">
        <v>45821</v>
      </c>
      <c r="BH157" s="1" t="s">
        <v>1472</v>
      </c>
      <c r="BI157" s="1" t="s">
        <v>282</v>
      </c>
      <c r="BQ157" s="14">
        <v>45817</v>
      </c>
      <c r="BR157" s="5">
        <v>45818</v>
      </c>
    </row>
    <row r="158" spans="1:70" ht="18" customHeight="1" x14ac:dyDescent="0.3">
      <c r="A158" s="2">
        <v>158</v>
      </c>
      <c r="B158" s="2">
        <v>6926557</v>
      </c>
      <c r="C158" s="111">
        <v>45790</v>
      </c>
      <c r="D158" s="45">
        <v>84050</v>
      </c>
      <c r="E158" s="2" t="s">
        <v>840</v>
      </c>
      <c r="F158" s="8" t="s">
        <v>648</v>
      </c>
      <c r="G158" s="8" t="s">
        <v>646</v>
      </c>
      <c r="H158" s="8" t="s">
        <v>446</v>
      </c>
      <c r="I158" s="83">
        <v>50165</v>
      </c>
      <c r="J158" s="2" t="s">
        <v>142</v>
      </c>
      <c r="K158" s="2" t="s">
        <v>126</v>
      </c>
      <c r="L158" s="2" t="s">
        <v>854</v>
      </c>
      <c r="M158" s="78">
        <v>45803</v>
      </c>
      <c r="N158" s="56" t="s">
        <v>1403</v>
      </c>
      <c r="Q158" s="67">
        <f t="shared" si="14"/>
        <v>2</v>
      </c>
      <c r="R158" s="29">
        <f t="shared" si="13"/>
        <v>14</v>
      </c>
      <c r="T158" s="1">
        <v>1079</v>
      </c>
      <c r="U158" s="1" t="s">
        <v>1159</v>
      </c>
      <c r="V158" s="2" t="s">
        <v>1473</v>
      </c>
      <c r="W158" s="64" t="s">
        <v>426</v>
      </c>
      <c r="X158" s="2">
        <v>20255058968</v>
      </c>
      <c r="Y158" s="14">
        <v>45798</v>
      </c>
      <c r="Z158" s="14">
        <v>45803</v>
      </c>
      <c r="AA158" s="4">
        <v>45805</v>
      </c>
      <c r="AB158" s="4">
        <v>45805</v>
      </c>
      <c r="AC158" s="14">
        <v>45807</v>
      </c>
      <c r="AD158" s="2">
        <v>21704813340</v>
      </c>
      <c r="AE158" s="2" t="s">
        <v>1160</v>
      </c>
      <c r="AF158" s="2">
        <v>2</v>
      </c>
      <c r="AG158" s="2">
        <v>286</v>
      </c>
      <c r="AH158" s="2"/>
      <c r="AI158" s="2" t="s">
        <v>180</v>
      </c>
      <c r="AJ158" s="2"/>
      <c r="AK158" s="4">
        <v>45800</v>
      </c>
      <c r="AL158" s="14">
        <v>45800</v>
      </c>
      <c r="AM158" s="4">
        <v>45801</v>
      </c>
      <c r="AN158" s="2"/>
      <c r="AO158" s="2">
        <v>2343024</v>
      </c>
      <c r="AP158" s="14">
        <v>45806</v>
      </c>
      <c r="AQ158" s="14">
        <v>45807</v>
      </c>
      <c r="AS158" s="14">
        <v>45808</v>
      </c>
      <c r="AT158" s="44">
        <v>50263</v>
      </c>
      <c r="AU158" s="1" t="s">
        <v>74</v>
      </c>
      <c r="AV158" s="14">
        <v>45808</v>
      </c>
      <c r="AW158" s="14">
        <v>45809</v>
      </c>
      <c r="AY158" s="2">
        <v>2539806</v>
      </c>
      <c r="AZ158" s="14">
        <v>45817</v>
      </c>
      <c r="BA158" s="1">
        <v>7291338</v>
      </c>
      <c r="BB158" s="2">
        <v>1312441</v>
      </c>
      <c r="BC158" s="14">
        <v>45817</v>
      </c>
      <c r="BD158" s="5">
        <v>45819</v>
      </c>
      <c r="BF158" s="5">
        <v>45820</v>
      </c>
      <c r="BG158" s="14">
        <v>45821</v>
      </c>
      <c r="BH158" s="1" t="s">
        <v>1401</v>
      </c>
      <c r="BI158" s="1" t="s">
        <v>273</v>
      </c>
      <c r="BQ158" s="14">
        <v>45809</v>
      </c>
      <c r="BR158" s="5">
        <v>45812</v>
      </c>
    </row>
    <row r="159" spans="1:70" ht="18" customHeight="1" x14ac:dyDescent="0.3">
      <c r="A159" s="2">
        <v>159</v>
      </c>
      <c r="B159" s="2">
        <v>6873246</v>
      </c>
      <c r="C159" s="111">
        <v>45729</v>
      </c>
      <c r="D159" s="2">
        <v>174525</v>
      </c>
      <c r="E159" s="2" t="s">
        <v>840</v>
      </c>
      <c r="F159" s="8" t="s">
        <v>224</v>
      </c>
      <c r="G159" s="8" t="s">
        <v>1113</v>
      </c>
      <c r="H159" s="8" t="s">
        <v>525</v>
      </c>
      <c r="I159" s="83">
        <v>50214</v>
      </c>
      <c r="J159" s="2" t="s">
        <v>142</v>
      </c>
      <c r="K159" s="2" t="s">
        <v>126</v>
      </c>
      <c r="L159" s="2" t="s">
        <v>854</v>
      </c>
      <c r="M159" s="78">
        <v>45806</v>
      </c>
      <c r="N159" s="56" t="s">
        <v>1404</v>
      </c>
      <c r="Q159" s="67">
        <f t="shared" si="14"/>
        <v>2</v>
      </c>
      <c r="R159" s="29">
        <f t="shared" si="13"/>
        <v>13</v>
      </c>
      <c r="T159" s="1" t="s">
        <v>1386</v>
      </c>
      <c r="U159" s="1" t="s">
        <v>1202</v>
      </c>
      <c r="V159" s="2" t="s">
        <v>1473</v>
      </c>
      <c r="W159" s="64" t="s">
        <v>426</v>
      </c>
      <c r="X159" s="2">
        <v>20255059889</v>
      </c>
      <c r="Y159" s="14">
        <v>45800</v>
      </c>
      <c r="Z159" s="14">
        <v>45806</v>
      </c>
      <c r="AA159" s="4">
        <v>45806</v>
      </c>
      <c r="AB159" s="4">
        <v>45806</v>
      </c>
      <c r="AC159" s="14">
        <v>45808</v>
      </c>
      <c r="AD159" s="2" t="s">
        <v>1203</v>
      </c>
      <c r="AE159" s="2" t="s">
        <v>1204</v>
      </c>
      <c r="AF159" s="2">
        <v>5</v>
      </c>
      <c r="AG159" s="2">
        <v>2307</v>
      </c>
      <c r="AH159" s="2"/>
      <c r="AI159" s="2" t="s">
        <v>180</v>
      </c>
      <c r="AJ159" s="2"/>
      <c r="AK159" s="4">
        <v>45804</v>
      </c>
      <c r="AL159" s="14">
        <v>45804</v>
      </c>
      <c r="AM159" s="4">
        <v>45804</v>
      </c>
      <c r="AN159" s="2"/>
      <c r="AO159" s="2">
        <v>2367660</v>
      </c>
      <c r="AP159" s="14">
        <v>45807</v>
      </c>
      <c r="AQ159" s="14">
        <v>45808</v>
      </c>
      <c r="AS159" s="14">
        <v>45810</v>
      </c>
      <c r="AT159" s="44">
        <v>50278</v>
      </c>
      <c r="AU159" s="1" t="s">
        <v>74</v>
      </c>
      <c r="AV159" s="14">
        <v>45810</v>
      </c>
      <c r="AW159" s="14">
        <v>45811</v>
      </c>
      <c r="AY159" s="2">
        <v>2539851</v>
      </c>
      <c r="AZ159" s="14">
        <v>45817</v>
      </c>
      <c r="BA159" s="1">
        <v>15140044</v>
      </c>
      <c r="BB159" s="2">
        <v>2725208</v>
      </c>
      <c r="BC159" s="14">
        <v>45817</v>
      </c>
      <c r="BD159" s="14">
        <v>45819</v>
      </c>
      <c r="BF159" s="5">
        <v>45820</v>
      </c>
      <c r="BG159" s="14">
        <v>45821</v>
      </c>
      <c r="BH159" s="1" t="s">
        <v>1401</v>
      </c>
      <c r="BI159" s="1" t="s">
        <v>273</v>
      </c>
      <c r="BQ159" s="14">
        <v>45811</v>
      </c>
      <c r="BR159" s="5">
        <v>45811</v>
      </c>
    </row>
    <row r="160" spans="1:70" ht="18" customHeight="1" x14ac:dyDescent="0.3">
      <c r="A160" s="2">
        <v>160</v>
      </c>
      <c r="B160" s="2">
        <v>6873247</v>
      </c>
      <c r="C160" s="111">
        <v>45729</v>
      </c>
      <c r="D160" s="45">
        <v>174525</v>
      </c>
      <c r="E160" s="2" t="s">
        <v>840</v>
      </c>
      <c r="F160" s="8" t="s">
        <v>224</v>
      </c>
      <c r="G160" s="8" t="s">
        <v>1113</v>
      </c>
      <c r="H160" s="8" t="s">
        <v>525</v>
      </c>
      <c r="I160" s="83">
        <v>50231</v>
      </c>
      <c r="J160" s="2" t="s">
        <v>142</v>
      </c>
      <c r="K160" s="2" t="s">
        <v>126</v>
      </c>
      <c r="L160" s="2" t="s">
        <v>854</v>
      </c>
      <c r="M160" s="78">
        <v>45809</v>
      </c>
      <c r="N160" s="56" t="s">
        <v>1405</v>
      </c>
      <c r="Q160" s="67">
        <f t="shared" si="14"/>
        <v>3</v>
      </c>
      <c r="R160" s="29">
        <f t="shared" si="13"/>
        <v>10</v>
      </c>
      <c r="T160" s="1"/>
      <c r="U160" s="1" t="s">
        <v>1202</v>
      </c>
      <c r="V160" s="2" t="s">
        <v>1473</v>
      </c>
      <c r="W160" s="64" t="s">
        <v>426</v>
      </c>
      <c r="X160" s="2">
        <v>20255060927</v>
      </c>
      <c r="Y160" s="14">
        <v>45803</v>
      </c>
      <c r="Z160" s="14">
        <v>45807</v>
      </c>
      <c r="AA160" s="4">
        <v>45808</v>
      </c>
      <c r="AB160" s="4">
        <v>45808</v>
      </c>
      <c r="AC160" s="14">
        <v>45811</v>
      </c>
      <c r="AD160" s="2" t="s">
        <v>1212</v>
      </c>
      <c r="AE160" s="2" t="s">
        <v>1216</v>
      </c>
      <c r="AF160" s="2">
        <v>5</v>
      </c>
      <c r="AG160" s="2">
        <v>1580</v>
      </c>
      <c r="AH160" s="2"/>
      <c r="AI160" s="2" t="s">
        <v>180</v>
      </c>
      <c r="AJ160" s="2"/>
      <c r="AK160" s="4">
        <v>45805</v>
      </c>
      <c r="AL160" s="14">
        <v>45805</v>
      </c>
      <c r="AM160" s="4">
        <v>45805</v>
      </c>
      <c r="AN160" s="2"/>
      <c r="AO160" s="2">
        <v>2387432</v>
      </c>
      <c r="AP160" s="14">
        <v>45808</v>
      </c>
      <c r="AQ160" s="14">
        <v>45811</v>
      </c>
      <c r="AS160" s="14">
        <v>45812</v>
      </c>
      <c r="AT160" s="44">
        <v>50302</v>
      </c>
      <c r="AU160" s="1" t="s">
        <v>74</v>
      </c>
      <c r="AV160" s="14">
        <v>45812</v>
      </c>
      <c r="AW160" s="14">
        <v>45812</v>
      </c>
      <c r="AY160" s="2">
        <v>2539647</v>
      </c>
      <c r="AZ160" s="14">
        <v>45817</v>
      </c>
      <c r="BA160" s="1">
        <v>15140044</v>
      </c>
      <c r="BB160" s="2">
        <v>2725208</v>
      </c>
      <c r="BC160" s="14">
        <v>45817</v>
      </c>
      <c r="BD160" s="14">
        <v>45817</v>
      </c>
      <c r="BF160" s="5">
        <v>45818</v>
      </c>
      <c r="BG160" s="14">
        <v>45821</v>
      </c>
      <c r="BH160" s="1" t="s">
        <v>1401</v>
      </c>
      <c r="BI160" s="1" t="s">
        <v>273</v>
      </c>
      <c r="BQ160" s="14">
        <v>45812</v>
      </c>
      <c r="BR160" s="5">
        <v>45814</v>
      </c>
    </row>
    <row r="161" spans="1:70" ht="18" customHeight="1" x14ac:dyDescent="0.3">
      <c r="A161" s="2">
        <v>161</v>
      </c>
      <c r="B161" s="2">
        <v>6873200</v>
      </c>
      <c r="C161" s="111">
        <v>45728</v>
      </c>
      <c r="D161" s="2">
        <v>6363</v>
      </c>
      <c r="E161" s="2" t="s">
        <v>840</v>
      </c>
      <c r="F161" s="8" t="s">
        <v>540</v>
      </c>
      <c r="G161" s="8" t="s">
        <v>1335</v>
      </c>
      <c r="H161" s="8" t="s">
        <v>1336</v>
      </c>
      <c r="I161" s="83">
        <v>50356</v>
      </c>
      <c r="J161" s="2" t="s">
        <v>142</v>
      </c>
      <c r="K161" s="2" t="s">
        <v>126</v>
      </c>
      <c r="L161" s="2" t="s">
        <v>854</v>
      </c>
      <c r="M161" s="78">
        <v>45817</v>
      </c>
      <c r="N161" s="56" t="s">
        <v>1469</v>
      </c>
      <c r="Q161" s="67">
        <f t="shared" ref="Q161:Q166" si="15">AQ161-AB161</f>
        <v>4</v>
      </c>
      <c r="R161" s="29">
        <f t="shared" si="13"/>
        <v>7</v>
      </c>
      <c r="T161" s="1" t="s">
        <v>1451</v>
      </c>
      <c r="U161" s="1" t="s">
        <v>543</v>
      </c>
      <c r="V161" s="1" t="s">
        <v>645</v>
      </c>
      <c r="W161" s="64" t="s">
        <v>426</v>
      </c>
      <c r="X161" s="2">
        <v>2055065666</v>
      </c>
      <c r="Y161" s="14">
        <v>45813</v>
      </c>
      <c r="Z161" s="14">
        <v>45817</v>
      </c>
      <c r="AA161" s="4">
        <v>45817</v>
      </c>
      <c r="AB161" s="4">
        <v>45817</v>
      </c>
      <c r="AC161" s="14">
        <v>45821</v>
      </c>
      <c r="AD161" s="2" t="s">
        <v>1329</v>
      </c>
      <c r="AE161" s="2" t="s">
        <v>1334</v>
      </c>
      <c r="AF161" s="2">
        <v>1</v>
      </c>
      <c r="AG161" s="2">
        <v>62.5</v>
      </c>
      <c r="AH161" s="2"/>
      <c r="AI161" s="2" t="s">
        <v>180</v>
      </c>
      <c r="AJ161" s="2"/>
      <c r="AK161" s="4">
        <v>45817</v>
      </c>
      <c r="AL161" s="4">
        <v>45817</v>
      </c>
      <c r="AM161" s="4">
        <v>45817</v>
      </c>
      <c r="AN161" s="2"/>
      <c r="AO161" s="2">
        <v>2573788</v>
      </c>
      <c r="AP161" s="14">
        <v>45818</v>
      </c>
      <c r="AQ161" s="14">
        <v>45821</v>
      </c>
      <c r="AR161" s="15" t="s">
        <v>1355</v>
      </c>
      <c r="AS161" s="14">
        <v>45822</v>
      </c>
      <c r="AT161" s="44">
        <v>50397</v>
      </c>
      <c r="AU161" s="1" t="s">
        <v>74</v>
      </c>
      <c r="AV161" s="14">
        <v>45822</v>
      </c>
      <c r="AW161" s="14">
        <v>45824</v>
      </c>
      <c r="AY161" s="2">
        <v>2698367</v>
      </c>
      <c r="AZ161" s="14">
        <v>45825</v>
      </c>
      <c r="BA161" s="1">
        <v>551990</v>
      </c>
      <c r="BB161" s="2">
        <v>99358</v>
      </c>
      <c r="BC161" s="14">
        <v>45825</v>
      </c>
      <c r="BD161" s="14">
        <v>45826</v>
      </c>
      <c r="BF161" s="5">
        <v>45827</v>
      </c>
      <c r="BG161" s="5">
        <v>45828</v>
      </c>
      <c r="BH161" s="1" t="s">
        <v>1468</v>
      </c>
      <c r="BI161" s="1" t="s">
        <v>273</v>
      </c>
      <c r="BQ161" s="14">
        <v>45824</v>
      </c>
      <c r="BR161" s="1"/>
    </row>
    <row r="162" spans="1:70" ht="18" customHeight="1" x14ac:dyDescent="0.3">
      <c r="A162" s="2">
        <v>162</v>
      </c>
      <c r="B162" s="2">
        <v>6874245</v>
      </c>
      <c r="C162" s="111">
        <v>45733</v>
      </c>
      <c r="D162" s="2">
        <v>104715</v>
      </c>
      <c r="E162" s="2" t="s">
        <v>840</v>
      </c>
      <c r="F162" s="8" t="s">
        <v>760</v>
      </c>
      <c r="G162" s="8" t="s">
        <v>1337</v>
      </c>
      <c r="H162" s="8" t="s">
        <v>653</v>
      </c>
      <c r="I162" s="83">
        <v>50357</v>
      </c>
      <c r="J162" s="2" t="s">
        <v>142</v>
      </c>
      <c r="K162" s="2" t="s">
        <v>126</v>
      </c>
      <c r="L162" s="2" t="s">
        <v>854</v>
      </c>
      <c r="M162" s="78">
        <v>45818</v>
      </c>
      <c r="N162" s="56" t="s">
        <v>1470</v>
      </c>
      <c r="Q162" s="67">
        <f t="shared" si="15"/>
        <v>3</v>
      </c>
      <c r="R162" s="29">
        <f t="shared" si="13"/>
        <v>7</v>
      </c>
      <c r="T162" s="1" t="s">
        <v>1450</v>
      </c>
      <c r="U162" s="1" t="s">
        <v>983</v>
      </c>
      <c r="V162" s="1" t="s">
        <v>645</v>
      </c>
      <c r="W162" s="64" t="s">
        <v>426</v>
      </c>
      <c r="X162" s="2">
        <v>2055066186</v>
      </c>
      <c r="Y162" s="14">
        <v>45814</v>
      </c>
      <c r="Z162" s="14">
        <v>45819</v>
      </c>
      <c r="AA162" s="4">
        <v>45818</v>
      </c>
      <c r="AB162" s="4">
        <v>45818</v>
      </c>
      <c r="AC162" s="14">
        <v>45821</v>
      </c>
      <c r="AD162" s="2" t="s">
        <v>1338</v>
      </c>
      <c r="AE162" s="2" t="s">
        <v>1339</v>
      </c>
      <c r="AF162" s="2">
        <v>3</v>
      </c>
      <c r="AG162" s="2">
        <v>884</v>
      </c>
      <c r="AH162" s="2"/>
      <c r="AI162" s="2" t="s">
        <v>180</v>
      </c>
      <c r="AJ162" s="2"/>
      <c r="AK162" s="4">
        <v>45817</v>
      </c>
      <c r="AL162" s="4">
        <v>45817</v>
      </c>
      <c r="AM162" s="4">
        <v>45817</v>
      </c>
      <c r="AN162" s="2"/>
      <c r="AO162" s="2">
        <v>2573938</v>
      </c>
      <c r="AP162" s="14">
        <v>45818</v>
      </c>
      <c r="AQ162" s="14">
        <v>45821</v>
      </c>
      <c r="AR162" s="15" t="s">
        <v>1355</v>
      </c>
      <c r="AS162" s="14">
        <v>45822</v>
      </c>
      <c r="AT162" s="44">
        <v>50399</v>
      </c>
      <c r="AU162" s="1" t="s">
        <v>74</v>
      </c>
      <c r="AV162" s="14">
        <v>45822</v>
      </c>
      <c r="AW162" s="14">
        <v>45824</v>
      </c>
      <c r="AY162" s="2">
        <v>2697871</v>
      </c>
      <c r="AZ162" s="14">
        <v>45825</v>
      </c>
      <c r="BA162" s="1">
        <v>9084026</v>
      </c>
      <c r="BB162" s="2">
        <v>1635125</v>
      </c>
      <c r="BC162" s="14">
        <v>45825</v>
      </c>
      <c r="BD162" s="14">
        <v>45826</v>
      </c>
      <c r="BF162" s="5">
        <v>45827</v>
      </c>
      <c r="BG162" s="5">
        <v>45828</v>
      </c>
      <c r="BH162" s="1" t="s">
        <v>1468</v>
      </c>
      <c r="BI162" s="1" t="s">
        <v>273</v>
      </c>
      <c r="BQ162" s="14">
        <v>45824</v>
      </c>
      <c r="BR162" s="1"/>
    </row>
    <row r="163" spans="1:70" ht="18" customHeight="1" x14ac:dyDescent="0.3">
      <c r="A163" s="2">
        <v>163</v>
      </c>
      <c r="B163" s="2" t="s">
        <v>1340</v>
      </c>
      <c r="C163" s="111">
        <v>45805</v>
      </c>
      <c r="D163" s="2">
        <v>82810</v>
      </c>
      <c r="E163" s="2" t="s">
        <v>677</v>
      </c>
      <c r="F163" s="2" t="s">
        <v>345</v>
      </c>
      <c r="G163" s="2" t="s">
        <v>346</v>
      </c>
      <c r="H163" s="2">
        <v>182</v>
      </c>
      <c r="I163" s="83">
        <v>50358</v>
      </c>
      <c r="J163" s="2" t="s">
        <v>142</v>
      </c>
      <c r="K163" s="2" t="s">
        <v>126</v>
      </c>
      <c r="L163" s="2" t="s">
        <v>854</v>
      </c>
      <c r="M163" s="78">
        <v>45819</v>
      </c>
      <c r="N163" s="56" t="s">
        <v>1464</v>
      </c>
      <c r="Q163" s="67">
        <f t="shared" si="15"/>
        <v>2</v>
      </c>
      <c r="R163" s="29">
        <f t="shared" si="13"/>
        <v>7</v>
      </c>
      <c r="T163" s="88" t="s">
        <v>1449</v>
      </c>
      <c r="U163" s="1" t="s">
        <v>1341</v>
      </c>
      <c r="V163" s="1" t="s">
        <v>204</v>
      </c>
      <c r="W163" s="1" t="s">
        <v>203</v>
      </c>
      <c r="X163" s="2" t="s">
        <v>1342</v>
      </c>
      <c r="Y163" s="14">
        <v>45814</v>
      </c>
      <c r="Z163" s="14">
        <v>45822</v>
      </c>
      <c r="AA163" s="4">
        <v>45819</v>
      </c>
      <c r="AB163" s="4">
        <v>45819</v>
      </c>
      <c r="AC163" s="14">
        <v>45821</v>
      </c>
      <c r="AD163" s="2" t="s">
        <v>1343</v>
      </c>
      <c r="AE163" s="2">
        <v>412656374</v>
      </c>
      <c r="AF163" s="2">
        <v>1</v>
      </c>
      <c r="AG163" s="2">
        <v>20</v>
      </c>
      <c r="AH163" s="2"/>
      <c r="AI163" s="2" t="s">
        <v>179</v>
      </c>
      <c r="AJ163" s="2"/>
      <c r="AK163" s="4">
        <v>45816</v>
      </c>
      <c r="AL163" s="14">
        <v>45817</v>
      </c>
      <c r="AM163" s="4">
        <v>45817</v>
      </c>
      <c r="AN163" s="2"/>
      <c r="AO163" s="2">
        <v>2592141</v>
      </c>
      <c r="AP163" s="14">
        <v>45819</v>
      </c>
      <c r="AQ163" s="14">
        <v>45821</v>
      </c>
      <c r="AS163" s="14">
        <v>45822</v>
      </c>
      <c r="AT163" s="44">
        <v>50400</v>
      </c>
      <c r="AU163" s="1" t="s">
        <v>74</v>
      </c>
      <c r="AV163" s="14">
        <v>45822</v>
      </c>
      <c r="AW163" s="14">
        <v>45824</v>
      </c>
      <c r="AY163" s="2">
        <v>2696982</v>
      </c>
      <c r="AZ163" s="14">
        <v>45825</v>
      </c>
      <c r="BA163" s="1">
        <v>7183768</v>
      </c>
      <c r="BB163" s="2">
        <v>1293078</v>
      </c>
      <c r="BC163" s="14">
        <v>45825</v>
      </c>
      <c r="BD163" s="14">
        <v>45826</v>
      </c>
      <c r="BF163" s="5">
        <v>45827</v>
      </c>
      <c r="BG163" s="5">
        <v>45828</v>
      </c>
      <c r="BH163" s="1" t="s">
        <v>1463</v>
      </c>
      <c r="BI163" s="1" t="s">
        <v>273</v>
      </c>
      <c r="BQ163" s="14">
        <v>45824</v>
      </c>
      <c r="BR163" s="5">
        <v>45824</v>
      </c>
    </row>
    <row r="164" spans="1:70" ht="18" customHeight="1" x14ac:dyDescent="0.3">
      <c r="A164" s="2">
        <v>164</v>
      </c>
      <c r="B164" s="2">
        <v>250518111</v>
      </c>
      <c r="C164" s="111">
        <v>45812</v>
      </c>
      <c r="D164" s="2">
        <v>54753.62</v>
      </c>
      <c r="E164" s="2" t="s">
        <v>677</v>
      </c>
      <c r="F164" s="2" t="s">
        <v>1346</v>
      </c>
      <c r="G164" s="2" t="s">
        <v>476</v>
      </c>
      <c r="H164" s="2">
        <v>2</v>
      </c>
      <c r="I164" s="83">
        <v>50360</v>
      </c>
      <c r="J164" s="2" t="s">
        <v>142</v>
      </c>
      <c r="K164" s="2" t="s">
        <v>126</v>
      </c>
      <c r="L164" s="2" t="s">
        <v>854</v>
      </c>
      <c r="M164" s="78">
        <v>45818</v>
      </c>
      <c r="N164" s="56" t="s">
        <v>1466</v>
      </c>
      <c r="Q164" s="67">
        <f t="shared" si="15"/>
        <v>2</v>
      </c>
      <c r="R164" s="29">
        <f t="shared" si="13"/>
        <v>8</v>
      </c>
      <c r="T164" s="1"/>
      <c r="U164" s="1" t="s">
        <v>1348</v>
      </c>
      <c r="V164" s="2" t="s">
        <v>755</v>
      </c>
      <c r="W164" s="1" t="s">
        <v>827</v>
      </c>
      <c r="X164" s="2" t="s">
        <v>1349</v>
      </c>
      <c r="Y164" s="14">
        <v>45814</v>
      </c>
      <c r="Z164" s="14">
        <v>45819</v>
      </c>
      <c r="AA164" s="4">
        <v>45818</v>
      </c>
      <c r="AB164" s="4">
        <v>45818</v>
      </c>
      <c r="AC164" s="14">
        <v>45820</v>
      </c>
      <c r="AD164" s="2" t="s">
        <v>1347</v>
      </c>
      <c r="AE164" s="2">
        <v>4840715154</v>
      </c>
      <c r="AF164" s="2">
        <v>2</v>
      </c>
      <c r="AG164" s="2">
        <v>7.5</v>
      </c>
      <c r="AH164" s="2"/>
      <c r="AI164" s="2" t="s">
        <v>179</v>
      </c>
      <c r="AJ164" s="2"/>
      <c r="AK164" s="4">
        <v>45816</v>
      </c>
      <c r="AL164" s="14">
        <v>45817</v>
      </c>
      <c r="AM164" s="4">
        <v>45817</v>
      </c>
      <c r="AN164" s="2"/>
      <c r="AO164" s="2">
        <v>2573758</v>
      </c>
      <c r="AP164" s="14">
        <v>45818</v>
      </c>
      <c r="AQ164" s="14">
        <v>45820</v>
      </c>
      <c r="AS164" s="14">
        <v>45820</v>
      </c>
      <c r="AT164" s="44">
        <v>50393</v>
      </c>
      <c r="AU164" s="1" t="s">
        <v>74</v>
      </c>
      <c r="AV164" s="14">
        <v>45820</v>
      </c>
      <c r="AW164" s="14">
        <v>45821</v>
      </c>
      <c r="AY164" s="2">
        <v>2671183</v>
      </c>
      <c r="AZ164" s="14">
        <v>45824</v>
      </c>
      <c r="BA164" s="1">
        <v>4749877</v>
      </c>
      <c r="BB164" s="2">
        <v>854978</v>
      </c>
      <c r="BC164" s="14">
        <v>45824</v>
      </c>
      <c r="BD164" s="14">
        <v>45824</v>
      </c>
      <c r="BF164" s="5">
        <v>45825</v>
      </c>
      <c r="BG164" s="5">
        <v>45828</v>
      </c>
      <c r="BH164" s="1" t="s">
        <v>1465</v>
      </c>
      <c r="BI164" s="1" t="s">
        <v>273</v>
      </c>
      <c r="BQ164" s="14">
        <v>45821</v>
      </c>
      <c r="BR164" s="14">
        <v>45821</v>
      </c>
    </row>
    <row r="165" spans="1:70" ht="18" customHeight="1" x14ac:dyDescent="0.3">
      <c r="A165" s="2">
        <v>165</v>
      </c>
      <c r="B165" s="2">
        <v>6875309</v>
      </c>
      <c r="C165" s="111">
        <v>45809</v>
      </c>
      <c r="D165" s="2">
        <v>139620</v>
      </c>
      <c r="E165" s="2" t="s">
        <v>840</v>
      </c>
      <c r="F165" s="8" t="s">
        <v>1331</v>
      </c>
      <c r="G165" s="8" t="s">
        <v>1332</v>
      </c>
      <c r="H165" s="8" t="s">
        <v>582</v>
      </c>
      <c r="I165" s="83">
        <v>50362</v>
      </c>
      <c r="J165" s="2" t="s">
        <v>142</v>
      </c>
      <c r="K165" s="2" t="s">
        <v>126</v>
      </c>
      <c r="L165" s="2" t="s">
        <v>854</v>
      </c>
      <c r="M165" s="78">
        <v>45817</v>
      </c>
      <c r="N165" s="56" t="s">
        <v>1471</v>
      </c>
      <c r="Q165" s="67">
        <f t="shared" si="15"/>
        <v>4</v>
      </c>
      <c r="R165" s="29">
        <f t="shared" si="13"/>
        <v>7</v>
      </c>
      <c r="T165" s="1" t="s">
        <v>1452</v>
      </c>
      <c r="U165" s="1" t="s">
        <v>1251</v>
      </c>
      <c r="V165" s="1" t="s">
        <v>645</v>
      </c>
      <c r="W165" s="64" t="s">
        <v>426</v>
      </c>
      <c r="X165" s="2">
        <v>2055065662</v>
      </c>
      <c r="Y165" s="14">
        <v>45813</v>
      </c>
      <c r="Z165" s="14">
        <v>45817</v>
      </c>
      <c r="AA165" s="4">
        <v>45817</v>
      </c>
      <c r="AB165" s="4">
        <v>45817</v>
      </c>
      <c r="AC165" s="14">
        <v>45821</v>
      </c>
      <c r="AD165" s="2" t="s">
        <v>1329</v>
      </c>
      <c r="AE165" s="2" t="s">
        <v>1350</v>
      </c>
      <c r="AF165" s="2">
        <v>4</v>
      </c>
      <c r="AG165" s="2">
        <v>1186.5</v>
      </c>
      <c r="AH165" s="2"/>
      <c r="AI165" s="2" t="s">
        <v>180</v>
      </c>
      <c r="AJ165" s="2"/>
      <c r="AK165" s="4">
        <v>45816</v>
      </c>
      <c r="AL165" s="14">
        <v>45817</v>
      </c>
      <c r="AM165" s="4">
        <v>45817</v>
      </c>
      <c r="AN165" s="2"/>
      <c r="AO165" s="2">
        <v>2573505</v>
      </c>
      <c r="AP165" s="14">
        <v>45818</v>
      </c>
      <c r="AQ165" s="14">
        <v>45821</v>
      </c>
      <c r="AR165" s="15" t="s">
        <v>1355</v>
      </c>
      <c r="AS165" s="14">
        <v>45822</v>
      </c>
      <c r="AT165" s="44">
        <v>50394</v>
      </c>
      <c r="AU165" s="1" t="s">
        <v>74</v>
      </c>
      <c r="AV165" s="14">
        <v>45822</v>
      </c>
      <c r="AW165" s="14">
        <v>45824</v>
      </c>
      <c r="AY165" s="2">
        <v>2699040</v>
      </c>
      <c r="AZ165" s="14">
        <v>45825</v>
      </c>
      <c r="BA165" s="1">
        <v>12112035</v>
      </c>
      <c r="BB165" s="2">
        <v>2180166</v>
      </c>
      <c r="BC165" s="14">
        <v>45825</v>
      </c>
      <c r="BD165" s="14">
        <v>45826</v>
      </c>
      <c r="BF165" s="5">
        <v>45827</v>
      </c>
      <c r="BG165" s="5">
        <v>45828</v>
      </c>
      <c r="BH165" s="1" t="s">
        <v>1468</v>
      </c>
      <c r="BI165" s="1" t="s">
        <v>273</v>
      </c>
      <c r="BQ165" s="14">
        <v>45824</v>
      </c>
      <c r="BR165" s="1"/>
    </row>
    <row r="166" spans="1:70" ht="18" customHeight="1" x14ac:dyDescent="0.3">
      <c r="A166" s="2">
        <v>166</v>
      </c>
      <c r="B166" s="2">
        <v>250608005</v>
      </c>
      <c r="C166" s="111">
        <v>45817</v>
      </c>
      <c r="D166" s="2">
        <v>985565.16</v>
      </c>
      <c r="E166" s="2" t="s">
        <v>677</v>
      </c>
      <c r="F166" s="2" t="s">
        <v>1346</v>
      </c>
      <c r="G166" s="2" t="s">
        <v>476</v>
      </c>
      <c r="H166" s="2">
        <v>36</v>
      </c>
      <c r="I166" s="83">
        <v>50391</v>
      </c>
      <c r="J166" s="2" t="s">
        <v>142</v>
      </c>
      <c r="K166" s="2" t="s">
        <v>126</v>
      </c>
      <c r="L166" s="2" t="s">
        <v>854</v>
      </c>
      <c r="M166" s="78">
        <v>45821</v>
      </c>
      <c r="N166" s="56" t="s">
        <v>1467</v>
      </c>
      <c r="Q166" s="67">
        <f t="shared" si="15"/>
        <v>3</v>
      </c>
      <c r="R166" s="29">
        <f t="shared" si="13"/>
        <v>4</v>
      </c>
      <c r="T166" s="1"/>
      <c r="U166" s="1" t="s">
        <v>835</v>
      </c>
      <c r="V166" s="2" t="s">
        <v>755</v>
      </c>
      <c r="W166" s="1" t="s">
        <v>827</v>
      </c>
      <c r="X166" s="2" t="s">
        <v>1381</v>
      </c>
      <c r="Y166" s="14">
        <v>45819</v>
      </c>
      <c r="Z166" s="14">
        <v>45824</v>
      </c>
      <c r="AA166" s="4">
        <v>45821</v>
      </c>
      <c r="AB166" s="4">
        <v>45821</v>
      </c>
      <c r="AC166" s="14">
        <v>45824</v>
      </c>
      <c r="AD166" s="2" t="s">
        <v>1372</v>
      </c>
      <c r="AE166" s="2">
        <v>4840715855</v>
      </c>
      <c r="AF166" s="2">
        <v>1</v>
      </c>
      <c r="AG166" s="2">
        <v>200.5</v>
      </c>
      <c r="AH166" s="2"/>
      <c r="AI166" s="2" t="s">
        <v>179</v>
      </c>
      <c r="AJ166" s="2"/>
      <c r="AK166" s="4">
        <v>45819</v>
      </c>
      <c r="AL166" s="14">
        <v>45819</v>
      </c>
      <c r="AM166" s="14">
        <v>45820</v>
      </c>
      <c r="AN166" s="2"/>
      <c r="AO166" s="2">
        <v>2629722</v>
      </c>
      <c r="AP166" s="14">
        <v>45821</v>
      </c>
      <c r="AQ166" s="14">
        <v>45824</v>
      </c>
      <c r="AS166" s="14">
        <v>45825</v>
      </c>
      <c r="AT166" s="44">
        <v>50470</v>
      </c>
      <c r="AU166" s="1" t="s">
        <v>74</v>
      </c>
      <c r="AV166" s="14">
        <v>45825</v>
      </c>
      <c r="AW166" s="14">
        <v>45825</v>
      </c>
      <c r="AY166" s="2">
        <v>2720122</v>
      </c>
      <c r="AZ166" s="14">
        <v>45826</v>
      </c>
      <c r="BA166" s="1" t="s">
        <v>1438</v>
      </c>
      <c r="BB166" s="2" t="s">
        <v>1439</v>
      </c>
      <c r="BC166" s="14">
        <v>45826</v>
      </c>
      <c r="BD166" s="14">
        <v>45826</v>
      </c>
      <c r="BF166" s="5">
        <v>45827</v>
      </c>
      <c r="BG166" s="5">
        <v>45828</v>
      </c>
      <c r="BH166" s="1" t="s">
        <v>1465</v>
      </c>
      <c r="BI166" s="1" t="s">
        <v>273</v>
      </c>
      <c r="BQ166" s="14">
        <v>45825</v>
      </c>
      <c r="BR166" s="5">
        <v>45825</v>
      </c>
    </row>
    <row r="167" spans="1:70" ht="18" customHeight="1" x14ac:dyDescent="0.3">
      <c r="A167" s="2">
        <v>167</v>
      </c>
      <c r="B167" s="2">
        <v>6882613</v>
      </c>
      <c r="C167" s="111">
        <v>45809</v>
      </c>
      <c r="D167" s="2">
        <v>93080</v>
      </c>
      <c r="E167" s="2" t="s">
        <v>840</v>
      </c>
      <c r="F167" s="8" t="s">
        <v>1327</v>
      </c>
      <c r="G167" s="8" t="s">
        <v>1328</v>
      </c>
      <c r="H167" s="8" t="s">
        <v>141</v>
      </c>
      <c r="I167" s="83">
        <v>50354</v>
      </c>
      <c r="J167" s="2" t="s">
        <v>142</v>
      </c>
      <c r="K167" s="2" t="s">
        <v>126</v>
      </c>
      <c r="L167" s="2" t="s">
        <v>854</v>
      </c>
      <c r="M167" s="78">
        <v>45817</v>
      </c>
      <c r="N167" s="56" t="s">
        <v>1477</v>
      </c>
      <c r="Q167" s="67">
        <f t="shared" ref="Q167:Q173" si="16">AQ167-AB167</f>
        <v>5</v>
      </c>
      <c r="R167" s="29">
        <f t="shared" si="13"/>
        <v>5</v>
      </c>
      <c r="T167" s="1"/>
      <c r="U167" s="1" t="s">
        <v>1251</v>
      </c>
      <c r="V167" s="2" t="s">
        <v>425</v>
      </c>
      <c r="W167" s="64" t="s">
        <v>426</v>
      </c>
      <c r="X167" s="2">
        <v>2055065620</v>
      </c>
      <c r="Y167" s="14">
        <v>45813</v>
      </c>
      <c r="Z167" s="14">
        <v>45817</v>
      </c>
      <c r="AA167" s="4">
        <v>45819</v>
      </c>
      <c r="AB167" s="4">
        <v>45819</v>
      </c>
      <c r="AC167" s="14">
        <v>45824</v>
      </c>
      <c r="AD167" s="2" t="s">
        <v>1329</v>
      </c>
      <c r="AE167" s="2" t="s">
        <v>1330</v>
      </c>
      <c r="AF167" s="2">
        <v>3</v>
      </c>
      <c r="AG167" s="2">
        <v>797</v>
      </c>
      <c r="AH167" s="2"/>
      <c r="AI167" s="2" t="s">
        <v>180</v>
      </c>
      <c r="AJ167" s="2"/>
      <c r="AK167" s="4">
        <v>45817</v>
      </c>
      <c r="AL167" s="4">
        <v>45817</v>
      </c>
      <c r="AM167" s="4">
        <v>45817</v>
      </c>
      <c r="AN167" s="2"/>
      <c r="AO167" s="88">
        <v>2608038</v>
      </c>
      <c r="AP167" s="14">
        <v>45820</v>
      </c>
      <c r="AQ167" s="14">
        <v>45824</v>
      </c>
      <c r="AS167" s="14">
        <v>45825</v>
      </c>
      <c r="AT167" s="44">
        <v>50464</v>
      </c>
      <c r="AU167" s="1" t="s">
        <v>74</v>
      </c>
      <c r="AV167" s="14">
        <v>45825</v>
      </c>
      <c r="AW167" s="14">
        <v>45825</v>
      </c>
      <c r="AY167" s="2">
        <v>2741179</v>
      </c>
      <c r="AZ167" s="32">
        <v>45827</v>
      </c>
      <c r="BA167" s="1">
        <v>8074690</v>
      </c>
      <c r="BB167" s="2">
        <v>1453444</v>
      </c>
      <c r="BC167" s="5">
        <v>45827</v>
      </c>
      <c r="BD167" s="5">
        <v>45827</v>
      </c>
      <c r="BF167" s="5">
        <v>45828</v>
      </c>
      <c r="BG167" s="5">
        <v>45829</v>
      </c>
      <c r="BH167" s="1" t="s">
        <v>1476</v>
      </c>
      <c r="BI167" s="1" t="s">
        <v>273</v>
      </c>
      <c r="BQ167" s="14">
        <v>45825</v>
      </c>
      <c r="BR167" s="5">
        <v>45826</v>
      </c>
    </row>
    <row r="168" spans="1:70" ht="18.75" customHeight="1" x14ac:dyDescent="0.3">
      <c r="A168" s="2">
        <v>168</v>
      </c>
      <c r="B168" s="2">
        <v>6875310</v>
      </c>
      <c r="C168" s="111">
        <v>45809</v>
      </c>
      <c r="D168" s="119">
        <v>116350</v>
      </c>
      <c r="E168" s="2" t="s">
        <v>840</v>
      </c>
      <c r="F168" s="8" t="s">
        <v>1331</v>
      </c>
      <c r="G168" s="8" t="s">
        <v>1332</v>
      </c>
      <c r="H168" s="8" t="s">
        <v>749</v>
      </c>
      <c r="I168" s="83">
        <v>50355</v>
      </c>
      <c r="J168" s="2" t="s">
        <v>142</v>
      </c>
      <c r="K168" s="2" t="s">
        <v>126</v>
      </c>
      <c r="L168" s="2" t="s">
        <v>854</v>
      </c>
      <c r="M168" s="78">
        <v>45817</v>
      </c>
      <c r="N168" s="56" t="s">
        <v>1478</v>
      </c>
      <c r="O168" s="1">
        <v>800</v>
      </c>
      <c r="Q168" s="67">
        <f t="shared" si="16"/>
        <v>5</v>
      </c>
      <c r="R168" s="29">
        <f t="shared" si="13"/>
        <v>5</v>
      </c>
      <c r="T168" s="1"/>
      <c r="U168" s="1" t="s">
        <v>1251</v>
      </c>
      <c r="V168" s="2" t="s">
        <v>425</v>
      </c>
      <c r="W168" s="64" t="s">
        <v>426</v>
      </c>
      <c r="X168" s="2">
        <v>2055065623</v>
      </c>
      <c r="Y168" s="14">
        <v>45813</v>
      </c>
      <c r="Z168" s="14">
        <v>45817</v>
      </c>
      <c r="AA168" s="4">
        <v>45817</v>
      </c>
      <c r="AB168" s="4">
        <v>45819</v>
      </c>
      <c r="AC168" s="14">
        <v>45824</v>
      </c>
      <c r="AD168" s="2" t="s">
        <v>1329</v>
      </c>
      <c r="AE168" s="2" t="s">
        <v>1333</v>
      </c>
      <c r="AF168" s="2">
        <v>4</v>
      </c>
      <c r="AG168" s="2">
        <v>984</v>
      </c>
      <c r="AH168" s="2"/>
      <c r="AI168" s="2" t="s">
        <v>180</v>
      </c>
      <c r="AJ168" s="2"/>
      <c r="AK168" s="4">
        <v>45817</v>
      </c>
      <c r="AL168" s="4">
        <v>45817</v>
      </c>
      <c r="AM168" s="4">
        <v>45817</v>
      </c>
      <c r="AN168" s="2"/>
      <c r="AO168" s="2">
        <v>2608034</v>
      </c>
      <c r="AP168" s="14">
        <v>45820</v>
      </c>
      <c r="AQ168" s="14">
        <v>45824</v>
      </c>
      <c r="AR168" s="121" t="s">
        <v>1410</v>
      </c>
      <c r="AS168" s="14">
        <v>45825</v>
      </c>
      <c r="AT168" s="44">
        <v>50465</v>
      </c>
      <c r="AU168" s="1" t="s">
        <v>74</v>
      </c>
      <c r="AV168" s="14">
        <v>45825</v>
      </c>
      <c r="AW168" s="14">
        <v>45825</v>
      </c>
      <c r="AY168" s="2">
        <v>2741180</v>
      </c>
      <c r="AZ168" s="32">
        <v>45827</v>
      </c>
      <c r="BA168" s="1">
        <v>10093363</v>
      </c>
      <c r="BB168" s="2">
        <v>1816805</v>
      </c>
      <c r="BC168" s="5">
        <v>45827</v>
      </c>
      <c r="BD168" s="5">
        <v>45827</v>
      </c>
      <c r="BF168" s="5">
        <v>45828</v>
      </c>
      <c r="BG168" s="5">
        <v>45829</v>
      </c>
      <c r="BH168" s="1" t="s">
        <v>1476</v>
      </c>
      <c r="BI168" s="1" t="s">
        <v>273</v>
      </c>
      <c r="BQ168" s="14">
        <v>45825</v>
      </c>
      <c r="BR168" s="5">
        <v>45826</v>
      </c>
    </row>
    <row r="169" spans="1:70" ht="18" customHeight="1" x14ac:dyDescent="0.3">
      <c r="A169" s="2">
        <v>169</v>
      </c>
      <c r="B169" s="2" t="s">
        <v>1344</v>
      </c>
      <c r="C169" s="111">
        <v>45805</v>
      </c>
      <c r="D169" s="2">
        <v>2730</v>
      </c>
      <c r="E169" s="2" t="s">
        <v>677</v>
      </c>
      <c r="F169" s="2" t="s">
        <v>345</v>
      </c>
      <c r="G169" s="2" t="s">
        <v>346</v>
      </c>
      <c r="H169" s="2">
        <v>6</v>
      </c>
      <c r="I169" s="83">
        <v>50359</v>
      </c>
      <c r="J169" s="2" t="s">
        <v>142</v>
      </c>
      <c r="K169" s="2" t="s">
        <v>126</v>
      </c>
      <c r="L169" s="2" t="s">
        <v>854</v>
      </c>
      <c r="M169" s="78">
        <v>45819</v>
      </c>
      <c r="N169" s="56" t="s">
        <v>1506</v>
      </c>
      <c r="Q169" s="67">
        <f t="shared" si="16"/>
        <v>2</v>
      </c>
      <c r="R169" s="29">
        <f t="shared" si="13"/>
        <v>11</v>
      </c>
      <c r="T169" s="1"/>
      <c r="U169" s="8" t="s">
        <v>1067</v>
      </c>
      <c r="V169" s="2" t="s">
        <v>1249</v>
      </c>
      <c r="W169" s="64" t="s">
        <v>163</v>
      </c>
      <c r="X169" s="2" t="s">
        <v>1345</v>
      </c>
      <c r="Y169" s="14">
        <v>45814</v>
      </c>
      <c r="Z169" s="14">
        <v>45822</v>
      </c>
      <c r="AA169" s="4">
        <v>45819</v>
      </c>
      <c r="AB169" s="4">
        <v>45819</v>
      </c>
      <c r="AC169" s="14">
        <v>45821</v>
      </c>
      <c r="AD169" s="2" t="s">
        <v>1343</v>
      </c>
      <c r="AE169" s="2">
        <v>412656372</v>
      </c>
      <c r="AF169" s="2">
        <v>1</v>
      </c>
      <c r="AG169" s="2">
        <v>1.5</v>
      </c>
      <c r="AH169" s="2"/>
      <c r="AI169" s="2" t="s">
        <v>179</v>
      </c>
      <c r="AJ169" s="2"/>
      <c r="AK169" s="4">
        <v>45816</v>
      </c>
      <c r="AL169" s="14">
        <v>45817</v>
      </c>
      <c r="AM169" s="4">
        <v>45817</v>
      </c>
      <c r="AN169" s="2"/>
      <c r="AO169" s="2">
        <v>2592326</v>
      </c>
      <c r="AP169" s="14">
        <v>45819</v>
      </c>
      <c r="AQ169" s="14">
        <v>45821</v>
      </c>
      <c r="AS169" s="14">
        <v>45822</v>
      </c>
      <c r="AT169" s="44">
        <v>50403</v>
      </c>
      <c r="AU169" s="1" t="s">
        <v>74</v>
      </c>
      <c r="AV169" s="14">
        <v>45822</v>
      </c>
      <c r="AW169" s="14">
        <v>45824</v>
      </c>
      <c r="AY169" s="2">
        <v>2696983</v>
      </c>
      <c r="AZ169" s="32">
        <v>45825</v>
      </c>
      <c r="BA169" s="1">
        <v>236828</v>
      </c>
      <c r="BB169" s="2">
        <v>42629</v>
      </c>
      <c r="BC169" s="5">
        <v>45825</v>
      </c>
      <c r="BD169" s="14">
        <v>45825</v>
      </c>
      <c r="BF169" s="5">
        <v>45826</v>
      </c>
      <c r="BG169" s="5">
        <v>45832</v>
      </c>
      <c r="BH169" s="1" t="s">
        <v>1505</v>
      </c>
      <c r="BI169" s="1" t="s">
        <v>273</v>
      </c>
      <c r="BQ169" s="14">
        <v>45824</v>
      </c>
      <c r="BR169" s="5">
        <v>45824</v>
      </c>
    </row>
    <row r="170" spans="1:70" ht="18" customHeight="1" x14ac:dyDescent="0.3">
      <c r="A170" s="2">
        <v>170</v>
      </c>
      <c r="B170" s="2">
        <v>6941263</v>
      </c>
      <c r="C170" s="111" t="s">
        <v>1440</v>
      </c>
      <c r="D170" s="2">
        <v>67240</v>
      </c>
      <c r="E170" s="2" t="s">
        <v>678</v>
      </c>
      <c r="F170" s="8" t="s">
        <v>1441</v>
      </c>
      <c r="G170" s="8" t="s">
        <v>1186</v>
      </c>
      <c r="H170" s="8" t="s">
        <v>201</v>
      </c>
      <c r="I170" s="83">
        <v>50485</v>
      </c>
      <c r="J170" s="2" t="s">
        <v>142</v>
      </c>
      <c r="K170" s="2" t="s">
        <v>126</v>
      </c>
      <c r="L170" s="2" t="s">
        <v>854</v>
      </c>
      <c r="M170" s="78">
        <v>45826</v>
      </c>
      <c r="N170" s="56" t="s">
        <v>1507</v>
      </c>
      <c r="Q170" s="67">
        <f t="shared" si="16"/>
        <v>2</v>
      </c>
      <c r="R170" s="29">
        <f t="shared" si="13"/>
        <v>4</v>
      </c>
      <c r="T170" s="1"/>
      <c r="U170" s="1" t="s">
        <v>1248</v>
      </c>
      <c r="V170" s="2" t="s">
        <v>1249</v>
      </c>
      <c r="W170" s="64" t="s">
        <v>163</v>
      </c>
      <c r="X170" s="2">
        <v>20255070484</v>
      </c>
      <c r="Y170" s="14">
        <v>45825</v>
      </c>
      <c r="Z170" s="14">
        <v>45829</v>
      </c>
      <c r="AA170" s="4">
        <v>45826</v>
      </c>
      <c r="AB170" s="4">
        <v>45826</v>
      </c>
      <c r="AC170" s="14">
        <v>45828</v>
      </c>
      <c r="AD170" s="2" t="s">
        <v>1443</v>
      </c>
      <c r="AE170" s="2" t="s">
        <v>1442</v>
      </c>
      <c r="AF170" s="2">
        <v>1</v>
      </c>
      <c r="AG170" s="2">
        <v>230</v>
      </c>
      <c r="AH170" s="2"/>
      <c r="AI170" s="2" t="s">
        <v>180</v>
      </c>
      <c r="AJ170" s="2"/>
      <c r="AK170" s="4">
        <v>45826</v>
      </c>
      <c r="AL170" s="4">
        <v>45826</v>
      </c>
      <c r="AM170" s="4">
        <v>45826</v>
      </c>
      <c r="AN170" s="2"/>
      <c r="AO170" s="2">
        <v>2746539</v>
      </c>
      <c r="AP170" s="14">
        <v>45827</v>
      </c>
      <c r="AQ170" s="14">
        <v>45828</v>
      </c>
      <c r="AS170" s="14">
        <v>45828</v>
      </c>
      <c r="AT170" s="44">
        <v>50521</v>
      </c>
      <c r="AU170" s="1" t="s">
        <v>74</v>
      </c>
      <c r="AV170" s="14">
        <v>45828</v>
      </c>
      <c r="AW170" s="14">
        <v>45829</v>
      </c>
      <c r="AY170" s="2">
        <v>2820588</v>
      </c>
      <c r="AZ170" s="32">
        <v>45831</v>
      </c>
      <c r="BA170" s="1">
        <v>5893586</v>
      </c>
      <c r="BB170" s="2">
        <v>1060845</v>
      </c>
      <c r="BC170" s="5">
        <v>45831</v>
      </c>
      <c r="BD170" s="14">
        <v>45831</v>
      </c>
      <c r="BF170" s="5">
        <v>45832</v>
      </c>
      <c r="BG170" s="5">
        <v>45832</v>
      </c>
      <c r="BH170" s="1" t="s">
        <v>1505</v>
      </c>
      <c r="BI170" s="1" t="s">
        <v>273</v>
      </c>
      <c r="BQ170" s="14">
        <v>45829</v>
      </c>
      <c r="BR170" s="5">
        <v>45831</v>
      </c>
    </row>
    <row r="171" spans="1:70" ht="18" customHeight="1" x14ac:dyDescent="0.3">
      <c r="A171" s="2">
        <v>171</v>
      </c>
      <c r="B171" s="8" t="s">
        <v>1366</v>
      </c>
      <c r="C171" s="8" t="s">
        <v>1367</v>
      </c>
      <c r="D171" s="8" t="s">
        <v>1368</v>
      </c>
      <c r="E171" s="2" t="s">
        <v>840</v>
      </c>
      <c r="F171" s="8" t="s">
        <v>1369</v>
      </c>
      <c r="G171" s="8" t="s">
        <v>1406</v>
      </c>
      <c r="H171" s="8" t="s">
        <v>1370</v>
      </c>
      <c r="I171" s="83">
        <v>50382</v>
      </c>
      <c r="J171" s="2" t="s">
        <v>142</v>
      </c>
      <c r="K171" s="2" t="s">
        <v>126</v>
      </c>
      <c r="L171" s="2" t="s">
        <v>854</v>
      </c>
      <c r="M171" s="78">
        <v>45820</v>
      </c>
      <c r="N171" s="56" t="s">
        <v>1515</v>
      </c>
      <c r="Q171" s="67">
        <f t="shared" si="16"/>
        <v>4</v>
      </c>
      <c r="R171" s="29">
        <f t="shared" si="13"/>
        <v>9</v>
      </c>
      <c r="T171" s="1"/>
      <c r="U171" s="8" t="s">
        <v>1371</v>
      </c>
      <c r="V171" s="1" t="s">
        <v>626</v>
      </c>
      <c r="W171" s="1" t="s">
        <v>627</v>
      </c>
      <c r="X171" s="2">
        <v>20255066834</v>
      </c>
      <c r="Y171" s="14">
        <v>45817</v>
      </c>
      <c r="Z171" s="14">
        <v>45821</v>
      </c>
      <c r="AA171" s="4">
        <v>45820</v>
      </c>
      <c r="AB171" s="4">
        <v>45820</v>
      </c>
      <c r="AC171" s="14">
        <v>45824</v>
      </c>
      <c r="AD171" s="2" t="s">
        <v>1362</v>
      </c>
      <c r="AE171" s="2" t="s">
        <v>1364</v>
      </c>
      <c r="AF171" s="2">
        <v>8</v>
      </c>
      <c r="AG171" s="2">
        <v>2340</v>
      </c>
      <c r="AH171" s="2"/>
      <c r="AI171" s="2" t="s">
        <v>180</v>
      </c>
      <c r="AJ171" s="2"/>
      <c r="AK171" s="4">
        <v>45819</v>
      </c>
      <c r="AL171" s="14">
        <v>45819</v>
      </c>
      <c r="AM171" s="14">
        <v>45820</v>
      </c>
      <c r="AN171" s="2"/>
      <c r="AO171" s="2">
        <v>2629028</v>
      </c>
      <c r="AP171" s="14">
        <v>45821</v>
      </c>
      <c r="AQ171" s="14">
        <v>45824</v>
      </c>
      <c r="AS171" s="14">
        <v>45825</v>
      </c>
      <c r="AT171" s="44">
        <v>50466</v>
      </c>
      <c r="AU171" s="1" t="s">
        <v>74</v>
      </c>
      <c r="AV171" s="14">
        <v>45825</v>
      </c>
      <c r="AW171" s="14">
        <v>45825</v>
      </c>
      <c r="AY171" s="2">
        <v>2815705</v>
      </c>
      <c r="AZ171" s="32">
        <v>45831</v>
      </c>
      <c r="BA171" s="1">
        <v>24475386</v>
      </c>
      <c r="BB171" s="2">
        <v>4405570</v>
      </c>
      <c r="BC171" s="5">
        <v>45831</v>
      </c>
      <c r="BD171" s="14">
        <v>45831</v>
      </c>
      <c r="BF171" s="5">
        <v>45832</v>
      </c>
      <c r="BG171" s="5">
        <v>45833</v>
      </c>
      <c r="BH171" s="1" t="s">
        <v>1514</v>
      </c>
      <c r="BI171" s="1" t="s">
        <v>273</v>
      </c>
      <c r="BQ171" s="14">
        <v>45825</v>
      </c>
      <c r="BR171" s="5">
        <v>45827</v>
      </c>
    </row>
    <row r="172" spans="1:70" ht="18" customHeight="1" x14ac:dyDescent="0.3">
      <c r="A172" s="2">
        <v>172</v>
      </c>
      <c r="B172" s="2">
        <v>6934725</v>
      </c>
      <c r="C172" s="111">
        <v>45810</v>
      </c>
      <c r="D172" s="2">
        <v>62310</v>
      </c>
      <c r="E172" s="2" t="s">
        <v>840</v>
      </c>
      <c r="F172" s="8" t="s">
        <v>1104</v>
      </c>
      <c r="G172" s="8" t="s">
        <v>1376</v>
      </c>
      <c r="H172" s="8" t="s">
        <v>1377</v>
      </c>
      <c r="I172" s="83">
        <v>50398</v>
      </c>
      <c r="J172" s="2" t="s">
        <v>142</v>
      </c>
      <c r="K172" s="2" t="s">
        <v>126</v>
      </c>
      <c r="L172" s="2" t="s">
        <v>854</v>
      </c>
      <c r="M172" s="78">
        <v>45820</v>
      </c>
      <c r="N172" s="56" t="s">
        <v>1516</v>
      </c>
      <c r="Q172" s="67">
        <f t="shared" si="16"/>
        <v>4</v>
      </c>
      <c r="R172" s="29">
        <f t="shared" si="13"/>
        <v>7</v>
      </c>
      <c r="T172" s="1"/>
      <c r="U172" s="1" t="s">
        <v>1380</v>
      </c>
      <c r="V172" s="1" t="s">
        <v>626</v>
      </c>
      <c r="W172" s="1" t="s">
        <v>627</v>
      </c>
      <c r="X172" s="2">
        <v>20255067564</v>
      </c>
      <c r="Y172" s="14">
        <v>45818</v>
      </c>
      <c r="Z172" s="14">
        <v>45822</v>
      </c>
      <c r="AA172" s="4">
        <v>45823</v>
      </c>
      <c r="AB172" s="4">
        <v>45822</v>
      </c>
      <c r="AC172" s="14">
        <v>45826</v>
      </c>
      <c r="AD172" s="2" t="s">
        <v>1378</v>
      </c>
      <c r="AE172" s="2" t="s">
        <v>1379</v>
      </c>
      <c r="AF172" s="2">
        <v>2</v>
      </c>
      <c r="AG172" s="2">
        <v>585</v>
      </c>
      <c r="AH172" s="2"/>
      <c r="AI172" s="2" t="s">
        <v>180</v>
      </c>
      <c r="AJ172" s="2"/>
      <c r="AK172" s="4">
        <v>45819</v>
      </c>
      <c r="AL172" s="14">
        <v>45820</v>
      </c>
      <c r="AM172" s="14">
        <v>45820</v>
      </c>
      <c r="AN172" s="2"/>
      <c r="AO172" s="2">
        <v>2675074</v>
      </c>
      <c r="AP172" s="14">
        <v>45824</v>
      </c>
      <c r="AQ172" s="14">
        <v>45826</v>
      </c>
      <c r="AS172" s="14">
        <v>45826</v>
      </c>
      <c r="AT172" s="44">
        <v>50486</v>
      </c>
      <c r="AU172" s="1" t="s">
        <v>74</v>
      </c>
      <c r="AV172" s="14">
        <v>45826</v>
      </c>
      <c r="AW172" s="14">
        <v>45827</v>
      </c>
      <c r="AY172" s="2">
        <v>2815704</v>
      </c>
      <c r="AZ172" s="32">
        <v>45831</v>
      </c>
      <c r="BA172" s="1">
        <v>5461472</v>
      </c>
      <c r="BB172" s="2">
        <v>983065</v>
      </c>
      <c r="BC172" s="5">
        <v>45831</v>
      </c>
      <c r="BD172" s="14">
        <v>45831</v>
      </c>
      <c r="BF172" s="5">
        <v>45832</v>
      </c>
      <c r="BG172" s="5">
        <v>45833</v>
      </c>
      <c r="BH172" s="1" t="s">
        <v>1514</v>
      </c>
      <c r="BI172" s="1" t="s">
        <v>273</v>
      </c>
      <c r="BQ172" s="14">
        <v>45827</v>
      </c>
      <c r="BR172" s="14">
        <v>45827</v>
      </c>
    </row>
    <row r="173" spans="1:70" ht="18" customHeight="1" x14ac:dyDescent="0.3">
      <c r="A173" s="2">
        <v>173</v>
      </c>
      <c r="B173" s="2">
        <v>6936912</v>
      </c>
      <c r="C173" s="111">
        <v>45810</v>
      </c>
      <c r="D173" s="2">
        <v>81445</v>
      </c>
      <c r="E173" s="2" t="s">
        <v>840</v>
      </c>
      <c r="F173" s="8" t="s">
        <v>1382</v>
      </c>
      <c r="G173" s="8" t="s">
        <v>1383</v>
      </c>
      <c r="H173" s="8" t="s">
        <v>651</v>
      </c>
      <c r="I173" s="83">
        <v>50402</v>
      </c>
      <c r="J173" s="2" t="s">
        <v>142</v>
      </c>
      <c r="K173" s="2" t="s">
        <v>126</v>
      </c>
      <c r="L173" s="2" t="s">
        <v>854</v>
      </c>
      <c r="M173" s="78">
        <v>45822</v>
      </c>
      <c r="N173" s="56" t="s">
        <v>1517</v>
      </c>
      <c r="Q173" s="67">
        <f t="shared" si="16"/>
        <v>4</v>
      </c>
      <c r="R173" s="29">
        <f t="shared" si="13"/>
        <v>7</v>
      </c>
      <c r="T173" s="1"/>
      <c r="U173" s="1" t="s">
        <v>1385</v>
      </c>
      <c r="V173" s="1" t="s">
        <v>626</v>
      </c>
      <c r="W173" s="1" t="s">
        <v>627</v>
      </c>
      <c r="X173" s="2">
        <v>20255067567</v>
      </c>
      <c r="Y173" s="14">
        <v>45818</v>
      </c>
      <c r="Z173" s="14">
        <v>45822</v>
      </c>
      <c r="AA173" s="4">
        <v>45823</v>
      </c>
      <c r="AB173" s="4">
        <v>45822</v>
      </c>
      <c r="AC173" s="14">
        <v>45826</v>
      </c>
      <c r="AD173" s="2" t="s">
        <v>1378</v>
      </c>
      <c r="AE173" s="2" t="s">
        <v>1384</v>
      </c>
      <c r="AF173" s="2">
        <v>3</v>
      </c>
      <c r="AG173" s="2">
        <v>690</v>
      </c>
      <c r="AH173" s="2"/>
      <c r="AI173" s="2" t="s">
        <v>180</v>
      </c>
      <c r="AJ173" s="2"/>
      <c r="AK173" s="4">
        <v>45819</v>
      </c>
      <c r="AL173" s="14">
        <v>45820</v>
      </c>
      <c r="AM173" s="14">
        <v>45820</v>
      </c>
      <c r="AN173" s="2"/>
      <c r="AO173" s="2">
        <v>2675889</v>
      </c>
      <c r="AP173" s="14">
        <v>45824</v>
      </c>
      <c r="AQ173" s="14">
        <v>45826</v>
      </c>
      <c r="AS173" s="14">
        <v>45826</v>
      </c>
      <c r="AT173" s="44">
        <v>50487</v>
      </c>
      <c r="AU173" s="1" t="s">
        <v>74</v>
      </c>
      <c r="AV173" s="14">
        <v>45826</v>
      </c>
      <c r="AW173" s="14">
        <v>45827</v>
      </c>
      <c r="AY173" s="2">
        <v>2815703</v>
      </c>
      <c r="AZ173" s="32">
        <v>45831</v>
      </c>
      <c r="BA173" s="1">
        <v>7138654</v>
      </c>
      <c r="BB173" s="2">
        <v>1284958</v>
      </c>
      <c r="BC173" s="5">
        <v>45831</v>
      </c>
      <c r="BD173" s="14">
        <v>45831</v>
      </c>
      <c r="BF173" s="5">
        <v>45832</v>
      </c>
      <c r="BG173" s="5">
        <v>45833</v>
      </c>
      <c r="BH173" s="1" t="s">
        <v>1514</v>
      </c>
      <c r="BI173" s="1" t="s">
        <v>273</v>
      </c>
      <c r="BQ173" s="14">
        <v>45827</v>
      </c>
      <c r="BR173" s="14">
        <v>45827</v>
      </c>
    </row>
    <row r="174" spans="1:70" ht="17.25" customHeight="1" x14ac:dyDescent="0.3">
      <c r="A174" s="2">
        <v>174</v>
      </c>
      <c r="B174" s="2">
        <v>6933653</v>
      </c>
      <c r="C174" s="111">
        <v>45803</v>
      </c>
      <c r="D174" s="2">
        <v>114235</v>
      </c>
      <c r="E174" s="2" t="s">
        <v>840</v>
      </c>
      <c r="F174" s="8" t="s">
        <v>219</v>
      </c>
      <c r="G174" s="8" t="s">
        <v>1361</v>
      </c>
      <c r="H174" s="8" t="s">
        <v>1058</v>
      </c>
      <c r="I174" s="83">
        <v>50446</v>
      </c>
      <c r="J174" s="2" t="s">
        <v>142</v>
      </c>
      <c r="K174" s="2" t="s">
        <v>126</v>
      </c>
      <c r="L174" s="2" t="s">
        <v>854</v>
      </c>
      <c r="M174" s="78">
        <v>45825</v>
      </c>
      <c r="N174" s="56" t="s">
        <v>1528</v>
      </c>
      <c r="Q174" s="67">
        <f t="shared" ref="Q174:Q187" si="17">AQ174-AB174</f>
        <v>2</v>
      </c>
      <c r="R174" s="29">
        <f t="shared" si="13"/>
        <v>11</v>
      </c>
      <c r="T174" s="1"/>
      <c r="U174" s="1" t="s">
        <v>1418</v>
      </c>
      <c r="V174" s="2" t="s">
        <v>1509</v>
      </c>
      <c r="W174" s="64" t="s">
        <v>426</v>
      </c>
      <c r="X174" s="2" t="s">
        <v>1503</v>
      </c>
      <c r="Y174" s="14">
        <v>45819</v>
      </c>
      <c r="Z174" s="14">
        <v>45836</v>
      </c>
      <c r="AA174" s="4">
        <v>45825</v>
      </c>
      <c r="AB174" s="4">
        <v>45825</v>
      </c>
      <c r="AC174" s="14">
        <v>45827</v>
      </c>
      <c r="AD174" s="2" t="s">
        <v>1419</v>
      </c>
      <c r="AE174" s="2" t="s">
        <v>1420</v>
      </c>
      <c r="AF174" s="2">
        <v>4</v>
      </c>
      <c r="AG174" s="2">
        <v>1112</v>
      </c>
      <c r="AH174" s="2"/>
      <c r="AI174" s="2" t="s">
        <v>1415</v>
      </c>
      <c r="AJ174" s="2"/>
      <c r="AK174" s="4">
        <v>45823</v>
      </c>
      <c r="AL174" s="14">
        <v>45824</v>
      </c>
      <c r="AM174" s="4">
        <v>45824</v>
      </c>
      <c r="AN174" s="2"/>
      <c r="AO174" s="2">
        <v>2718865</v>
      </c>
      <c r="AP174" s="14">
        <v>45826</v>
      </c>
      <c r="AQ174" s="14">
        <v>45827</v>
      </c>
      <c r="AS174" s="14">
        <v>45832</v>
      </c>
      <c r="AT174" s="44">
        <v>50519</v>
      </c>
      <c r="AU174" s="1" t="s">
        <v>74</v>
      </c>
      <c r="AV174" s="14">
        <v>45832</v>
      </c>
      <c r="AW174" s="14">
        <v>45832</v>
      </c>
      <c r="AY174" s="2">
        <v>2881871</v>
      </c>
      <c r="AZ174" s="116">
        <v>45834</v>
      </c>
      <c r="BA174" s="1" t="s">
        <v>1518</v>
      </c>
      <c r="BB174" s="2" t="s">
        <v>1519</v>
      </c>
      <c r="BC174" s="5">
        <v>45834</v>
      </c>
      <c r="BD174" s="5">
        <v>45834</v>
      </c>
      <c r="BF174" s="5">
        <v>45836</v>
      </c>
      <c r="BG174" s="5">
        <v>45838</v>
      </c>
      <c r="BH174" s="1" t="s">
        <v>1525</v>
      </c>
      <c r="BI174" s="1" t="s">
        <v>273</v>
      </c>
      <c r="BQ174" s="14">
        <v>45832</v>
      </c>
      <c r="BR174" s="5">
        <v>45833</v>
      </c>
    </row>
    <row r="175" spans="1:70" ht="17.25" customHeight="1" x14ac:dyDescent="0.3">
      <c r="A175" s="2">
        <v>175</v>
      </c>
      <c r="B175" s="2">
        <v>6933663</v>
      </c>
      <c r="C175" s="111">
        <v>45803</v>
      </c>
      <c r="D175" s="2">
        <v>116350</v>
      </c>
      <c r="E175" s="2" t="s">
        <v>840</v>
      </c>
      <c r="F175" s="8" t="s">
        <v>224</v>
      </c>
      <c r="G175" s="8" t="s">
        <v>763</v>
      </c>
      <c r="H175" s="8" t="s">
        <v>749</v>
      </c>
      <c r="I175" s="83">
        <v>50445</v>
      </c>
      <c r="J175" s="2" t="s">
        <v>142</v>
      </c>
      <c r="K175" s="2" t="s">
        <v>126</v>
      </c>
      <c r="L175" s="2" t="s">
        <v>854</v>
      </c>
      <c r="M175" s="78">
        <v>45825</v>
      </c>
      <c r="N175" s="56" t="s">
        <v>1551</v>
      </c>
      <c r="Q175" s="67">
        <f t="shared" si="17"/>
        <v>2</v>
      </c>
      <c r="R175" s="29">
        <f t="shared" si="13"/>
        <v>14</v>
      </c>
      <c r="T175" s="1">
        <v>754</v>
      </c>
      <c r="U175" s="47" t="s">
        <v>1416</v>
      </c>
      <c r="V175" s="2" t="s">
        <v>239</v>
      </c>
      <c r="W175" s="12" t="s">
        <v>240</v>
      </c>
      <c r="X175" s="2" t="s">
        <v>1502</v>
      </c>
      <c r="Y175" s="14">
        <v>45819</v>
      </c>
      <c r="Z175" s="14">
        <v>45836</v>
      </c>
      <c r="AA175" s="4">
        <v>45825</v>
      </c>
      <c r="AB175" s="4">
        <v>45825</v>
      </c>
      <c r="AC175" s="14">
        <v>45827</v>
      </c>
      <c r="AD175" s="2" t="s">
        <v>1413</v>
      </c>
      <c r="AE175" s="2" t="s">
        <v>1417</v>
      </c>
      <c r="AF175" s="2">
        <v>4</v>
      </c>
      <c r="AG175" s="2">
        <v>1010</v>
      </c>
      <c r="AH175" s="2"/>
      <c r="AI175" s="2" t="s">
        <v>1415</v>
      </c>
      <c r="AJ175" s="2"/>
      <c r="AK175" s="4">
        <v>45823</v>
      </c>
      <c r="AL175" s="14">
        <v>45824</v>
      </c>
      <c r="AM175" s="4">
        <v>45824</v>
      </c>
      <c r="AN175" s="2"/>
      <c r="AO175" s="2">
        <v>2719580</v>
      </c>
      <c r="AP175" s="14">
        <v>45826</v>
      </c>
      <c r="AQ175" s="14">
        <v>45827</v>
      </c>
      <c r="AS175" s="14">
        <v>45832</v>
      </c>
      <c r="AT175" s="44">
        <v>50518</v>
      </c>
      <c r="AU175" s="1" t="s">
        <v>74</v>
      </c>
      <c r="AV175" s="14">
        <v>45832</v>
      </c>
      <c r="AW175" s="14">
        <v>45832</v>
      </c>
      <c r="AY175" s="2">
        <v>2955464</v>
      </c>
      <c r="AZ175" s="32">
        <v>45838</v>
      </c>
      <c r="BA175" s="1" t="s">
        <v>1538</v>
      </c>
      <c r="BB175" s="17" t="s">
        <v>1539</v>
      </c>
      <c r="BC175" s="5">
        <v>45838</v>
      </c>
      <c r="BD175" s="5">
        <v>45839</v>
      </c>
      <c r="BF175" s="5">
        <v>45840</v>
      </c>
      <c r="BG175" s="5">
        <v>45841</v>
      </c>
      <c r="BH175" s="1" t="s">
        <v>1550</v>
      </c>
      <c r="BI175" s="1" t="s">
        <v>273</v>
      </c>
      <c r="BQ175" s="14">
        <v>45832</v>
      </c>
      <c r="BR175" s="5">
        <v>45833</v>
      </c>
    </row>
    <row r="176" spans="1:70" ht="17.25" customHeight="1" x14ac:dyDescent="0.3">
      <c r="A176" s="2">
        <v>176</v>
      </c>
      <c r="B176" s="2">
        <v>6933608</v>
      </c>
      <c r="C176" s="111">
        <v>45803</v>
      </c>
      <c r="D176" s="2">
        <v>41540</v>
      </c>
      <c r="E176" s="2" t="s">
        <v>840</v>
      </c>
      <c r="F176" s="8" t="s">
        <v>219</v>
      </c>
      <c r="G176" s="8" t="s">
        <v>1361</v>
      </c>
      <c r="H176" s="8" t="s">
        <v>201</v>
      </c>
      <c r="I176" s="83">
        <v>50447</v>
      </c>
      <c r="J176" s="2" t="s">
        <v>142</v>
      </c>
      <c r="K176" s="2" t="s">
        <v>126</v>
      </c>
      <c r="L176" s="2" t="s">
        <v>854</v>
      </c>
      <c r="M176" s="78">
        <v>45825</v>
      </c>
      <c r="N176" s="56" t="s">
        <v>1552</v>
      </c>
      <c r="Q176" s="67">
        <f t="shared" si="17"/>
        <v>2</v>
      </c>
      <c r="R176" s="29">
        <f t="shared" si="13"/>
        <v>14</v>
      </c>
      <c r="T176" s="1" t="s">
        <v>1537</v>
      </c>
      <c r="U176" s="47" t="s">
        <v>1421</v>
      </c>
      <c r="V176" s="2" t="s">
        <v>239</v>
      </c>
      <c r="W176" s="12" t="s">
        <v>240</v>
      </c>
      <c r="X176" s="2" t="s">
        <v>1504</v>
      </c>
      <c r="Y176" s="14">
        <v>45819</v>
      </c>
      <c r="Z176" s="14">
        <v>45805</v>
      </c>
      <c r="AA176" s="4">
        <v>45825</v>
      </c>
      <c r="AB176" s="4">
        <v>45825</v>
      </c>
      <c r="AC176" s="14">
        <v>45827</v>
      </c>
      <c r="AD176" s="2" t="s">
        <v>1419</v>
      </c>
      <c r="AE176" s="2" t="s">
        <v>1422</v>
      </c>
      <c r="AF176" s="2">
        <v>2</v>
      </c>
      <c r="AG176" s="2">
        <v>410</v>
      </c>
      <c r="AH176" s="2"/>
      <c r="AI176" s="2" t="s">
        <v>1415</v>
      </c>
      <c r="AJ176" s="2"/>
      <c r="AK176" s="4">
        <v>45823</v>
      </c>
      <c r="AL176" s="14">
        <v>45824</v>
      </c>
      <c r="AM176" s="4">
        <v>45824</v>
      </c>
      <c r="AN176" s="2"/>
      <c r="AO176" s="2">
        <v>2715770</v>
      </c>
      <c r="AP176" s="14">
        <v>45825</v>
      </c>
      <c r="AQ176" s="14">
        <v>45827</v>
      </c>
      <c r="AS176" s="14">
        <v>45832</v>
      </c>
      <c r="AT176" s="44">
        <v>50493</v>
      </c>
      <c r="AU176" s="1" t="s">
        <v>74</v>
      </c>
      <c r="AV176" s="14">
        <v>45832</v>
      </c>
      <c r="AW176" s="14">
        <v>45832</v>
      </c>
      <c r="AY176" s="2">
        <v>2955466</v>
      </c>
      <c r="AZ176" s="32">
        <v>45838</v>
      </c>
      <c r="BA176" s="1" t="s">
        <v>1536</v>
      </c>
      <c r="BB176" s="2">
        <v>655377</v>
      </c>
      <c r="BC176" s="5">
        <v>45838</v>
      </c>
      <c r="BD176" s="5">
        <v>45839</v>
      </c>
      <c r="BF176" s="5">
        <v>45840</v>
      </c>
      <c r="BG176" s="5">
        <v>45841</v>
      </c>
      <c r="BH176" s="1" t="s">
        <v>1550</v>
      </c>
      <c r="BI176" s="1" t="s">
        <v>273</v>
      </c>
      <c r="BQ176" s="14">
        <v>45832</v>
      </c>
      <c r="BR176" s="5">
        <v>45833</v>
      </c>
    </row>
    <row r="177" spans="1:70" ht="17.25" customHeight="1" x14ac:dyDescent="0.3">
      <c r="A177" s="2">
        <v>177</v>
      </c>
      <c r="B177" s="2">
        <v>6933654</v>
      </c>
      <c r="C177" s="111">
        <v>45810</v>
      </c>
      <c r="D177" s="2">
        <v>62310</v>
      </c>
      <c r="E177" s="2" t="s">
        <v>840</v>
      </c>
      <c r="F177" s="8" t="s">
        <v>573</v>
      </c>
      <c r="G177" s="8" t="s">
        <v>1411</v>
      </c>
      <c r="H177" s="8" t="s">
        <v>451</v>
      </c>
      <c r="I177" s="83">
        <v>50444</v>
      </c>
      <c r="J177" s="2" t="s">
        <v>142</v>
      </c>
      <c r="K177" s="2" t="s">
        <v>126</v>
      </c>
      <c r="L177" s="2" t="s">
        <v>854</v>
      </c>
      <c r="M177" s="78">
        <v>45825</v>
      </c>
      <c r="N177" s="56" t="s">
        <v>1561</v>
      </c>
      <c r="Q177" s="67">
        <f t="shared" si="17"/>
        <v>2</v>
      </c>
      <c r="R177" s="29">
        <f t="shared" si="13"/>
        <v>16</v>
      </c>
      <c r="T177" s="1"/>
      <c r="U177" s="1" t="s">
        <v>1412</v>
      </c>
      <c r="V177" s="2" t="s">
        <v>1508</v>
      </c>
      <c r="W177" s="64" t="s">
        <v>426</v>
      </c>
      <c r="X177" s="2" t="s">
        <v>1501</v>
      </c>
      <c r="Y177" s="14">
        <v>45819</v>
      </c>
      <c r="Z177" s="14">
        <v>45805</v>
      </c>
      <c r="AA177" s="4">
        <v>45825</v>
      </c>
      <c r="AB177" s="4">
        <v>45825</v>
      </c>
      <c r="AC177" s="14">
        <v>45827</v>
      </c>
      <c r="AD177" s="2" t="s">
        <v>1413</v>
      </c>
      <c r="AE177" s="2" t="s">
        <v>1414</v>
      </c>
      <c r="AF177" s="2">
        <v>2</v>
      </c>
      <c r="AG177" s="2">
        <v>608</v>
      </c>
      <c r="AH177" s="2"/>
      <c r="AI177" s="2" t="s">
        <v>1415</v>
      </c>
      <c r="AJ177" s="2"/>
      <c r="AK177" s="4">
        <v>45823</v>
      </c>
      <c r="AL177" s="14">
        <v>45824</v>
      </c>
      <c r="AM177" s="4">
        <v>45824</v>
      </c>
      <c r="AN177" s="2"/>
      <c r="AO177" s="2">
        <v>2715732</v>
      </c>
      <c r="AP177" s="14">
        <v>45825</v>
      </c>
      <c r="AQ177" s="14">
        <v>45827</v>
      </c>
      <c r="AS177" s="14">
        <v>45832</v>
      </c>
      <c r="AT177" s="44">
        <v>50488</v>
      </c>
      <c r="AU177" s="1" t="s">
        <v>74</v>
      </c>
      <c r="AV177" s="14">
        <v>45832</v>
      </c>
      <c r="AW177" s="14">
        <v>45832</v>
      </c>
      <c r="AY177" s="2">
        <v>3000460</v>
      </c>
      <c r="AZ177" s="116">
        <v>45840</v>
      </c>
      <c r="BA177" s="1">
        <v>5461472</v>
      </c>
      <c r="BB177" s="2">
        <v>983065</v>
      </c>
      <c r="BC177" s="5">
        <v>45840</v>
      </c>
      <c r="BD177" s="5">
        <v>45840</v>
      </c>
      <c r="BF177" s="5">
        <v>45841</v>
      </c>
      <c r="BG177" s="5">
        <v>45843</v>
      </c>
      <c r="BH177" s="1" t="s">
        <v>1560</v>
      </c>
      <c r="BI177" s="1" t="s">
        <v>273</v>
      </c>
      <c r="BQ177" s="14">
        <v>45832</v>
      </c>
      <c r="BR177" s="5">
        <v>45838</v>
      </c>
    </row>
    <row r="178" spans="1:70" ht="17.25" customHeight="1" x14ac:dyDescent="0.3">
      <c r="A178" s="2">
        <v>178</v>
      </c>
      <c r="B178" s="2">
        <v>250605738</v>
      </c>
      <c r="C178" s="111">
        <v>45821</v>
      </c>
      <c r="D178" s="2">
        <v>12110.54</v>
      </c>
      <c r="E178" s="2" t="s">
        <v>677</v>
      </c>
      <c r="F178" s="2" t="s">
        <v>1260</v>
      </c>
      <c r="G178" s="8" t="s">
        <v>830</v>
      </c>
      <c r="H178" s="2">
        <v>2</v>
      </c>
      <c r="I178" s="83">
        <v>50452</v>
      </c>
      <c r="J178" s="2" t="s">
        <v>142</v>
      </c>
      <c r="K178" s="2" t="s">
        <v>126</v>
      </c>
      <c r="L178" s="2" t="s">
        <v>854</v>
      </c>
      <c r="M178" s="78">
        <v>45826</v>
      </c>
      <c r="N178" s="56" t="s">
        <v>1564</v>
      </c>
      <c r="Q178" s="67">
        <f t="shared" si="17"/>
        <v>3</v>
      </c>
      <c r="R178" s="29">
        <f t="shared" si="13"/>
        <v>14</v>
      </c>
      <c r="T178" s="1" t="s">
        <v>1522</v>
      </c>
      <c r="U178" s="1" t="s">
        <v>1426</v>
      </c>
      <c r="V178" s="2" t="s">
        <v>755</v>
      </c>
      <c r="W178" s="1" t="s">
        <v>827</v>
      </c>
      <c r="X178" s="2" t="s">
        <v>1428</v>
      </c>
      <c r="Y178" s="14">
        <v>45854</v>
      </c>
      <c r="Z178" s="14">
        <v>45827</v>
      </c>
      <c r="AA178" s="4">
        <v>45826</v>
      </c>
      <c r="AB178" s="4">
        <v>45826</v>
      </c>
      <c r="AC178" s="14">
        <v>45829</v>
      </c>
      <c r="AD178" s="2" t="s">
        <v>1427</v>
      </c>
      <c r="AE178" s="2">
        <v>4840716614</v>
      </c>
      <c r="AF178" s="2">
        <v>2</v>
      </c>
      <c r="AG178" s="2">
        <v>5</v>
      </c>
      <c r="AH178" s="2"/>
      <c r="AI178" s="2" t="s">
        <v>179</v>
      </c>
      <c r="AJ178" s="2"/>
      <c r="AK178" s="4">
        <v>45824</v>
      </c>
      <c r="AL178" s="14">
        <v>45824</v>
      </c>
      <c r="AM178" s="4">
        <v>45824</v>
      </c>
      <c r="AN178" s="2"/>
      <c r="AO178" s="2">
        <v>2746540</v>
      </c>
      <c r="AP178" s="14">
        <v>45827</v>
      </c>
      <c r="AQ178" s="14">
        <v>45829</v>
      </c>
      <c r="AS178" s="14">
        <v>45831</v>
      </c>
      <c r="AT178" s="44">
        <v>50522</v>
      </c>
      <c r="AU178" s="1" t="s">
        <v>74</v>
      </c>
      <c r="AV178" s="14">
        <v>45831</v>
      </c>
      <c r="AW178" s="14">
        <v>45831</v>
      </c>
      <c r="AY178" s="2">
        <v>2838081</v>
      </c>
      <c r="AZ178" s="32">
        <v>45832</v>
      </c>
      <c r="BA178" s="1" t="s">
        <v>1486</v>
      </c>
      <c r="BB178" s="2" t="s">
        <v>1487</v>
      </c>
      <c r="BC178" s="5">
        <v>45832</v>
      </c>
      <c r="BD178" s="14">
        <v>45834</v>
      </c>
      <c r="BF178" s="5">
        <v>45835</v>
      </c>
      <c r="BG178" s="5">
        <v>45843</v>
      </c>
      <c r="BH178" s="1" t="s">
        <v>1563</v>
      </c>
      <c r="BI178" s="1" t="s">
        <v>273</v>
      </c>
      <c r="BQ178" s="14">
        <v>45831</v>
      </c>
      <c r="BR178" s="5">
        <v>45831</v>
      </c>
    </row>
    <row r="179" spans="1:70" ht="18" customHeight="1" x14ac:dyDescent="0.3">
      <c r="A179" s="2">
        <v>179</v>
      </c>
      <c r="B179" s="2">
        <v>6940565</v>
      </c>
      <c r="C179" s="111">
        <v>45813</v>
      </c>
      <c r="D179" s="2">
        <v>50430</v>
      </c>
      <c r="E179" s="2" t="s">
        <v>678</v>
      </c>
      <c r="F179" s="8" t="s">
        <v>1441</v>
      </c>
      <c r="G179" s="8" t="s">
        <v>1186</v>
      </c>
      <c r="H179" s="8" t="s">
        <v>520</v>
      </c>
      <c r="I179" s="83">
        <v>50505</v>
      </c>
      <c r="J179" s="2" t="s">
        <v>142</v>
      </c>
      <c r="K179" s="2" t="s">
        <v>126</v>
      </c>
      <c r="L179" s="2" t="s">
        <v>854</v>
      </c>
      <c r="M179" s="78">
        <v>45828</v>
      </c>
      <c r="N179" s="56" t="s">
        <v>1571</v>
      </c>
      <c r="Q179" s="67">
        <f t="shared" si="17"/>
        <v>4</v>
      </c>
      <c r="R179" s="29">
        <f t="shared" si="13"/>
        <v>11</v>
      </c>
      <c r="T179" s="1"/>
      <c r="U179" s="1" t="s">
        <v>1248</v>
      </c>
      <c r="V179" s="2" t="s">
        <v>1249</v>
      </c>
      <c r="W179" s="64" t="s">
        <v>163</v>
      </c>
      <c r="X179" s="2">
        <v>20255070498</v>
      </c>
      <c r="Y179" s="14">
        <v>45825</v>
      </c>
      <c r="Z179" s="14">
        <v>45829</v>
      </c>
      <c r="AA179" s="4">
        <v>45828</v>
      </c>
      <c r="AB179" s="4">
        <v>45828</v>
      </c>
      <c r="AC179" s="14">
        <v>45832</v>
      </c>
      <c r="AD179" s="2" t="s">
        <v>1455</v>
      </c>
      <c r="AE179" s="2" t="s">
        <v>1456</v>
      </c>
      <c r="AF179" s="2">
        <v>1</v>
      </c>
      <c r="AG179" s="2">
        <v>174</v>
      </c>
      <c r="AH179" s="2"/>
      <c r="AI179" s="2" t="s">
        <v>180</v>
      </c>
      <c r="AJ179" s="2"/>
      <c r="AK179" s="4">
        <v>45827</v>
      </c>
      <c r="AL179" s="14">
        <v>45827</v>
      </c>
      <c r="AM179" s="4">
        <v>45827</v>
      </c>
      <c r="AN179" s="2"/>
      <c r="AO179" s="2">
        <v>2792595</v>
      </c>
      <c r="AP179" s="14">
        <v>45829</v>
      </c>
      <c r="AQ179" s="14">
        <v>45832</v>
      </c>
      <c r="AS179" s="14">
        <v>45833</v>
      </c>
      <c r="AT179" s="44">
        <v>50560</v>
      </c>
      <c r="AU179" s="1" t="s">
        <v>74</v>
      </c>
      <c r="AV179" s="14">
        <v>45833</v>
      </c>
      <c r="AW179" s="14">
        <v>45833</v>
      </c>
      <c r="AY179" s="2">
        <v>2882288</v>
      </c>
      <c r="AZ179" s="32">
        <v>45834</v>
      </c>
      <c r="BA179" s="1" t="s">
        <v>1520</v>
      </c>
      <c r="BB179" s="2" t="s">
        <v>1521</v>
      </c>
      <c r="BC179" s="5">
        <v>45834</v>
      </c>
      <c r="BD179" s="5">
        <v>45834</v>
      </c>
      <c r="BE179" s="32"/>
      <c r="BF179" s="5">
        <v>45835</v>
      </c>
      <c r="BG179" s="5">
        <v>45843</v>
      </c>
      <c r="BH179" s="1" t="s">
        <v>1570</v>
      </c>
      <c r="BI179" s="1" t="s">
        <v>273</v>
      </c>
      <c r="BQ179" s="14">
        <v>45833</v>
      </c>
      <c r="BR179" s="5">
        <v>45833</v>
      </c>
    </row>
    <row r="180" spans="1:70" ht="18" customHeight="1" x14ac:dyDescent="0.3">
      <c r="A180" s="2">
        <v>180</v>
      </c>
      <c r="B180" s="8" t="s">
        <v>1457</v>
      </c>
      <c r="C180" s="8" t="s">
        <v>1430</v>
      </c>
      <c r="D180" s="8" t="s">
        <v>1458</v>
      </c>
      <c r="E180" s="2" t="s">
        <v>678</v>
      </c>
      <c r="F180" s="8" t="s">
        <v>1601</v>
      </c>
      <c r="G180" s="8" t="s">
        <v>1459</v>
      </c>
      <c r="H180" s="8" t="s">
        <v>1460</v>
      </c>
      <c r="I180" s="83">
        <v>50506</v>
      </c>
      <c r="J180" s="2" t="s">
        <v>142</v>
      </c>
      <c r="K180" s="2" t="s">
        <v>126</v>
      </c>
      <c r="L180" s="2" t="s">
        <v>854</v>
      </c>
      <c r="M180" s="78">
        <v>45828</v>
      </c>
      <c r="N180" s="56" t="s">
        <v>1562</v>
      </c>
      <c r="Q180" s="67">
        <f t="shared" si="17"/>
        <v>4</v>
      </c>
      <c r="R180" s="29">
        <f t="shared" si="13"/>
        <v>11</v>
      </c>
      <c r="T180" s="1"/>
      <c r="U180" s="8" t="s">
        <v>1461</v>
      </c>
      <c r="V180" s="2" t="s">
        <v>1508</v>
      </c>
      <c r="W180" s="64" t="s">
        <v>426</v>
      </c>
      <c r="X180" s="2">
        <v>20255070489</v>
      </c>
      <c r="Y180" s="14">
        <v>45825</v>
      </c>
      <c r="Z180" s="14">
        <v>45829</v>
      </c>
      <c r="AA180" s="4">
        <v>45828</v>
      </c>
      <c r="AB180" s="4">
        <v>45828</v>
      </c>
      <c r="AC180" s="14">
        <v>45832</v>
      </c>
      <c r="AD180" s="2" t="s">
        <v>1455</v>
      </c>
      <c r="AE180" s="2" t="s">
        <v>1462</v>
      </c>
      <c r="AF180" s="2">
        <v>9</v>
      </c>
      <c r="AG180" s="2">
        <v>2574</v>
      </c>
      <c r="AH180" s="2"/>
      <c r="AI180" s="2" t="s">
        <v>180</v>
      </c>
      <c r="AJ180" s="2"/>
      <c r="AK180" s="4">
        <v>45827</v>
      </c>
      <c r="AL180" s="14">
        <v>45827</v>
      </c>
      <c r="AM180" s="4">
        <v>45827</v>
      </c>
      <c r="AN180" s="2"/>
      <c r="AO180" s="2">
        <v>2792400</v>
      </c>
      <c r="AP180" s="14">
        <v>45829</v>
      </c>
      <c r="AQ180" s="14">
        <v>45832</v>
      </c>
      <c r="AS180" s="14">
        <v>45833</v>
      </c>
      <c r="AT180" s="44">
        <v>50562</v>
      </c>
      <c r="AU180" s="1" t="s">
        <v>74</v>
      </c>
      <c r="AV180" s="14">
        <v>45833</v>
      </c>
      <c r="AW180" s="14">
        <v>45833</v>
      </c>
      <c r="AY180" s="2">
        <v>3000463</v>
      </c>
      <c r="AZ180" s="32">
        <v>45840</v>
      </c>
      <c r="BA180" s="1">
        <v>26107078</v>
      </c>
      <c r="BB180" s="2">
        <v>4699274</v>
      </c>
      <c r="BC180" s="5">
        <v>45840</v>
      </c>
      <c r="BD180" s="5">
        <v>45840</v>
      </c>
      <c r="BF180" s="5">
        <v>45841</v>
      </c>
      <c r="BG180" s="5">
        <v>45843</v>
      </c>
      <c r="BH180" s="1" t="s">
        <v>1560</v>
      </c>
      <c r="BI180" s="1" t="s">
        <v>273</v>
      </c>
      <c r="BQ180" s="14">
        <v>45833</v>
      </c>
      <c r="BR180" s="5">
        <v>45838</v>
      </c>
    </row>
    <row r="181" spans="1:70" ht="18" customHeight="1" x14ac:dyDescent="0.3">
      <c r="A181" s="2">
        <v>181</v>
      </c>
      <c r="B181" s="2">
        <v>250612742</v>
      </c>
      <c r="C181" s="111">
        <v>45826</v>
      </c>
      <c r="D181" s="2">
        <v>18172.86</v>
      </c>
      <c r="E181" s="2" t="s">
        <v>677</v>
      </c>
      <c r="F181" s="2" t="s">
        <v>1483</v>
      </c>
      <c r="G181" s="2" t="s">
        <v>417</v>
      </c>
      <c r="H181" s="2">
        <v>1</v>
      </c>
      <c r="I181" s="83">
        <v>50534</v>
      </c>
      <c r="J181" s="2" t="s">
        <v>142</v>
      </c>
      <c r="K181" s="2" t="s">
        <v>126</v>
      </c>
      <c r="L181" s="2" t="s">
        <v>854</v>
      </c>
      <c r="M181" s="78">
        <v>45833</v>
      </c>
      <c r="N181" s="56" t="s">
        <v>1565</v>
      </c>
      <c r="Q181" s="67">
        <f t="shared" si="17"/>
        <v>2</v>
      </c>
      <c r="R181" s="29">
        <f t="shared" si="13"/>
        <v>8</v>
      </c>
      <c r="T181" s="1"/>
      <c r="U181" s="1" t="s">
        <v>1482</v>
      </c>
      <c r="V181" s="2" t="s">
        <v>755</v>
      </c>
      <c r="W181" s="1" t="s">
        <v>827</v>
      </c>
      <c r="X181" s="2" t="s">
        <v>1481</v>
      </c>
      <c r="Y181" s="14">
        <v>45827</v>
      </c>
      <c r="Z181" s="14">
        <v>45831</v>
      </c>
      <c r="AA181" s="4">
        <v>45833</v>
      </c>
      <c r="AB181" s="4">
        <v>45833</v>
      </c>
      <c r="AC181" s="14">
        <v>45835</v>
      </c>
      <c r="AD181" s="2" t="s">
        <v>1480</v>
      </c>
      <c r="AE181" s="2">
        <v>4840717281</v>
      </c>
      <c r="AF181" s="2">
        <v>1</v>
      </c>
      <c r="AG181" s="2">
        <v>6.5</v>
      </c>
      <c r="AH181" s="2"/>
      <c r="AI181" s="2" t="s">
        <v>179</v>
      </c>
      <c r="AJ181" s="2"/>
      <c r="AK181" s="4">
        <v>45831</v>
      </c>
      <c r="AL181" s="14">
        <v>45831</v>
      </c>
      <c r="AM181" s="4">
        <v>45831</v>
      </c>
      <c r="AN181" s="2"/>
      <c r="AO181" s="2">
        <v>2860799</v>
      </c>
      <c r="AP181" s="14">
        <v>45833</v>
      </c>
      <c r="AQ181" s="14">
        <v>45835</v>
      </c>
      <c r="AS181" s="14">
        <v>45836</v>
      </c>
      <c r="AT181" s="44">
        <v>50592</v>
      </c>
      <c r="AU181" s="1" t="s">
        <v>74</v>
      </c>
      <c r="AV181" s="14">
        <v>45836</v>
      </c>
      <c r="AW181" s="14">
        <v>45838</v>
      </c>
      <c r="AY181" s="2">
        <v>2982010</v>
      </c>
      <c r="AZ181" s="32">
        <v>45839</v>
      </c>
      <c r="BA181" s="1">
        <v>1592851</v>
      </c>
      <c r="BB181" s="2">
        <v>286713</v>
      </c>
      <c r="BC181" s="5">
        <v>45839</v>
      </c>
      <c r="BD181" s="5">
        <v>45839</v>
      </c>
      <c r="BF181" s="5">
        <v>45840</v>
      </c>
      <c r="BG181" s="5">
        <v>45843</v>
      </c>
      <c r="BH181" s="1" t="s">
        <v>1563</v>
      </c>
      <c r="BI181" s="1" t="s">
        <v>273</v>
      </c>
      <c r="BQ181" s="14">
        <v>45838</v>
      </c>
      <c r="BR181" s="5">
        <v>45838</v>
      </c>
    </row>
    <row r="182" spans="1:70" ht="18" customHeight="1" x14ac:dyDescent="0.3">
      <c r="A182" s="2">
        <v>182</v>
      </c>
      <c r="B182" s="2">
        <v>250613293</v>
      </c>
      <c r="C182" s="111">
        <v>45826</v>
      </c>
      <c r="D182" s="2">
        <v>42386.89</v>
      </c>
      <c r="E182" s="2" t="s">
        <v>677</v>
      </c>
      <c r="F182" s="2" t="s">
        <v>1260</v>
      </c>
      <c r="G182" s="2" t="s">
        <v>830</v>
      </c>
      <c r="H182" s="2">
        <v>7</v>
      </c>
      <c r="I182" s="83">
        <v>50535</v>
      </c>
      <c r="J182" s="2" t="s">
        <v>142</v>
      </c>
      <c r="K182" s="2" t="s">
        <v>126</v>
      </c>
      <c r="L182" s="2" t="s">
        <v>854</v>
      </c>
      <c r="M182" s="78">
        <v>45833</v>
      </c>
      <c r="N182" s="56" t="s">
        <v>1566</v>
      </c>
      <c r="Q182" s="67">
        <f t="shared" si="17"/>
        <v>2</v>
      </c>
      <c r="R182" s="29">
        <f t="shared" si="13"/>
        <v>8</v>
      </c>
      <c r="T182" s="1"/>
      <c r="U182" s="1" t="s">
        <v>833</v>
      </c>
      <c r="V182" s="2" t="s">
        <v>755</v>
      </c>
      <c r="W182" s="1" t="s">
        <v>827</v>
      </c>
      <c r="X182" s="2" t="s">
        <v>1479</v>
      </c>
      <c r="Y182" s="14">
        <v>45827</v>
      </c>
      <c r="Z182" s="14">
        <v>45831</v>
      </c>
      <c r="AA182" s="4">
        <v>45833</v>
      </c>
      <c r="AB182" s="4">
        <v>45833</v>
      </c>
      <c r="AC182" s="14">
        <v>45835</v>
      </c>
      <c r="AD182" s="2" t="s">
        <v>1480</v>
      </c>
      <c r="AE182" s="2">
        <v>4840717397</v>
      </c>
      <c r="AF182" s="2">
        <v>7</v>
      </c>
      <c r="AG182" s="2">
        <v>18</v>
      </c>
      <c r="AH182" s="2"/>
      <c r="AI182" s="2" t="s">
        <v>179</v>
      </c>
      <c r="AJ182" s="2"/>
      <c r="AK182" s="4">
        <v>45831</v>
      </c>
      <c r="AL182" s="14">
        <v>45831</v>
      </c>
      <c r="AM182" s="4">
        <v>45831</v>
      </c>
      <c r="AN182" s="2"/>
      <c r="AO182" s="2">
        <v>2860869</v>
      </c>
      <c r="AP182" s="14">
        <v>45833</v>
      </c>
      <c r="AQ182" s="14">
        <v>45835</v>
      </c>
      <c r="AS182" s="14">
        <v>45836</v>
      </c>
      <c r="AT182" s="44">
        <v>50593</v>
      </c>
      <c r="AU182" s="1" t="s">
        <v>74</v>
      </c>
      <c r="AV182" s="14">
        <v>45836</v>
      </c>
      <c r="AW182" s="14">
        <v>45838</v>
      </c>
      <c r="AY182" s="2">
        <v>2982012</v>
      </c>
      <c r="AZ182" s="32">
        <v>45839</v>
      </c>
      <c r="BA182" s="1">
        <v>3715211</v>
      </c>
      <c r="BB182" s="2">
        <v>668738</v>
      </c>
      <c r="BC182" s="5">
        <v>45839</v>
      </c>
      <c r="BD182" s="5">
        <v>45839</v>
      </c>
      <c r="BF182" s="5">
        <v>45840</v>
      </c>
      <c r="BG182" s="5">
        <v>45843</v>
      </c>
      <c r="BH182" s="1" t="s">
        <v>1563</v>
      </c>
      <c r="BI182" s="1" t="s">
        <v>273</v>
      </c>
      <c r="BQ182" s="14">
        <v>45838</v>
      </c>
      <c r="BR182" s="5">
        <v>45838</v>
      </c>
    </row>
    <row r="183" spans="1:70" ht="18" customHeight="1" x14ac:dyDescent="0.3">
      <c r="A183" s="2">
        <v>183</v>
      </c>
      <c r="B183" s="2">
        <v>6941986</v>
      </c>
      <c r="C183" s="111">
        <v>45821</v>
      </c>
      <c r="D183" s="2">
        <v>201720</v>
      </c>
      <c r="E183" s="2" t="s">
        <v>678</v>
      </c>
      <c r="F183" s="8" t="s">
        <v>1441</v>
      </c>
      <c r="G183" s="8" t="s">
        <v>1186</v>
      </c>
      <c r="H183" s="8" t="s">
        <v>582</v>
      </c>
      <c r="I183" s="83">
        <v>50546</v>
      </c>
      <c r="J183" s="2" t="s">
        <v>142</v>
      </c>
      <c r="K183" s="2" t="s">
        <v>126</v>
      </c>
      <c r="L183" s="2" t="s">
        <v>854</v>
      </c>
      <c r="M183" s="78">
        <v>45832</v>
      </c>
      <c r="N183" s="56" t="s">
        <v>1572</v>
      </c>
      <c r="Q183" s="67">
        <f t="shared" si="17"/>
        <v>2</v>
      </c>
      <c r="R183" s="29">
        <f t="shared" si="13"/>
        <v>9</v>
      </c>
      <c r="T183" s="1"/>
      <c r="U183" s="1" t="s">
        <v>1248</v>
      </c>
      <c r="V183" s="2" t="s">
        <v>1249</v>
      </c>
      <c r="W183" s="64" t="s">
        <v>163</v>
      </c>
      <c r="X183" s="2">
        <v>20255072309</v>
      </c>
      <c r="Y183" s="14">
        <v>45828</v>
      </c>
      <c r="Z183" s="14">
        <v>45836</v>
      </c>
      <c r="AA183" s="4">
        <v>45832</v>
      </c>
      <c r="AB183" s="4">
        <v>45832</v>
      </c>
      <c r="AC183" s="14">
        <v>45834</v>
      </c>
      <c r="AD183" s="2" t="s">
        <v>1488</v>
      </c>
      <c r="AE183" s="2" t="s">
        <v>1492</v>
      </c>
      <c r="AF183" s="2">
        <v>3</v>
      </c>
      <c r="AG183" s="2">
        <v>700</v>
      </c>
      <c r="AH183" s="2"/>
      <c r="AI183" s="2" t="s">
        <v>180</v>
      </c>
      <c r="AJ183" s="2"/>
      <c r="AK183" s="4">
        <v>45832</v>
      </c>
      <c r="AL183" s="14">
        <v>45832</v>
      </c>
      <c r="AM183" s="4">
        <v>45832</v>
      </c>
      <c r="AN183" s="2"/>
      <c r="AO183" s="2">
        <v>2850692</v>
      </c>
      <c r="AP183" s="14">
        <v>45832</v>
      </c>
      <c r="AQ183" s="14">
        <v>45834</v>
      </c>
      <c r="AS183" s="14">
        <v>45834</v>
      </c>
      <c r="AT183" s="44">
        <v>50590</v>
      </c>
      <c r="AU183" s="1" t="s">
        <v>74</v>
      </c>
      <c r="AV183" s="14">
        <v>45834</v>
      </c>
      <c r="AW183" s="14">
        <v>45835</v>
      </c>
      <c r="AY183" s="2">
        <v>2955465</v>
      </c>
      <c r="AZ183" s="32">
        <v>45838</v>
      </c>
      <c r="BA183" s="1">
        <v>17680758</v>
      </c>
      <c r="BB183" s="2">
        <v>3182536</v>
      </c>
      <c r="BC183" s="5">
        <v>45838</v>
      </c>
      <c r="BD183" s="14">
        <v>45838</v>
      </c>
      <c r="BF183" s="5">
        <v>45839</v>
      </c>
      <c r="BG183" s="5">
        <v>45843</v>
      </c>
      <c r="BH183" s="1" t="s">
        <v>1570</v>
      </c>
      <c r="BI183" s="1" t="s">
        <v>273</v>
      </c>
      <c r="BQ183" s="14">
        <v>45835</v>
      </c>
      <c r="BR183" s="5">
        <v>45836</v>
      </c>
    </row>
    <row r="184" spans="1:70" ht="18" customHeight="1" x14ac:dyDescent="0.3">
      <c r="A184" s="2">
        <v>184</v>
      </c>
      <c r="B184" s="2">
        <v>6941987</v>
      </c>
      <c r="C184" s="111">
        <v>45821</v>
      </c>
      <c r="D184" s="2">
        <v>16810</v>
      </c>
      <c r="E184" s="2" t="s">
        <v>678</v>
      </c>
      <c r="F184" s="8" t="s">
        <v>1441</v>
      </c>
      <c r="G184" s="8" t="s">
        <v>1186</v>
      </c>
      <c r="H184" s="8" t="s">
        <v>1493</v>
      </c>
      <c r="I184" s="83">
        <v>50547</v>
      </c>
      <c r="J184" s="2" t="s">
        <v>142</v>
      </c>
      <c r="K184" s="2" t="s">
        <v>126</v>
      </c>
      <c r="L184" s="2" t="s">
        <v>854</v>
      </c>
      <c r="M184" s="78">
        <v>45832</v>
      </c>
      <c r="N184" s="56" t="s">
        <v>1573</v>
      </c>
      <c r="O184" s="1">
        <v>900</v>
      </c>
      <c r="Q184" s="67">
        <f t="shared" si="17"/>
        <v>3</v>
      </c>
      <c r="R184" s="29">
        <f t="shared" si="13"/>
        <v>8</v>
      </c>
      <c r="T184" s="1" t="s">
        <v>812</v>
      </c>
      <c r="U184" s="1" t="s">
        <v>1494</v>
      </c>
      <c r="V184" s="2" t="s">
        <v>1249</v>
      </c>
      <c r="W184" s="64" t="s">
        <v>163</v>
      </c>
      <c r="X184" s="2">
        <v>20255072294</v>
      </c>
      <c r="Y184" s="14">
        <v>45828</v>
      </c>
      <c r="Z184" s="14">
        <v>45836</v>
      </c>
      <c r="AA184" s="4">
        <v>45832</v>
      </c>
      <c r="AB184" s="4">
        <v>45832</v>
      </c>
      <c r="AC184" s="14">
        <v>45835</v>
      </c>
      <c r="AD184" s="2" t="s">
        <v>1488</v>
      </c>
      <c r="AE184" s="2" t="s">
        <v>1495</v>
      </c>
      <c r="AF184" s="2">
        <v>1</v>
      </c>
      <c r="AG184" s="2">
        <v>96</v>
      </c>
      <c r="AH184" s="2"/>
      <c r="AI184" s="2" t="s">
        <v>180</v>
      </c>
      <c r="AJ184" s="2"/>
      <c r="AK184" s="4">
        <v>45832</v>
      </c>
      <c r="AL184" s="14">
        <v>45832</v>
      </c>
      <c r="AM184" s="4">
        <v>45832</v>
      </c>
      <c r="AN184" s="2"/>
      <c r="AO184" s="2">
        <v>2850513</v>
      </c>
      <c r="AP184" s="14">
        <v>45832</v>
      </c>
      <c r="AQ184" s="14">
        <v>45835</v>
      </c>
      <c r="AR184" s="121" t="s">
        <v>1908</v>
      </c>
      <c r="AS184" s="14">
        <v>45836</v>
      </c>
      <c r="AT184" s="44">
        <v>50586</v>
      </c>
      <c r="AU184" s="1" t="s">
        <v>74</v>
      </c>
      <c r="AV184" s="14">
        <v>45836</v>
      </c>
      <c r="AW184" s="14">
        <v>45838</v>
      </c>
      <c r="AY184" s="2">
        <v>2982019</v>
      </c>
      <c r="AZ184" s="32">
        <v>45839</v>
      </c>
      <c r="BA184" s="1">
        <v>1473397</v>
      </c>
      <c r="BB184" s="2">
        <v>265211</v>
      </c>
      <c r="BC184" s="5">
        <v>45839</v>
      </c>
      <c r="BD184" s="14">
        <v>45840</v>
      </c>
      <c r="BF184" s="5">
        <v>45841</v>
      </c>
      <c r="BG184" s="5">
        <v>45843</v>
      </c>
      <c r="BH184" s="1" t="s">
        <v>1570</v>
      </c>
      <c r="BI184" s="1" t="s">
        <v>273</v>
      </c>
      <c r="BQ184" s="14">
        <v>45838</v>
      </c>
      <c r="BR184" s="14">
        <v>45838</v>
      </c>
    </row>
    <row r="185" spans="1:70" ht="18" customHeight="1" x14ac:dyDescent="0.3">
      <c r="A185" s="2">
        <v>185</v>
      </c>
      <c r="B185" s="2" t="s">
        <v>1496</v>
      </c>
      <c r="C185" s="111">
        <v>45819</v>
      </c>
      <c r="D185" s="2">
        <v>1365</v>
      </c>
      <c r="E185" s="2" t="s">
        <v>677</v>
      </c>
      <c r="F185" s="2" t="s">
        <v>345</v>
      </c>
      <c r="G185" s="2" t="s">
        <v>346</v>
      </c>
      <c r="H185" s="2">
        <v>3</v>
      </c>
      <c r="I185" s="83">
        <v>50552</v>
      </c>
      <c r="J185" s="2" t="s">
        <v>142</v>
      </c>
      <c r="K185" s="2" t="s">
        <v>126</v>
      </c>
      <c r="L185" s="2" t="s">
        <v>854</v>
      </c>
      <c r="M185" s="78">
        <v>45833</v>
      </c>
      <c r="N185" s="56" t="s">
        <v>1567</v>
      </c>
      <c r="Q185" s="67">
        <f t="shared" si="17"/>
        <v>2</v>
      </c>
      <c r="R185" s="29">
        <f t="shared" si="13"/>
        <v>8</v>
      </c>
      <c r="T185" s="1"/>
      <c r="U185" s="1" t="s">
        <v>1482</v>
      </c>
      <c r="V185" s="2" t="s">
        <v>755</v>
      </c>
      <c r="W185" s="1" t="s">
        <v>827</v>
      </c>
      <c r="X185" s="2" t="s">
        <v>1497</v>
      </c>
      <c r="Y185" s="14">
        <v>45832</v>
      </c>
      <c r="Z185" s="14">
        <v>45836</v>
      </c>
      <c r="AA185" s="4">
        <v>45833</v>
      </c>
      <c r="AB185" s="4">
        <v>45833</v>
      </c>
      <c r="AC185" s="14">
        <v>45835</v>
      </c>
      <c r="AD185" s="2" t="s">
        <v>1498</v>
      </c>
      <c r="AE185" s="2">
        <v>412656510</v>
      </c>
      <c r="AF185" s="2">
        <v>1</v>
      </c>
      <c r="AG185" s="2">
        <v>2</v>
      </c>
      <c r="AH185" s="2"/>
      <c r="AI185" s="2" t="s">
        <v>179</v>
      </c>
      <c r="AJ185" s="2"/>
      <c r="AK185" s="4">
        <v>45831</v>
      </c>
      <c r="AL185" s="14">
        <v>45832</v>
      </c>
      <c r="AM185" s="4">
        <v>45832</v>
      </c>
      <c r="AN185" s="2"/>
      <c r="AO185" s="2">
        <v>2860977</v>
      </c>
      <c r="AP185" s="14">
        <v>45833</v>
      </c>
      <c r="AQ185" s="14">
        <v>45835</v>
      </c>
      <c r="AS185" s="14">
        <v>45836</v>
      </c>
      <c r="AT185" s="44">
        <v>50594</v>
      </c>
      <c r="AU185" s="1" t="s">
        <v>74</v>
      </c>
      <c r="AV185" s="14">
        <v>45836</v>
      </c>
      <c r="AW185" s="14">
        <v>45839</v>
      </c>
      <c r="AY185" s="2">
        <v>3001420</v>
      </c>
      <c r="AZ185" s="32">
        <v>45840</v>
      </c>
      <c r="BA185" s="1">
        <v>119642</v>
      </c>
      <c r="BB185" s="2">
        <v>21536</v>
      </c>
      <c r="BC185" s="5">
        <v>45840</v>
      </c>
      <c r="BD185" s="5">
        <v>45840</v>
      </c>
      <c r="BF185" s="5">
        <v>45841</v>
      </c>
      <c r="BG185" s="5">
        <v>45843</v>
      </c>
      <c r="BH185" s="1" t="s">
        <v>1563</v>
      </c>
      <c r="BI185" s="1" t="s">
        <v>273</v>
      </c>
      <c r="BQ185" s="14">
        <v>45839</v>
      </c>
      <c r="BR185" s="5">
        <v>45839</v>
      </c>
    </row>
    <row r="186" spans="1:70" ht="18" customHeight="1" x14ac:dyDescent="0.3">
      <c r="A186" s="2">
        <v>186</v>
      </c>
      <c r="B186" s="2" t="s">
        <v>1499</v>
      </c>
      <c r="C186" s="111">
        <v>45819</v>
      </c>
      <c r="D186" s="2">
        <v>5460</v>
      </c>
      <c r="E186" s="2" t="s">
        <v>677</v>
      </c>
      <c r="F186" s="2" t="s">
        <v>345</v>
      </c>
      <c r="G186" s="2" t="s">
        <v>346</v>
      </c>
      <c r="H186" s="2">
        <v>3</v>
      </c>
      <c r="I186" s="83">
        <v>50553</v>
      </c>
      <c r="J186" s="2" t="s">
        <v>142</v>
      </c>
      <c r="K186" s="2" t="s">
        <v>126</v>
      </c>
      <c r="L186" s="2" t="s">
        <v>854</v>
      </c>
      <c r="M186" s="78">
        <v>45833</v>
      </c>
      <c r="N186" s="56" t="s">
        <v>1568</v>
      </c>
      <c r="Q186" s="67">
        <f t="shared" si="17"/>
        <v>2</v>
      </c>
      <c r="R186" s="29">
        <f t="shared" si="13"/>
        <v>8</v>
      </c>
      <c r="T186" s="1"/>
      <c r="U186" s="1" t="s">
        <v>1256</v>
      </c>
      <c r="V186" s="2" t="s">
        <v>755</v>
      </c>
      <c r="W186" s="1" t="s">
        <v>827</v>
      </c>
      <c r="X186" s="2" t="s">
        <v>1500</v>
      </c>
      <c r="Y186" s="14">
        <v>45832</v>
      </c>
      <c r="Z186" s="14">
        <v>45836</v>
      </c>
      <c r="AA186" s="4">
        <v>45833</v>
      </c>
      <c r="AB186" s="4">
        <v>45833</v>
      </c>
      <c r="AC186" s="14">
        <v>45835</v>
      </c>
      <c r="AD186" s="2" t="s">
        <v>1498</v>
      </c>
      <c r="AE186" s="2">
        <v>412656511</v>
      </c>
      <c r="AF186" s="2">
        <v>1</v>
      </c>
      <c r="AG186" s="2">
        <v>2</v>
      </c>
      <c r="AH186" s="2"/>
      <c r="AI186" s="2" t="s">
        <v>179</v>
      </c>
      <c r="AJ186" s="2"/>
      <c r="AK186" s="4">
        <v>45831</v>
      </c>
      <c r="AL186" s="14">
        <v>45832</v>
      </c>
      <c r="AM186" s="4">
        <v>45832</v>
      </c>
      <c r="AN186" s="2"/>
      <c r="AO186" s="2">
        <v>2860669</v>
      </c>
      <c r="AP186" s="14">
        <v>45833</v>
      </c>
      <c r="AQ186" s="14">
        <v>45835</v>
      </c>
      <c r="AS186" s="14">
        <v>45836</v>
      </c>
      <c r="AT186" s="44">
        <v>50597</v>
      </c>
      <c r="AU186" s="1" t="s">
        <v>74</v>
      </c>
      <c r="AV186" s="14">
        <v>45836</v>
      </c>
      <c r="AW186" s="14">
        <v>45838</v>
      </c>
      <c r="AY186" s="2">
        <v>2982014</v>
      </c>
      <c r="AZ186" s="32">
        <v>45839</v>
      </c>
      <c r="BA186" s="1">
        <v>478569</v>
      </c>
      <c r="BB186" s="2">
        <v>86142</v>
      </c>
      <c r="BC186" s="5">
        <v>45839</v>
      </c>
      <c r="BD186" s="5">
        <v>45839</v>
      </c>
      <c r="BF186" s="5">
        <v>45840</v>
      </c>
      <c r="BG186" s="5">
        <v>45843</v>
      </c>
      <c r="BH186" s="1" t="s">
        <v>1563</v>
      </c>
      <c r="BI186" s="1" t="s">
        <v>273</v>
      </c>
      <c r="BQ186" s="14">
        <v>45838</v>
      </c>
      <c r="BR186" s="5">
        <v>45838</v>
      </c>
    </row>
    <row r="187" spans="1:70" ht="18" customHeight="1" x14ac:dyDescent="0.3">
      <c r="A187" s="2">
        <v>187</v>
      </c>
      <c r="B187" s="2">
        <v>6941433</v>
      </c>
      <c r="C187" s="111">
        <v>45821</v>
      </c>
      <c r="D187" s="2">
        <v>718.2</v>
      </c>
      <c r="E187" s="2" t="s">
        <v>678</v>
      </c>
      <c r="F187" s="2" t="s">
        <v>1510</v>
      </c>
      <c r="G187" s="2" t="s">
        <v>1511</v>
      </c>
      <c r="H187" s="2">
        <v>19</v>
      </c>
      <c r="I187" s="83">
        <v>50574</v>
      </c>
      <c r="J187" s="2" t="s">
        <v>142</v>
      </c>
      <c r="K187" s="2" t="s">
        <v>126</v>
      </c>
      <c r="L187" s="2" t="s">
        <v>854</v>
      </c>
      <c r="M187" s="78">
        <v>45832</v>
      </c>
      <c r="N187" s="56" t="s">
        <v>1569</v>
      </c>
      <c r="O187" s="1">
        <v>899</v>
      </c>
      <c r="Q187" s="67">
        <f t="shared" si="17"/>
        <v>3</v>
      </c>
      <c r="R187" s="29">
        <f t="shared" si="13"/>
        <v>8</v>
      </c>
      <c r="T187" s="88" t="s">
        <v>1553</v>
      </c>
      <c r="U187" s="1" t="s">
        <v>1512</v>
      </c>
      <c r="V187" s="2" t="s">
        <v>1509</v>
      </c>
      <c r="W187" s="64" t="s">
        <v>426</v>
      </c>
      <c r="X187" s="2" t="s">
        <v>127</v>
      </c>
      <c r="Y187" s="2" t="s">
        <v>127</v>
      </c>
      <c r="Z187" s="2" t="s">
        <v>127</v>
      </c>
      <c r="AA187" s="4">
        <v>45832</v>
      </c>
      <c r="AB187" s="4">
        <v>45832</v>
      </c>
      <c r="AC187" s="14">
        <v>45835</v>
      </c>
      <c r="AD187" s="2" t="s">
        <v>1488</v>
      </c>
      <c r="AE187" s="2" t="s">
        <v>1513</v>
      </c>
      <c r="AF187" s="2">
        <v>1</v>
      </c>
      <c r="AG187" s="2">
        <v>5</v>
      </c>
      <c r="AH187" s="2"/>
      <c r="AI187" s="2" t="s">
        <v>180</v>
      </c>
      <c r="AJ187" s="2"/>
      <c r="AK187" s="4">
        <v>45833</v>
      </c>
      <c r="AL187" s="14">
        <v>45833</v>
      </c>
      <c r="AM187" s="4">
        <v>45834</v>
      </c>
      <c r="AN187" s="2"/>
      <c r="AO187" s="2">
        <v>2882931</v>
      </c>
      <c r="AP187" s="14">
        <v>45834</v>
      </c>
      <c r="AQ187" s="14">
        <v>45835</v>
      </c>
      <c r="AR187" s="121" t="s">
        <v>1909</v>
      </c>
      <c r="AS187" s="14">
        <v>45836</v>
      </c>
      <c r="AT187" s="44">
        <v>50602</v>
      </c>
      <c r="AU187" s="1" t="s">
        <v>74</v>
      </c>
      <c r="AV187" s="14">
        <v>45836</v>
      </c>
      <c r="AW187" s="14">
        <v>45838</v>
      </c>
      <c r="AY187" s="2">
        <v>3000461</v>
      </c>
      <c r="AZ187" s="32">
        <v>45840</v>
      </c>
      <c r="BA187" s="1">
        <v>62950</v>
      </c>
      <c r="BB187" s="2">
        <v>27673</v>
      </c>
      <c r="BC187" s="5">
        <v>45840</v>
      </c>
      <c r="BD187" s="14">
        <v>45841</v>
      </c>
      <c r="BF187" s="5">
        <v>45842</v>
      </c>
      <c r="BG187" s="5">
        <v>45843</v>
      </c>
      <c r="BH187" s="1" t="s">
        <v>1563</v>
      </c>
      <c r="BI187" s="1" t="s">
        <v>273</v>
      </c>
      <c r="BQ187" s="2"/>
      <c r="BR187" s="1"/>
    </row>
    <row r="188" spans="1:70" ht="18" customHeight="1" x14ac:dyDescent="0.3">
      <c r="A188" s="2">
        <v>188</v>
      </c>
      <c r="B188" s="2">
        <v>6875317</v>
      </c>
      <c r="C188" s="111">
        <v>45734</v>
      </c>
      <c r="D188" s="2">
        <v>10385</v>
      </c>
      <c r="E188" s="2" t="s">
        <v>678</v>
      </c>
      <c r="F188" s="8" t="s">
        <v>540</v>
      </c>
      <c r="G188" s="8" t="s">
        <v>1546</v>
      </c>
      <c r="H188" s="8" t="s">
        <v>1493</v>
      </c>
      <c r="I188" s="83">
        <v>50641</v>
      </c>
      <c r="J188" s="2" t="s">
        <v>142</v>
      </c>
      <c r="K188" s="2" t="s">
        <v>126</v>
      </c>
      <c r="L188" s="2" t="s">
        <v>854</v>
      </c>
      <c r="M188" s="78">
        <v>45842</v>
      </c>
      <c r="N188" s="56" t="s">
        <v>1659</v>
      </c>
      <c r="Q188" s="67">
        <f t="shared" ref="Q188:Q196" si="18">AQ188-AB188</f>
        <v>2</v>
      </c>
      <c r="R188" s="29">
        <f t="shared" si="13"/>
        <v>6</v>
      </c>
      <c r="T188" s="1">
        <v>66</v>
      </c>
      <c r="U188" s="1" t="s">
        <v>1547</v>
      </c>
      <c r="V188" s="2" t="s">
        <v>204</v>
      </c>
      <c r="W188" s="1" t="s">
        <v>203</v>
      </c>
      <c r="X188" s="2">
        <v>20255076753</v>
      </c>
      <c r="Y188" s="14">
        <v>45838</v>
      </c>
      <c r="Z188" s="14">
        <v>45845</v>
      </c>
      <c r="AA188" s="4">
        <v>45841</v>
      </c>
      <c r="AB188" s="4">
        <v>45841</v>
      </c>
      <c r="AC188" s="14">
        <v>45843</v>
      </c>
      <c r="AD188" s="2" t="s">
        <v>1548</v>
      </c>
      <c r="AE188" s="2" t="s">
        <v>1549</v>
      </c>
      <c r="AF188" s="2">
        <v>1</v>
      </c>
      <c r="AG188" s="2">
        <v>99</v>
      </c>
      <c r="AH188" s="2"/>
      <c r="AI188" s="2" t="s">
        <v>180</v>
      </c>
      <c r="AJ188" s="2"/>
      <c r="AK188" s="4">
        <v>45841</v>
      </c>
      <c r="AL188" s="14">
        <v>45841</v>
      </c>
      <c r="AM188" s="14">
        <v>45842</v>
      </c>
      <c r="AN188" s="2"/>
      <c r="AO188" s="2">
        <v>3052355</v>
      </c>
      <c r="AP188" s="14">
        <v>45842</v>
      </c>
      <c r="AQ188" s="14">
        <v>45843</v>
      </c>
      <c r="AS188" s="14">
        <v>45845</v>
      </c>
      <c r="AT188" s="44">
        <v>50663</v>
      </c>
      <c r="AU188" s="1" t="s">
        <v>74</v>
      </c>
      <c r="AV188" s="14">
        <v>45845</v>
      </c>
      <c r="AW188" s="14">
        <v>45845</v>
      </c>
      <c r="AY188" s="2">
        <v>3122594</v>
      </c>
      <c r="AZ188" s="32">
        <v>45846</v>
      </c>
      <c r="BA188" s="1">
        <v>895187</v>
      </c>
      <c r="BB188" s="2">
        <v>161134</v>
      </c>
      <c r="BC188" s="5">
        <v>45846</v>
      </c>
      <c r="BD188" s="14">
        <v>45847</v>
      </c>
      <c r="BF188" s="5">
        <v>45848</v>
      </c>
      <c r="BG188" s="5">
        <v>45849</v>
      </c>
      <c r="BH188" s="1" t="s">
        <v>1082</v>
      </c>
      <c r="BI188" s="1" t="s">
        <v>273</v>
      </c>
      <c r="BQ188" s="14">
        <v>45845</v>
      </c>
      <c r="BR188" s="5">
        <v>45845</v>
      </c>
    </row>
    <row r="189" spans="1:70" ht="18" customHeight="1" x14ac:dyDescent="0.3">
      <c r="A189" s="2">
        <v>189</v>
      </c>
      <c r="B189" s="2">
        <v>6943144</v>
      </c>
      <c r="C189" s="111">
        <v>45833</v>
      </c>
      <c r="D189" s="2">
        <v>77326</v>
      </c>
      <c r="E189" s="2" t="s">
        <v>678</v>
      </c>
      <c r="F189" s="8" t="s">
        <v>1441</v>
      </c>
      <c r="G189" s="8" t="s">
        <v>1186</v>
      </c>
      <c r="H189" s="8" t="s">
        <v>718</v>
      </c>
      <c r="I189" s="83">
        <v>50629</v>
      </c>
      <c r="J189" s="2" t="s">
        <v>142</v>
      </c>
      <c r="K189" s="2" t="s">
        <v>126</v>
      </c>
      <c r="L189" s="2" t="s">
        <v>854</v>
      </c>
      <c r="M189" s="78">
        <v>45844</v>
      </c>
      <c r="N189" s="56" t="s">
        <v>1661</v>
      </c>
      <c r="Q189" s="67">
        <f t="shared" si="18"/>
        <v>2</v>
      </c>
      <c r="R189" s="29">
        <f t="shared" si="13"/>
        <v>3</v>
      </c>
      <c r="T189" s="1"/>
      <c r="U189" s="1" t="s">
        <v>1494</v>
      </c>
      <c r="V189" s="2" t="s">
        <v>1249</v>
      </c>
      <c r="W189" s="64" t="s">
        <v>163</v>
      </c>
      <c r="X189" s="2">
        <v>20255076966</v>
      </c>
      <c r="Y189" s="14">
        <v>45839</v>
      </c>
      <c r="Z189" s="14">
        <v>45842</v>
      </c>
      <c r="AA189" s="4">
        <v>45844</v>
      </c>
      <c r="AB189" s="4">
        <v>45844</v>
      </c>
      <c r="AC189" s="14">
        <v>45846</v>
      </c>
      <c r="AD189" s="2" t="s">
        <v>1540</v>
      </c>
      <c r="AE189" s="2" t="s">
        <v>1541</v>
      </c>
      <c r="AF189" s="2">
        <v>1</v>
      </c>
      <c r="AG189" s="2">
        <v>263</v>
      </c>
      <c r="AH189" s="2"/>
      <c r="AI189" s="2" t="s">
        <v>629</v>
      </c>
      <c r="AJ189" s="2"/>
      <c r="AK189" s="4">
        <v>45840</v>
      </c>
      <c r="AL189" s="14">
        <v>45840</v>
      </c>
      <c r="AM189" s="14">
        <v>45840</v>
      </c>
      <c r="AN189" s="2"/>
      <c r="AO189" s="2">
        <v>3103046</v>
      </c>
      <c r="AP189" s="14">
        <v>45845</v>
      </c>
      <c r="AQ189" s="14">
        <v>45846</v>
      </c>
      <c r="AS189" s="14">
        <v>45847</v>
      </c>
      <c r="AT189" s="44">
        <v>50711</v>
      </c>
      <c r="AU189" s="1" t="s">
        <v>74</v>
      </c>
      <c r="AV189" s="14">
        <v>40733</v>
      </c>
      <c r="AW189" s="14">
        <v>40733</v>
      </c>
      <c r="AY189" s="2">
        <v>3169300</v>
      </c>
      <c r="AZ189" s="32">
        <v>45848</v>
      </c>
      <c r="BA189" s="1">
        <v>6665501</v>
      </c>
      <c r="BB189" s="2">
        <v>1199790</v>
      </c>
      <c r="BC189" s="5">
        <v>45848</v>
      </c>
      <c r="BD189" s="5">
        <v>45848</v>
      </c>
      <c r="BF189" s="5">
        <v>45849</v>
      </c>
      <c r="BG189" s="5">
        <v>45849</v>
      </c>
      <c r="BH189" s="1" t="s">
        <v>1660</v>
      </c>
      <c r="BI189" s="1" t="s">
        <v>273</v>
      </c>
      <c r="BQ189" s="14">
        <v>40733</v>
      </c>
      <c r="BR189" s="5">
        <v>45848</v>
      </c>
    </row>
    <row r="190" spans="1:70" ht="18" customHeight="1" x14ac:dyDescent="0.3">
      <c r="A190" s="2">
        <v>190</v>
      </c>
      <c r="B190" s="2">
        <v>6941992</v>
      </c>
      <c r="C190" s="111">
        <v>45821</v>
      </c>
      <c r="D190" s="2">
        <v>168100</v>
      </c>
      <c r="E190" s="2" t="s">
        <v>678</v>
      </c>
      <c r="F190" s="8" t="s">
        <v>1441</v>
      </c>
      <c r="G190" s="8" t="s">
        <v>1186</v>
      </c>
      <c r="H190" s="8" t="s">
        <v>749</v>
      </c>
      <c r="I190" s="83">
        <v>50544</v>
      </c>
      <c r="J190" s="2" t="s">
        <v>142</v>
      </c>
      <c r="K190" s="2" t="s">
        <v>126</v>
      </c>
      <c r="L190" s="2" t="s">
        <v>854</v>
      </c>
      <c r="M190" s="78">
        <v>45832</v>
      </c>
      <c r="N190" s="56" t="s">
        <v>1759</v>
      </c>
      <c r="Q190" s="67">
        <f t="shared" si="18"/>
        <v>2</v>
      </c>
      <c r="R190" s="29">
        <f t="shared" si="13"/>
        <v>21</v>
      </c>
      <c r="T190" s="1"/>
      <c r="U190" s="1" t="s">
        <v>1244</v>
      </c>
      <c r="V190" s="2" t="s">
        <v>384</v>
      </c>
      <c r="W190" s="64" t="s">
        <v>421</v>
      </c>
      <c r="X190" s="2">
        <v>20255072311</v>
      </c>
      <c r="Y190" s="14">
        <v>45828</v>
      </c>
      <c r="Z190" s="14">
        <v>45836</v>
      </c>
      <c r="AA190" s="4">
        <v>45832</v>
      </c>
      <c r="AB190" s="4">
        <v>45832</v>
      </c>
      <c r="AC190" s="14">
        <v>45834</v>
      </c>
      <c r="AD190" s="2" t="s">
        <v>1488</v>
      </c>
      <c r="AE190" s="2" t="s">
        <v>1489</v>
      </c>
      <c r="AF190" s="2">
        <v>3</v>
      </c>
      <c r="AG190" s="2">
        <v>589</v>
      </c>
      <c r="AH190" s="2"/>
      <c r="AI190" s="2" t="s">
        <v>180</v>
      </c>
      <c r="AJ190" s="2"/>
      <c r="AK190" s="4">
        <v>45832</v>
      </c>
      <c r="AL190" s="14">
        <v>45832</v>
      </c>
      <c r="AM190" s="4">
        <v>45832</v>
      </c>
      <c r="AN190" s="2"/>
      <c r="AO190" s="88">
        <v>2850358</v>
      </c>
      <c r="AP190" s="14">
        <v>45832</v>
      </c>
      <c r="AQ190" s="14">
        <v>45834</v>
      </c>
      <c r="AS190" s="14">
        <v>45834</v>
      </c>
      <c r="AT190" s="44">
        <v>50583</v>
      </c>
      <c r="AU190" s="1" t="s">
        <v>74</v>
      </c>
      <c r="AV190" s="14">
        <v>45834</v>
      </c>
      <c r="AW190" s="14">
        <v>45835</v>
      </c>
      <c r="AY190" s="2">
        <v>3260657</v>
      </c>
      <c r="AZ190" s="32">
        <v>45853</v>
      </c>
      <c r="BA190" s="1">
        <v>14490220</v>
      </c>
      <c r="BB190" s="2">
        <v>2608240</v>
      </c>
      <c r="BC190" s="5">
        <v>45853</v>
      </c>
      <c r="BD190" s="5">
        <v>45853</v>
      </c>
      <c r="BF190" s="5">
        <v>45854</v>
      </c>
      <c r="BG190" s="5">
        <v>45855</v>
      </c>
      <c r="BH190" s="1" t="s">
        <v>1758</v>
      </c>
      <c r="BI190" s="1" t="s">
        <v>273</v>
      </c>
      <c r="BQ190" s="14">
        <v>45835</v>
      </c>
      <c r="BR190" s="5">
        <v>45840</v>
      </c>
    </row>
    <row r="191" spans="1:70" ht="18" customHeight="1" x14ac:dyDescent="0.3">
      <c r="A191" s="2">
        <v>191</v>
      </c>
      <c r="B191" s="2">
        <v>6943164</v>
      </c>
      <c r="C191" s="111">
        <v>45831</v>
      </c>
      <c r="D191" s="2">
        <v>33620</v>
      </c>
      <c r="E191" s="2" t="s">
        <v>678</v>
      </c>
      <c r="F191" s="8" t="s">
        <v>1441</v>
      </c>
      <c r="G191" s="8" t="s">
        <v>1186</v>
      </c>
      <c r="H191" s="8" t="s">
        <v>770</v>
      </c>
      <c r="I191" s="83">
        <v>50611</v>
      </c>
      <c r="J191" s="2" t="s">
        <v>142</v>
      </c>
      <c r="K191" s="2" t="s">
        <v>126</v>
      </c>
      <c r="L191" s="2" t="s">
        <v>854</v>
      </c>
      <c r="M191" s="78">
        <v>45843</v>
      </c>
      <c r="N191" s="56" t="s">
        <v>1761</v>
      </c>
      <c r="Q191" s="67">
        <f t="shared" si="18"/>
        <v>2</v>
      </c>
      <c r="R191" s="29">
        <f t="shared" si="13"/>
        <v>10</v>
      </c>
      <c r="T191" s="1"/>
      <c r="U191" s="1" t="s">
        <v>1244</v>
      </c>
      <c r="V191" s="2" t="s">
        <v>384</v>
      </c>
      <c r="W191" s="64" t="s">
        <v>421</v>
      </c>
      <c r="X191" s="2">
        <v>20255074333</v>
      </c>
      <c r="Y191" s="14">
        <v>45833</v>
      </c>
      <c r="Z191" s="14">
        <v>45841</v>
      </c>
      <c r="AA191" s="4">
        <v>45843</v>
      </c>
      <c r="AB191" s="4">
        <v>45843</v>
      </c>
      <c r="AC191" s="14">
        <v>45845</v>
      </c>
      <c r="AD191" s="2" t="s">
        <v>1529</v>
      </c>
      <c r="AE191" s="2" t="s">
        <v>1530</v>
      </c>
      <c r="AF191" s="2">
        <v>1</v>
      </c>
      <c r="AG191" s="2">
        <v>122</v>
      </c>
      <c r="AH191" s="2"/>
      <c r="AI191" s="2" t="s">
        <v>180</v>
      </c>
      <c r="AJ191" s="2"/>
      <c r="AK191" s="4">
        <v>45839</v>
      </c>
      <c r="AL191" s="14">
        <v>45839</v>
      </c>
      <c r="AM191" s="14">
        <v>45839</v>
      </c>
      <c r="AN191" s="2"/>
      <c r="AO191" s="2">
        <v>3073736</v>
      </c>
      <c r="AP191" s="14">
        <v>45843</v>
      </c>
      <c r="AQ191" s="14">
        <v>45845</v>
      </c>
      <c r="AS191" s="14">
        <v>45845</v>
      </c>
      <c r="AT191" s="44">
        <v>50666</v>
      </c>
      <c r="AU191" s="1" t="s">
        <v>74</v>
      </c>
      <c r="AV191" s="14">
        <v>45845</v>
      </c>
      <c r="AW191" s="14">
        <v>45846</v>
      </c>
      <c r="AY191" s="2">
        <v>3260660</v>
      </c>
      <c r="AZ191" s="5">
        <v>45853</v>
      </c>
      <c r="BA191" s="1">
        <v>2898044</v>
      </c>
      <c r="BB191" s="2">
        <v>521648</v>
      </c>
      <c r="BC191" s="5">
        <v>45853</v>
      </c>
      <c r="BD191" s="5">
        <v>45853</v>
      </c>
      <c r="BF191" s="5">
        <v>45854</v>
      </c>
      <c r="BG191" s="5">
        <v>45855</v>
      </c>
      <c r="BH191" s="1" t="s">
        <v>1758</v>
      </c>
      <c r="BI191" s="1" t="s">
        <v>273</v>
      </c>
      <c r="BQ191" s="14">
        <v>45846</v>
      </c>
      <c r="BR191" s="5">
        <v>45846</v>
      </c>
    </row>
    <row r="192" spans="1:70" ht="18" customHeight="1" x14ac:dyDescent="0.3">
      <c r="A192" s="2">
        <v>192</v>
      </c>
      <c r="B192" s="8" t="s">
        <v>1583</v>
      </c>
      <c r="C192" s="111">
        <v>45833</v>
      </c>
      <c r="D192" s="8" t="s">
        <v>1584</v>
      </c>
      <c r="E192" s="2" t="s">
        <v>840</v>
      </c>
      <c r="F192" s="8" t="s">
        <v>1585</v>
      </c>
      <c r="G192" s="8" t="s">
        <v>1586</v>
      </c>
      <c r="H192" s="8" t="s">
        <v>1587</v>
      </c>
      <c r="I192" s="83">
        <v>50662</v>
      </c>
      <c r="J192" s="2" t="s">
        <v>142</v>
      </c>
      <c r="K192" s="2" t="s">
        <v>126</v>
      </c>
      <c r="L192" s="2" t="s">
        <v>854</v>
      </c>
      <c r="M192" s="78">
        <v>45846</v>
      </c>
      <c r="N192" s="56" t="s">
        <v>1760</v>
      </c>
      <c r="Q192" s="67">
        <f t="shared" si="18"/>
        <v>2</v>
      </c>
      <c r="R192" s="29">
        <f t="shared" si="13"/>
        <v>7</v>
      </c>
      <c r="T192" s="1"/>
      <c r="U192" s="8" t="s">
        <v>1589</v>
      </c>
      <c r="V192" s="2" t="s">
        <v>384</v>
      </c>
      <c r="W192" s="64" t="s">
        <v>421</v>
      </c>
      <c r="X192" s="2">
        <v>20255079754</v>
      </c>
      <c r="Y192" s="14">
        <v>45845</v>
      </c>
      <c r="Z192" s="2" t="s">
        <v>1531</v>
      </c>
      <c r="AA192" s="4">
        <v>45846</v>
      </c>
      <c r="AB192" s="4">
        <v>45846</v>
      </c>
      <c r="AC192" s="14">
        <v>45848</v>
      </c>
      <c r="AD192" s="2">
        <v>61844500842</v>
      </c>
      <c r="AE192" s="2" t="s">
        <v>1588</v>
      </c>
      <c r="AF192" s="2">
        <v>2</v>
      </c>
      <c r="AG192" s="2">
        <v>235</v>
      </c>
      <c r="AH192" s="2"/>
      <c r="AI192" s="2" t="s">
        <v>180</v>
      </c>
      <c r="AJ192" s="2"/>
      <c r="AK192" s="4">
        <v>45843</v>
      </c>
      <c r="AL192" s="14">
        <v>45845</v>
      </c>
      <c r="AM192" s="14">
        <v>45845</v>
      </c>
      <c r="AN192" s="2"/>
      <c r="AO192" s="2">
        <v>3137902</v>
      </c>
      <c r="AP192" s="14">
        <v>45846</v>
      </c>
      <c r="AQ192" s="14">
        <v>45848</v>
      </c>
      <c r="AR192" s="15" t="s">
        <v>1579</v>
      </c>
      <c r="AS192" s="14">
        <v>45849</v>
      </c>
      <c r="AT192" s="44">
        <v>50748</v>
      </c>
      <c r="AU192" s="1" t="s">
        <v>74</v>
      </c>
      <c r="AV192" s="14">
        <v>45849</v>
      </c>
      <c r="AW192" s="14">
        <v>45852</v>
      </c>
      <c r="AY192" s="2">
        <v>3260661</v>
      </c>
      <c r="AZ192" s="32">
        <v>45853</v>
      </c>
      <c r="BA192" s="1">
        <v>5506284</v>
      </c>
      <c r="BB192" s="2">
        <v>991131</v>
      </c>
      <c r="BC192" s="5">
        <v>45853</v>
      </c>
      <c r="BD192" s="5">
        <v>45853</v>
      </c>
      <c r="BF192" s="5">
        <v>45854</v>
      </c>
      <c r="BG192" s="5">
        <v>45855</v>
      </c>
      <c r="BH192" s="1" t="s">
        <v>1758</v>
      </c>
      <c r="BI192" s="1" t="s">
        <v>273</v>
      </c>
      <c r="BQ192" s="14">
        <v>45852</v>
      </c>
      <c r="BR192" s="14">
        <v>45852</v>
      </c>
    </row>
    <row r="193" spans="1:70" ht="18" customHeight="1" x14ac:dyDescent="0.3">
      <c r="A193" s="2">
        <v>193</v>
      </c>
      <c r="B193" s="2">
        <v>6943805</v>
      </c>
      <c r="C193" s="111">
        <v>45833</v>
      </c>
      <c r="D193" s="2">
        <v>60516</v>
      </c>
      <c r="E193" s="2" t="s">
        <v>840</v>
      </c>
      <c r="F193" s="8" t="s">
        <v>1441</v>
      </c>
      <c r="G193" s="8" t="s">
        <v>1186</v>
      </c>
      <c r="H193" s="8" t="s">
        <v>1580</v>
      </c>
      <c r="I193" s="83">
        <v>50661</v>
      </c>
      <c r="J193" s="2" t="s">
        <v>142</v>
      </c>
      <c r="K193" s="2" t="s">
        <v>126</v>
      </c>
      <c r="L193" s="2" t="s">
        <v>854</v>
      </c>
      <c r="M193" s="78">
        <v>45846</v>
      </c>
      <c r="N193" s="56" t="s">
        <v>1770</v>
      </c>
      <c r="Q193" s="67">
        <f t="shared" si="18"/>
        <v>2</v>
      </c>
      <c r="R193" s="29">
        <f t="shared" si="13"/>
        <v>8</v>
      </c>
      <c r="T193" s="1">
        <v>772</v>
      </c>
      <c r="U193" s="1" t="s">
        <v>1581</v>
      </c>
      <c r="V193" s="2" t="s">
        <v>204</v>
      </c>
      <c r="W193" s="1" t="s">
        <v>203</v>
      </c>
      <c r="X193" s="2">
        <v>20255079745</v>
      </c>
      <c r="Y193" s="14">
        <v>45845</v>
      </c>
      <c r="Z193" s="14">
        <v>45849</v>
      </c>
      <c r="AA193" s="4">
        <v>45846</v>
      </c>
      <c r="AB193" s="4">
        <v>45846</v>
      </c>
      <c r="AC193" s="14">
        <v>45848</v>
      </c>
      <c r="AD193" s="2">
        <v>61844500842</v>
      </c>
      <c r="AE193" s="2" t="s">
        <v>1582</v>
      </c>
      <c r="AF193" s="2">
        <v>1</v>
      </c>
      <c r="AG193" s="2">
        <v>208</v>
      </c>
      <c r="AH193" s="2"/>
      <c r="AI193" s="2" t="s">
        <v>180</v>
      </c>
      <c r="AJ193" s="2"/>
      <c r="AK193" s="4">
        <v>45843</v>
      </c>
      <c r="AL193" s="14">
        <v>45845</v>
      </c>
      <c r="AM193" s="14">
        <v>45845</v>
      </c>
      <c r="AN193" s="2"/>
      <c r="AO193" s="2">
        <v>3137859</v>
      </c>
      <c r="AP193" s="14">
        <v>45846</v>
      </c>
      <c r="AQ193" s="14">
        <v>45848</v>
      </c>
      <c r="AR193" s="15" t="s">
        <v>1579</v>
      </c>
      <c r="AS193" s="14">
        <v>45848</v>
      </c>
      <c r="AT193" s="44">
        <v>50728</v>
      </c>
      <c r="AU193" s="1" t="s">
        <v>74</v>
      </c>
      <c r="AV193" s="14">
        <v>45848</v>
      </c>
      <c r="AW193" s="14">
        <v>45849</v>
      </c>
      <c r="AY193" s="2">
        <v>3238221</v>
      </c>
      <c r="AZ193" s="32">
        <v>45852</v>
      </c>
      <c r="BA193" s="1">
        <v>5216479</v>
      </c>
      <c r="BB193" s="2">
        <v>938966</v>
      </c>
      <c r="BC193" s="5">
        <v>45852</v>
      </c>
      <c r="BD193" s="14">
        <v>45854</v>
      </c>
      <c r="BF193" s="5">
        <v>45855</v>
      </c>
      <c r="BG193" s="5">
        <v>45856</v>
      </c>
      <c r="BH193" s="1" t="s">
        <v>1768</v>
      </c>
      <c r="BI193" s="1" t="s">
        <v>1769</v>
      </c>
      <c r="BQ193" s="14">
        <v>45849</v>
      </c>
      <c r="BR193" s="5">
        <v>45849</v>
      </c>
    </row>
    <row r="194" spans="1:70" ht="18" customHeight="1" x14ac:dyDescent="0.3">
      <c r="A194" s="2">
        <v>194</v>
      </c>
      <c r="B194" s="2">
        <v>6942287</v>
      </c>
      <c r="C194" s="111">
        <v>45831</v>
      </c>
      <c r="D194" s="2">
        <v>155775</v>
      </c>
      <c r="E194" s="2" t="s">
        <v>840</v>
      </c>
      <c r="F194" s="8" t="s">
        <v>219</v>
      </c>
      <c r="G194" s="8" t="s">
        <v>1361</v>
      </c>
      <c r="H194" s="8" t="s">
        <v>525</v>
      </c>
      <c r="I194" s="83">
        <v>50717</v>
      </c>
      <c r="J194" s="2" t="s">
        <v>1631</v>
      </c>
      <c r="K194" s="2" t="s">
        <v>126</v>
      </c>
      <c r="L194" s="2" t="s">
        <v>1632</v>
      </c>
      <c r="M194" s="78">
        <v>45847</v>
      </c>
      <c r="N194" s="56" t="s">
        <v>1821</v>
      </c>
      <c r="Q194" s="67">
        <f t="shared" si="18"/>
        <v>5</v>
      </c>
      <c r="R194" s="29">
        <f t="shared" si="13"/>
        <v>8</v>
      </c>
      <c r="T194" s="1"/>
      <c r="U194" s="1" t="s">
        <v>1635</v>
      </c>
      <c r="V194" s="2" t="s">
        <v>384</v>
      </c>
      <c r="W194" s="64" t="s">
        <v>421</v>
      </c>
      <c r="X194" s="2">
        <v>20255079383</v>
      </c>
      <c r="Y194" s="14">
        <v>45845</v>
      </c>
      <c r="Z194" s="14">
        <v>45849</v>
      </c>
      <c r="AA194" s="4">
        <v>45831</v>
      </c>
      <c r="AB194" s="4">
        <v>45848</v>
      </c>
      <c r="AC194" s="14">
        <v>45853</v>
      </c>
      <c r="AD194" s="2" t="s">
        <v>1634</v>
      </c>
      <c r="AE194" s="2"/>
      <c r="AF194" s="2">
        <v>5</v>
      </c>
      <c r="AG194" s="2">
        <v>8.77</v>
      </c>
      <c r="AH194" s="2"/>
      <c r="AI194" s="2" t="s">
        <v>180</v>
      </c>
      <c r="AJ194" s="2"/>
      <c r="AK194" s="4">
        <v>45847</v>
      </c>
      <c r="AL194" s="14">
        <v>45847</v>
      </c>
      <c r="AM194" s="14">
        <v>45847</v>
      </c>
      <c r="AN194" s="2"/>
      <c r="AO194" s="2">
        <v>3192168</v>
      </c>
      <c r="AP194" s="14">
        <v>45849</v>
      </c>
      <c r="AQ194" s="14">
        <v>45853</v>
      </c>
      <c r="AS194" s="14">
        <v>45854</v>
      </c>
      <c r="AT194" s="44">
        <v>50806</v>
      </c>
      <c r="AU194" s="1" t="s">
        <v>74</v>
      </c>
      <c r="AV194" s="14">
        <v>45854</v>
      </c>
      <c r="AW194" s="14">
        <v>45855</v>
      </c>
      <c r="AY194" s="2">
        <v>3385559</v>
      </c>
      <c r="AZ194" s="32">
        <v>45859</v>
      </c>
      <c r="BA194" s="1">
        <v>13521270</v>
      </c>
      <c r="BB194" s="2">
        <v>2433829</v>
      </c>
      <c r="BC194" s="5">
        <v>45859</v>
      </c>
      <c r="BD194" s="5">
        <v>45859</v>
      </c>
      <c r="BF194" s="5">
        <v>45860</v>
      </c>
      <c r="BG194" s="5">
        <v>45861</v>
      </c>
      <c r="BH194" s="1" t="s">
        <v>1820</v>
      </c>
      <c r="BI194" s="1" t="s">
        <v>273</v>
      </c>
      <c r="BQ194" s="14">
        <v>45855</v>
      </c>
      <c r="BR194" s="14">
        <v>45856</v>
      </c>
    </row>
    <row r="195" spans="1:70" ht="18" customHeight="1" x14ac:dyDescent="0.3">
      <c r="A195" s="2">
        <v>195</v>
      </c>
      <c r="B195" s="2">
        <v>6941562</v>
      </c>
      <c r="C195" s="111">
        <v>45831</v>
      </c>
      <c r="D195" s="2">
        <v>155775</v>
      </c>
      <c r="E195" s="2" t="s">
        <v>840</v>
      </c>
      <c r="F195" s="8" t="s">
        <v>219</v>
      </c>
      <c r="G195" s="8" t="s">
        <v>1361</v>
      </c>
      <c r="H195" s="8" t="s">
        <v>525</v>
      </c>
      <c r="I195" s="83">
        <v>50718</v>
      </c>
      <c r="J195" s="2" t="s">
        <v>1631</v>
      </c>
      <c r="K195" s="2" t="s">
        <v>126</v>
      </c>
      <c r="L195" s="2" t="s">
        <v>1632</v>
      </c>
      <c r="M195" s="78">
        <v>45847</v>
      </c>
      <c r="N195" s="56" t="s">
        <v>1822</v>
      </c>
      <c r="Q195" s="67">
        <f t="shared" si="18"/>
        <v>5</v>
      </c>
      <c r="R195" s="29">
        <f t="shared" si="13"/>
        <v>8</v>
      </c>
      <c r="T195" s="1"/>
      <c r="U195" s="1" t="s">
        <v>1635</v>
      </c>
      <c r="V195" s="2" t="s">
        <v>384</v>
      </c>
      <c r="W195" s="64" t="s">
        <v>421</v>
      </c>
      <c r="X195" s="2">
        <v>20255079389</v>
      </c>
      <c r="Y195" s="14">
        <v>45845</v>
      </c>
      <c r="Z195" s="14">
        <v>45849</v>
      </c>
      <c r="AA195" s="4">
        <v>45831</v>
      </c>
      <c r="AB195" s="4">
        <v>45848</v>
      </c>
      <c r="AC195" s="14">
        <v>45853</v>
      </c>
      <c r="AD195" s="2" t="s">
        <v>1636</v>
      </c>
      <c r="AE195" s="2"/>
      <c r="AF195" s="2">
        <v>5</v>
      </c>
      <c r="AG195" s="2">
        <v>8.9</v>
      </c>
      <c r="AH195" s="2"/>
      <c r="AI195" s="2" t="s">
        <v>180</v>
      </c>
      <c r="AJ195" s="2"/>
      <c r="AK195" s="4">
        <v>45847</v>
      </c>
      <c r="AL195" s="14">
        <v>45847</v>
      </c>
      <c r="AM195" s="14">
        <v>45847</v>
      </c>
      <c r="AN195" s="2"/>
      <c r="AO195" s="2">
        <v>3193094</v>
      </c>
      <c r="AP195" s="14">
        <v>45849</v>
      </c>
      <c r="AQ195" s="14">
        <v>45853</v>
      </c>
      <c r="AS195" s="14">
        <v>45854</v>
      </c>
      <c r="AT195" s="44">
        <v>50807</v>
      </c>
      <c r="AU195" s="1" t="s">
        <v>74</v>
      </c>
      <c r="AV195" s="14">
        <v>45854</v>
      </c>
      <c r="AW195" s="14">
        <v>45855</v>
      </c>
      <c r="AY195" s="2">
        <v>3385556</v>
      </c>
      <c r="AZ195" s="32">
        <v>45859</v>
      </c>
      <c r="BA195" s="1">
        <v>13521270</v>
      </c>
      <c r="BB195" s="2">
        <v>2433829</v>
      </c>
      <c r="BC195" s="5">
        <v>45859</v>
      </c>
      <c r="BD195" s="5">
        <v>45859</v>
      </c>
      <c r="BF195" s="5">
        <v>45860</v>
      </c>
      <c r="BG195" s="5">
        <v>45861</v>
      </c>
      <c r="BH195" s="1" t="s">
        <v>1820</v>
      </c>
      <c r="BI195" s="1" t="s">
        <v>273</v>
      </c>
      <c r="BQ195" s="14">
        <v>45855</v>
      </c>
      <c r="BR195" s="14">
        <v>45856</v>
      </c>
    </row>
    <row r="196" spans="1:70" ht="18" customHeight="1" thickBot="1" x14ac:dyDescent="0.35">
      <c r="A196" s="2">
        <v>196</v>
      </c>
      <c r="B196" s="2">
        <v>6942844</v>
      </c>
      <c r="C196" s="111">
        <v>45835</v>
      </c>
      <c r="D196" s="2">
        <v>700</v>
      </c>
      <c r="E196" s="2" t="s">
        <v>840</v>
      </c>
      <c r="F196" s="2" t="s">
        <v>1649</v>
      </c>
      <c r="G196" s="2" t="s">
        <v>1648</v>
      </c>
      <c r="H196" s="2">
        <v>10</v>
      </c>
      <c r="I196" s="83">
        <v>50756</v>
      </c>
      <c r="J196" s="2" t="s">
        <v>142</v>
      </c>
      <c r="K196" s="2" t="s">
        <v>126</v>
      </c>
      <c r="L196" s="2" t="s">
        <v>854</v>
      </c>
      <c r="M196" s="78">
        <v>45851</v>
      </c>
      <c r="N196" s="56" t="s">
        <v>1823</v>
      </c>
      <c r="Q196" s="67">
        <f t="shared" si="18"/>
        <v>3</v>
      </c>
      <c r="R196" s="29">
        <f t="shared" si="13"/>
        <v>7</v>
      </c>
      <c r="T196" s="1"/>
      <c r="U196" s="1" t="s">
        <v>1679</v>
      </c>
      <c r="V196" s="2" t="s">
        <v>384</v>
      </c>
      <c r="W196" s="64" t="s">
        <v>421</v>
      </c>
      <c r="X196" s="2">
        <v>20255081022</v>
      </c>
      <c r="Y196" s="14">
        <v>45847</v>
      </c>
      <c r="Z196" s="14">
        <v>45852</v>
      </c>
      <c r="AA196" s="4">
        <v>45851</v>
      </c>
      <c r="AB196" s="4">
        <v>45851</v>
      </c>
      <c r="AC196" s="14">
        <v>45854</v>
      </c>
      <c r="AD196" s="2">
        <v>17617661114</v>
      </c>
      <c r="AE196" s="2" t="s">
        <v>1680</v>
      </c>
      <c r="AF196" s="2">
        <v>1</v>
      </c>
      <c r="AG196" s="2">
        <v>1.5</v>
      </c>
      <c r="AH196" s="2"/>
      <c r="AI196" s="2" t="s">
        <v>180</v>
      </c>
      <c r="AJ196" s="2"/>
      <c r="AK196" s="4">
        <v>45849</v>
      </c>
      <c r="AL196" s="14">
        <v>45850</v>
      </c>
      <c r="AM196" s="14">
        <v>45850</v>
      </c>
      <c r="AN196" s="2"/>
      <c r="AO196" s="108">
        <v>3244618</v>
      </c>
      <c r="AP196" s="14">
        <v>45852</v>
      </c>
      <c r="AQ196" s="14">
        <v>45854</v>
      </c>
      <c r="AS196" s="14">
        <v>45855</v>
      </c>
      <c r="AT196" s="44">
        <v>50819</v>
      </c>
      <c r="AU196" s="1" t="s">
        <v>74</v>
      </c>
      <c r="AV196" s="14">
        <v>45855</v>
      </c>
      <c r="AW196" s="14">
        <v>45856</v>
      </c>
      <c r="AY196" s="2">
        <v>3385562</v>
      </c>
      <c r="AZ196" s="32">
        <v>45859</v>
      </c>
      <c r="BA196" s="1">
        <v>60760</v>
      </c>
      <c r="BB196" s="2">
        <v>10937</v>
      </c>
      <c r="BC196" s="5">
        <v>45859</v>
      </c>
      <c r="BD196" s="5">
        <v>45859</v>
      </c>
      <c r="BF196" s="5">
        <v>45860</v>
      </c>
      <c r="BG196" s="5">
        <v>45861</v>
      </c>
      <c r="BH196" s="1" t="s">
        <v>1820</v>
      </c>
      <c r="BI196" s="1" t="s">
        <v>273</v>
      </c>
      <c r="BQ196" s="14">
        <v>45856</v>
      </c>
      <c r="BR196" s="14">
        <v>45856</v>
      </c>
    </row>
    <row r="197" spans="1:70" ht="18" customHeight="1" x14ac:dyDescent="0.3">
      <c r="A197" s="2">
        <v>197</v>
      </c>
      <c r="B197" s="2">
        <v>6881590</v>
      </c>
      <c r="C197" s="111">
        <v>45737</v>
      </c>
      <c r="D197" s="2">
        <v>155775</v>
      </c>
      <c r="E197" s="2" t="s">
        <v>840</v>
      </c>
      <c r="F197" s="8" t="s">
        <v>219</v>
      </c>
      <c r="G197" s="8" t="s">
        <v>1361</v>
      </c>
      <c r="H197" s="8" t="s">
        <v>525</v>
      </c>
      <c r="I197" s="83">
        <v>50715</v>
      </c>
      <c r="J197" s="2" t="s">
        <v>1631</v>
      </c>
      <c r="K197" s="2" t="s">
        <v>126</v>
      </c>
      <c r="L197" s="2" t="s">
        <v>1632</v>
      </c>
      <c r="M197" s="78">
        <v>45847</v>
      </c>
      <c r="N197" s="56" t="s">
        <v>1825</v>
      </c>
      <c r="Q197" s="67">
        <f t="shared" ref="Q197:Q205" si="19">AQ197-AB197</f>
        <v>5</v>
      </c>
      <c r="R197" s="29">
        <f t="shared" si="13"/>
        <v>8</v>
      </c>
      <c r="T197" s="1"/>
      <c r="U197" s="1" t="s">
        <v>1110</v>
      </c>
      <c r="V197" s="2" t="s">
        <v>384</v>
      </c>
      <c r="W197" s="64" t="s">
        <v>421</v>
      </c>
      <c r="X197" s="2">
        <v>20255079384</v>
      </c>
      <c r="Y197" s="14">
        <v>45845</v>
      </c>
      <c r="Z197" s="14">
        <v>45849</v>
      </c>
      <c r="AA197" s="4">
        <v>45831</v>
      </c>
      <c r="AB197" s="4">
        <v>45848</v>
      </c>
      <c r="AC197" s="14">
        <v>45853</v>
      </c>
      <c r="AD197" s="2" t="s">
        <v>1633</v>
      </c>
      <c r="AE197" s="2"/>
      <c r="AF197" s="2">
        <v>5</v>
      </c>
      <c r="AG197" s="2">
        <v>8.77</v>
      </c>
      <c r="AH197" s="2"/>
      <c r="AI197" s="2" t="s">
        <v>180</v>
      </c>
      <c r="AJ197" s="2"/>
      <c r="AK197" s="4">
        <v>45847</v>
      </c>
      <c r="AL197" s="14">
        <v>45847</v>
      </c>
      <c r="AM197" s="14">
        <v>45847</v>
      </c>
      <c r="AN197" s="2"/>
      <c r="AO197" s="2">
        <v>3192560</v>
      </c>
      <c r="AP197" s="14">
        <v>45849</v>
      </c>
      <c r="AQ197" s="14">
        <v>45853</v>
      </c>
      <c r="AS197" s="14">
        <v>45854</v>
      </c>
      <c r="AT197" s="44">
        <v>50804</v>
      </c>
      <c r="AU197" s="1" t="s">
        <v>74</v>
      </c>
      <c r="AV197" s="14">
        <v>45854</v>
      </c>
      <c r="AW197" s="14">
        <v>45855</v>
      </c>
      <c r="AY197" s="2">
        <v>3388990</v>
      </c>
      <c r="AZ197" s="32">
        <v>45859</v>
      </c>
      <c r="BA197" s="1">
        <v>13521270</v>
      </c>
      <c r="BB197" s="2">
        <v>2433829</v>
      </c>
      <c r="BC197" s="5">
        <v>45859</v>
      </c>
      <c r="BD197" s="14">
        <v>45859</v>
      </c>
      <c r="BF197" s="5">
        <v>45860</v>
      </c>
      <c r="BG197" s="5">
        <v>45861</v>
      </c>
      <c r="BH197" s="1" t="s">
        <v>1824</v>
      </c>
      <c r="BI197" s="1" t="s">
        <v>273</v>
      </c>
      <c r="BQ197" s="14">
        <v>45855</v>
      </c>
      <c r="BR197" s="14">
        <v>45856</v>
      </c>
    </row>
    <row r="198" spans="1:70" ht="18" customHeight="1" x14ac:dyDescent="0.3">
      <c r="A198" s="2">
        <v>198</v>
      </c>
      <c r="B198" s="2">
        <v>6881589</v>
      </c>
      <c r="C198" s="111">
        <v>45739</v>
      </c>
      <c r="D198" s="2">
        <v>155775</v>
      </c>
      <c r="E198" s="2" t="s">
        <v>840</v>
      </c>
      <c r="F198" s="8" t="s">
        <v>219</v>
      </c>
      <c r="G198" s="8" t="s">
        <v>1361</v>
      </c>
      <c r="H198" s="8" t="s">
        <v>525</v>
      </c>
      <c r="I198" s="83">
        <v>50719</v>
      </c>
      <c r="J198" s="2" t="s">
        <v>1631</v>
      </c>
      <c r="K198" s="2" t="s">
        <v>126</v>
      </c>
      <c r="L198" s="2" t="s">
        <v>1632</v>
      </c>
      <c r="M198" s="78">
        <v>45847</v>
      </c>
      <c r="N198" s="56" t="s">
        <v>1825</v>
      </c>
      <c r="Q198" s="67">
        <f t="shared" si="19"/>
        <v>5</v>
      </c>
      <c r="R198" s="29">
        <f t="shared" si="13"/>
        <v>8</v>
      </c>
      <c r="T198" s="1"/>
      <c r="U198" s="1" t="s">
        <v>1110</v>
      </c>
      <c r="V198" s="2" t="s">
        <v>384</v>
      </c>
      <c r="W198" s="64" t="s">
        <v>421</v>
      </c>
      <c r="X198" s="2">
        <v>20255079392</v>
      </c>
      <c r="Y198" s="14">
        <v>45845</v>
      </c>
      <c r="Z198" s="14">
        <v>45849</v>
      </c>
      <c r="AA198" s="4">
        <v>45831</v>
      </c>
      <c r="AB198" s="4">
        <v>45848</v>
      </c>
      <c r="AC198" s="14">
        <v>45853</v>
      </c>
      <c r="AD198" s="2" t="s">
        <v>1637</v>
      </c>
      <c r="AE198" s="2"/>
      <c r="AF198" s="2">
        <v>5</v>
      </c>
      <c r="AG198" s="2">
        <v>8.77</v>
      </c>
      <c r="AH198" s="2"/>
      <c r="AI198" s="2" t="s">
        <v>180</v>
      </c>
      <c r="AJ198" s="2"/>
      <c r="AK198" s="4">
        <v>45847</v>
      </c>
      <c r="AL198" s="14">
        <v>45847</v>
      </c>
      <c r="AM198" s="14">
        <v>45847</v>
      </c>
      <c r="AN198" s="2"/>
      <c r="AO198" s="2">
        <v>3200718</v>
      </c>
      <c r="AP198" s="14">
        <v>45849</v>
      </c>
      <c r="AQ198" s="14">
        <v>45853</v>
      </c>
      <c r="AS198" s="14">
        <v>45854</v>
      </c>
      <c r="AT198" s="44">
        <v>50808</v>
      </c>
      <c r="AU198" s="1" t="s">
        <v>74</v>
      </c>
      <c r="AV198" s="14">
        <v>45854</v>
      </c>
      <c r="AW198" s="14">
        <v>45855</v>
      </c>
      <c r="AY198" s="2">
        <v>3385560</v>
      </c>
      <c r="AZ198" s="32">
        <v>45859</v>
      </c>
      <c r="BA198" s="1">
        <v>13521270</v>
      </c>
      <c r="BB198" s="2">
        <v>2433829</v>
      </c>
      <c r="BC198" s="5">
        <v>45859</v>
      </c>
      <c r="BD198" s="5">
        <v>45859</v>
      </c>
      <c r="BF198" s="5">
        <v>45860</v>
      </c>
      <c r="BG198" s="5">
        <v>45861</v>
      </c>
      <c r="BH198" s="1" t="s">
        <v>1824</v>
      </c>
      <c r="BI198" s="1" t="s">
        <v>273</v>
      </c>
      <c r="BQ198" s="14">
        <v>45855</v>
      </c>
      <c r="BR198" s="1"/>
    </row>
    <row r="199" spans="1:70" ht="18" customHeight="1" x14ac:dyDescent="0.3">
      <c r="A199" s="2">
        <v>199</v>
      </c>
      <c r="B199" s="8" t="s">
        <v>1429</v>
      </c>
      <c r="C199" s="8" t="s">
        <v>1430</v>
      </c>
      <c r="D199" s="8" t="s">
        <v>1431</v>
      </c>
      <c r="E199" s="2" t="s">
        <v>840</v>
      </c>
      <c r="F199" s="8" t="s">
        <v>1432</v>
      </c>
      <c r="G199" s="8" t="s">
        <v>1433</v>
      </c>
      <c r="H199" s="8" t="s">
        <v>1434</v>
      </c>
      <c r="I199" s="83">
        <v>50468</v>
      </c>
      <c r="J199" s="2" t="s">
        <v>142</v>
      </c>
      <c r="K199" s="2" t="s">
        <v>126</v>
      </c>
      <c r="L199" s="2" t="s">
        <v>854</v>
      </c>
      <c r="M199" s="78">
        <v>45827</v>
      </c>
      <c r="N199" s="56" t="s">
        <v>1840</v>
      </c>
      <c r="Q199" s="67">
        <f t="shared" si="19"/>
        <v>2</v>
      </c>
      <c r="R199" s="29">
        <f t="shared" si="13"/>
        <v>32</v>
      </c>
      <c r="T199" s="1">
        <v>1419</v>
      </c>
      <c r="U199" s="8" t="s">
        <v>1435</v>
      </c>
      <c r="V199" s="1" t="s">
        <v>626</v>
      </c>
      <c r="W199" s="1" t="s">
        <v>627</v>
      </c>
      <c r="X199" s="2">
        <v>20255069413</v>
      </c>
      <c r="Y199" s="14">
        <v>45821</v>
      </c>
      <c r="Z199" s="14">
        <v>45827</v>
      </c>
      <c r="AA199" s="4">
        <v>45827</v>
      </c>
      <c r="AB199" s="4">
        <v>45827</v>
      </c>
      <c r="AC199" s="14">
        <v>45829</v>
      </c>
      <c r="AD199" s="2" t="s">
        <v>1436</v>
      </c>
      <c r="AE199" s="2" t="s">
        <v>1437</v>
      </c>
      <c r="AF199" s="2">
        <v>7</v>
      </c>
      <c r="AG199" s="2">
        <v>1869</v>
      </c>
      <c r="AH199" s="2"/>
      <c r="AI199" s="2" t="s">
        <v>180</v>
      </c>
      <c r="AJ199" s="2"/>
      <c r="AK199" s="4">
        <v>45825</v>
      </c>
      <c r="AL199" s="14">
        <v>45825</v>
      </c>
      <c r="AM199" s="4">
        <v>45825</v>
      </c>
      <c r="AN199" s="2"/>
      <c r="AO199" s="2">
        <v>2772581</v>
      </c>
      <c r="AP199" s="14">
        <v>45828</v>
      </c>
      <c r="AQ199" s="14">
        <v>45829</v>
      </c>
      <c r="AS199" s="14">
        <v>45831</v>
      </c>
      <c r="AT199" s="44">
        <v>50523</v>
      </c>
      <c r="AU199" s="1" t="s">
        <v>74</v>
      </c>
      <c r="AV199" s="14">
        <v>45831</v>
      </c>
      <c r="AW199" s="14">
        <v>45831</v>
      </c>
      <c r="AY199" s="2">
        <v>3385568</v>
      </c>
      <c r="AZ199" s="32">
        <v>45859</v>
      </c>
      <c r="BA199" s="1">
        <v>19188442</v>
      </c>
      <c r="BB199" s="2">
        <v>3453920</v>
      </c>
      <c r="BC199" s="5">
        <v>45859</v>
      </c>
      <c r="BD199" s="14">
        <v>45860</v>
      </c>
      <c r="BF199" s="5">
        <v>45861</v>
      </c>
      <c r="BG199" s="5">
        <v>45861</v>
      </c>
      <c r="BH199" s="1" t="s">
        <v>1839</v>
      </c>
      <c r="BI199" s="1" t="s">
        <v>273</v>
      </c>
      <c r="BQ199" s="14">
        <v>45831</v>
      </c>
      <c r="BR199" s="5">
        <v>45856</v>
      </c>
    </row>
    <row r="200" spans="1:70" ht="18" customHeight="1" x14ac:dyDescent="0.3">
      <c r="A200" s="2">
        <v>200</v>
      </c>
      <c r="B200" s="2">
        <v>6941467</v>
      </c>
      <c r="C200" s="111">
        <v>45831</v>
      </c>
      <c r="D200" s="2">
        <v>103850</v>
      </c>
      <c r="E200" s="2" t="s">
        <v>678</v>
      </c>
      <c r="F200" s="8" t="s">
        <v>573</v>
      </c>
      <c r="G200" s="8" t="s">
        <v>1411</v>
      </c>
      <c r="H200" s="8" t="s">
        <v>749</v>
      </c>
      <c r="I200" s="83">
        <v>50616</v>
      </c>
      <c r="J200" s="2" t="s">
        <v>142</v>
      </c>
      <c r="K200" s="2" t="s">
        <v>126</v>
      </c>
      <c r="L200" s="2" t="s">
        <v>854</v>
      </c>
      <c r="M200" s="78">
        <v>45843</v>
      </c>
      <c r="N200" s="56" t="s">
        <v>1841</v>
      </c>
      <c r="Q200" s="67">
        <f t="shared" si="19"/>
        <v>2</v>
      </c>
      <c r="R200" s="29">
        <f t="shared" si="13"/>
        <v>16</v>
      </c>
      <c r="T200" s="1">
        <v>667</v>
      </c>
      <c r="U200" s="1" t="s">
        <v>1532</v>
      </c>
      <c r="V200" s="1" t="s">
        <v>626</v>
      </c>
      <c r="W200" s="1" t="s">
        <v>627</v>
      </c>
      <c r="X200" s="2">
        <v>20255074315</v>
      </c>
      <c r="Y200" s="14">
        <v>45833</v>
      </c>
      <c r="Z200" s="14">
        <v>45841</v>
      </c>
      <c r="AA200" s="4">
        <v>45843</v>
      </c>
      <c r="AB200" s="4">
        <v>45843</v>
      </c>
      <c r="AC200" s="14">
        <v>45845</v>
      </c>
      <c r="AD200" s="2" t="s">
        <v>1529</v>
      </c>
      <c r="AE200" s="2" t="s">
        <v>1533</v>
      </c>
      <c r="AF200" s="2">
        <v>4</v>
      </c>
      <c r="AG200" s="2">
        <v>991.5</v>
      </c>
      <c r="AH200" s="2"/>
      <c r="AI200" s="2" t="s">
        <v>180</v>
      </c>
      <c r="AJ200" s="2"/>
      <c r="AK200" s="4">
        <v>45839</v>
      </c>
      <c r="AL200" s="14">
        <v>45839</v>
      </c>
      <c r="AM200" s="14">
        <v>45839</v>
      </c>
      <c r="AN200" s="2"/>
      <c r="AO200" s="2">
        <v>3073709</v>
      </c>
      <c r="AP200" s="14">
        <v>45843</v>
      </c>
      <c r="AQ200" s="14">
        <v>45845</v>
      </c>
      <c r="AS200" s="14">
        <v>45845</v>
      </c>
      <c r="AT200" s="44">
        <v>50667</v>
      </c>
      <c r="AU200" s="1" t="s">
        <v>74</v>
      </c>
      <c r="AV200" s="14">
        <v>45845</v>
      </c>
      <c r="AW200" s="14">
        <v>45846</v>
      </c>
      <c r="AY200" s="2">
        <v>3385564</v>
      </c>
      <c r="AZ200" s="32">
        <v>45859</v>
      </c>
      <c r="BA200" s="1">
        <v>9014180</v>
      </c>
      <c r="BB200" s="2">
        <v>1622552</v>
      </c>
      <c r="BC200" s="5">
        <v>45859</v>
      </c>
      <c r="BD200" s="14">
        <v>45860</v>
      </c>
      <c r="BF200" s="5">
        <v>45861</v>
      </c>
      <c r="BG200" s="5">
        <v>45861</v>
      </c>
      <c r="BH200" s="1" t="s">
        <v>1839</v>
      </c>
      <c r="BI200" s="1" t="s">
        <v>273</v>
      </c>
      <c r="BQ200" s="14">
        <v>45846</v>
      </c>
      <c r="BR200" s="5">
        <v>45856</v>
      </c>
    </row>
    <row r="201" spans="1:70" ht="18" customHeight="1" x14ac:dyDescent="0.3">
      <c r="A201" s="2">
        <v>201</v>
      </c>
      <c r="B201" s="2">
        <v>6941449</v>
      </c>
      <c r="C201" s="111">
        <v>45831</v>
      </c>
      <c r="D201" s="2">
        <v>58175</v>
      </c>
      <c r="E201" s="2" t="s">
        <v>678</v>
      </c>
      <c r="F201" s="8" t="s">
        <v>1382</v>
      </c>
      <c r="G201" s="8" t="s">
        <v>1383</v>
      </c>
      <c r="H201" s="8" t="s">
        <v>446</v>
      </c>
      <c r="I201" s="83">
        <v>50617</v>
      </c>
      <c r="J201" s="2" t="s">
        <v>142</v>
      </c>
      <c r="K201" s="2" t="s">
        <v>126</v>
      </c>
      <c r="L201" s="2" t="s">
        <v>854</v>
      </c>
      <c r="M201" s="78">
        <v>45843</v>
      </c>
      <c r="N201" s="56" t="s">
        <v>1836</v>
      </c>
      <c r="Q201" s="67">
        <f t="shared" si="19"/>
        <v>2</v>
      </c>
      <c r="R201" s="29">
        <f t="shared" si="13"/>
        <v>16</v>
      </c>
      <c r="T201" s="1">
        <v>374</v>
      </c>
      <c r="U201" s="1" t="s">
        <v>1534</v>
      </c>
      <c r="V201" s="1" t="s">
        <v>626</v>
      </c>
      <c r="W201" s="1" t="s">
        <v>627</v>
      </c>
      <c r="X201" s="2">
        <v>20255075393</v>
      </c>
      <c r="Y201" s="14">
        <v>45835</v>
      </c>
      <c r="Z201" s="14">
        <v>45841</v>
      </c>
      <c r="AA201" s="4">
        <v>45843</v>
      </c>
      <c r="AB201" s="4">
        <v>45843</v>
      </c>
      <c r="AC201" s="14">
        <v>45845</v>
      </c>
      <c r="AD201" s="2" t="s">
        <v>1529</v>
      </c>
      <c r="AE201" s="2" t="s">
        <v>1535</v>
      </c>
      <c r="AF201" s="2">
        <v>2</v>
      </c>
      <c r="AG201" s="2">
        <v>494</v>
      </c>
      <c r="AH201" s="2"/>
      <c r="AI201" s="2" t="s">
        <v>180</v>
      </c>
      <c r="AJ201" s="2"/>
      <c r="AK201" s="4">
        <v>45839</v>
      </c>
      <c r="AL201" s="14">
        <v>45839</v>
      </c>
      <c r="AM201" s="14">
        <v>45839</v>
      </c>
      <c r="AN201" s="2"/>
      <c r="AO201" s="2">
        <v>3073705</v>
      </c>
      <c r="AP201" s="14">
        <v>45843</v>
      </c>
      <c r="AQ201" s="14">
        <v>45845</v>
      </c>
      <c r="AS201" s="14">
        <v>45845</v>
      </c>
      <c r="AT201" s="44">
        <v>50669</v>
      </c>
      <c r="AU201" s="1" t="s">
        <v>74</v>
      </c>
      <c r="AV201" s="14">
        <v>45845</v>
      </c>
      <c r="AW201" s="14">
        <v>45846</v>
      </c>
      <c r="AY201" s="2">
        <v>3385641</v>
      </c>
      <c r="AZ201" s="32">
        <v>45859</v>
      </c>
      <c r="BA201" s="1">
        <v>5049590</v>
      </c>
      <c r="BB201" s="2">
        <v>908926</v>
      </c>
      <c r="BC201" s="5">
        <v>45859</v>
      </c>
      <c r="BD201" s="14">
        <v>45860</v>
      </c>
      <c r="BF201" s="5">
        <v>45861</v>
      </c>
      <c r="BG201" s="5">
        <v>45861</v>
      </c>
      <c r="BH201" s="1" t="s">
        <v>1835</v>
      </c>
      <c r="BI201" s="1" t="s">
        <v>273</v>
      </c>
      <c r="BQ201" s="14">
        <v>45846</v>
      </c>
      <c r="BR201" s="5">
        <v>45856</v>
      </c>
    </row>
    <row r="202" spans="1:70" ht="18" customHeight="1" x14ac:dyDescent="0.3">
      <c r="A202" s="2">
        <v>202</v>
      </c>
      <c r="B202" s="2">
        <v>6941446</v>
      </c>
      <c r="C202" s="111">
        <v>45831</v>
      </c>
      <c r="D202" s="2">
        <v>174525</v>
      </c>
      <c r="E202" s="2" t="s">
        <v>840</v>
      </c>
      <c r="F202" s="8" t="s">
        <v>1607</v>
      </c>
      <c r="G202" s="8" t="s">
        <v>1608</v>
      </c>
      <c r="H202" s="8" t="s">
        <v>525</v>
      </c>
      <c r="I202" s="83">
        <v>50709</v>
      </c>
      <c r="J202" s="2" t="s">
        <v>142</v>
      </c>
      <c r="K202" s="2" t="s">
        <v>126</v>
      </c>
      <c r="L202" s="2" t="s">
        <v>854</v>
      </c>
      <c r="M202" s="78">
        <v>45848</v>
      </c>
      <c r="N202" s="56" t="s">
        <v>1837</v>
      </c>
      <c r="Q202" s="67">
        <f t="shared" si="19"/>
        <v>1</v>
      </c>
      <c r="R202" s="29">
        <f t="shared" si="13"/>
        <v>12</v>
      </c>
      <c r="T202" s="1" t="s">
        <v>1810</v>
      </c>
      <c r="U202" s="1" t="s">
        <v>1534</v>
      </c>
      <c r="V202" s="1" t="s">
        <v>626</v>
      </c>
      <c r="W202" s="1" t="s">
        <v>627</v>
      </c>
      <c r="X202" s="2" t="s">
        <v>1619</v>
      </c>
      <c r="Y202" s="14">
        <v>45846</v>
      </c>
      <c r="Z202" s="14">
        <v>45850</v>
      </c>
      <c r="AA202" s="4">
        <v>45848</v>
      </c>
      <c r="AB202" s="4">
        <v>45848</v>
      </c>
      <c r="AC202" s="14">
        <v>45849</v>
      </c>
      <c r="AD202" s="2">
        <v>17602538244</v>
      </c>
      <c r="AE202" s="2" t="s">
        <v>1620</v>
      </c>
      <c r="AF202" s="2">
        <v>5</v>
      </c>
      <c r="AG202" s="2">
        <v>1453</v>
      </c>
      <c r="AH202" s="2"/>
      <c r="AI202" s="2" t="s">
        <v>611</v>
      </c>
      <c r="AJ202" s="2"/>
      <c r="AK202" s="4">
        <v>45846</v>
      </c>
      <c r="AL202" s="14">
        <v>45847</v>
      </c>
      <c r="AM202" s="14">
        <v>45847</v>
      </c>
      <c r="AN202" s="2"/>
      <c r="AO202" s="2">
        <v>3170614</v>
      </c>
      <c r="AP202" s="14">
        <v>45848</v>
      </c>
      <c r="AQ202" s="14">
        <v>45849</v>
      </c>
      <c r="AS202" s="14">
        <v>45850</v>
      </c>
      <c r="AT202" s="44">
        <v>50749</v>
      </c>
      <c r="AU202" s="1" t="s">
        <v>74</v>
      </c>
      <c r="AV202" s="14">
        <v>45850</v>
      </c>
      <c r="AW202" s="14">
        <v>45852</v>
      </c>
      <c r="AY202" s="2">
        <v>3385643</v>
      </c>
      <c r="AZ202" s="32">
        <v>45859</v>
      </c>
      <c r="BA202" s="1">
        <v>15148770</v>
      </c>
      <c r="BB202" s="2">
        <v>2726779</v>
      </c>
      <c r="BC202" s="5">
        <v>45859</v>
      </c>
      <c r="BD202" s="14">
        <v>45860</v>
      </c>
      <c r="BF202" s="5">
        <v>45861</v>
      </c>
      <c r="BG202" s="5">
        <v>45861</v>
      </c>
      <c r="BH202" s="1" t="s">
        <v>1835</v>
      </c>
      <c r="BI202" s="1" t="s">
        <v>273</v>
      </c>
      <c r="BQ202" s="14">
        <v>45852</v>
      </c>
      <c r="BR202" s="5">
        <v>45856</v>
      </c>
    </row>
    <row r="203" spans="1:70" ht="18" customHeight="1" x14ac:dyDescent="0.3">
      <c r="A203" s="2">
        <v>203</v>
      </c>
      <c r="B203" s="8" t="s">
        <v>1621</v>
      </c>
      <c r="C203" s="8" t="s">
        <v>1622</v>
      </c>
      <c r="D203" s="8" t="s">
        <v>1623</v>
      </c>
      <c r="E203" s="2" t="s">
        <v>840</v>
      </c>
      <c r="F203" s="8" t="s">
        <v>1624</v>
      </c>
      <c r="G203" s="8" t="s">
        <v>1625</v>
      </c>
      <c r="H203" s="8" t="s">
        <v>1626</v>
      </c>
      <c r="I203" s="83">
        <v>50710</v>
      </c>
      <c r="J203" s="2" t="s">
        <v>142</v>
      </c>
      <c r="K203" s="2" t="s">
        <v>126</v>
      </c>
      <c r="L203" s="2" t="s">
        <v>854</v>
      </c>
      <c r="M203" s="78">
        <v>45848</v>
      </c>
      <c r="N203" s="56" t="s">
        <v>1838</v>
      </c>
      <c r="Q203" s="67">
        <f t="shared" si="19"/>
        <v>1</v>
      </c>
      <c r="R203" s="29">
        <f t="shared" si="13"/>
        <v>12</v>
      </c>
      <c r="T203" s="1" t="s">
        <v>1809</v>
      </c>
      <c r="U203" s="8" t="s">
        <v>1627</v>
      </c>
      <c r="V203" s="1" t="s">
        <v>626</v>
      </c>
      <c r="W203" s="1" t="s">
        <v>627</v>
      </c>
      <c r="X203" s="2" t="s">
        <v>1628</v>
      </c>
      <c r="Y203" s="14">
        <v>45846</v>
      </c>
      <c r="Z203" s="14">
        <v>45850</v>
      </c>
      <c r="AA203" s="4">
        <v>45848</v>
      </c>
      <c r="AB203" s="4">
        <v>45848</v>
      </c>
      <c r="AC203" s="14">
        <v>45849</v>
      </c>
      <c r="AD203" s="2">
        <v>17602538255</v>
      </c>
      <c r="AE203" s="2" t="s">
        <v>1629</v>
      </c>
      <c r="AF203" s="2">
        <v>4</v>
      </c>
      <c r="AG203" s="2">
        <v>977</v>
      </c>
      <c r="AH203" s="2"/>
      <c r="AI203" s="2" t="s">
        <v>611</v>
      </c>
      <c r="AJ203" s="2"/>
      <c r="AK203" s="4">
        <v>45846</v>
      </c>
      <c r="AL203" s="14">
        <v>45847</v>
      </c>
      <c r="AM203" s="14">
        <v>45847</v>
      </c>
      <c r="AN203" s="2"/>
      <c r="AO203" s="2">
        <v>3177435</v>
      </c>
      <c r="AP203" s="14">
        <v>45848</v>
      </c>
      <c r="AQ203" s="14">
        <v>45849</v>
      </c>
      <c r="AS203" s="14">
        <v>45850</v>
      </c>
      <c r="AT203" s="44">
        <v>50751</v>
      </c>
      <c r="AU203" s="1" t="s">
        <v>74</v>
      </c>
      <c r="AV203" s="14">
        <v>45850</v>
      </c>
      <c r="AW203" s="14">
        <v>45852</v>
      </c>
      <c r="AY203" s="2">
        <v>3385646</v>
      </c>
      <c r="AZ203" s="32">
        <v>45859</v>
      </c>
      <c r="BA203" s="1">
        <v>10099180</v>
      </c>
      <c r="BB203" s="2">
        <v>1817852</v>
      </c>
      <c r="BC203" s="5">
        <v>45859</v>
      </c>
      <c r="BD203" s="14">
        <v>45860</v>
      </c>
      <c r="BF203" s="5">
        <v>45861</v>
      </c>
      <c r="BG203" s="5">
        <v>45861</v>
      </c>
      <c r="BH203" s="1" t="s">
        <v>1835</v>
      </c>
      <c r="BI203" s="1" t="s">
        <v>273</v>
      </c>
      <c r="BQ203" s="14">
        <v>45852</v>
      </c>
      <c r="BR203" s="5">
        <v>45856</v>
      </c>
    </row>
    <row r="204" spans="1:70" ht="18" customHeight="1" x14ac:dyDescent="0.3">
      <c r="A204" s="2">
        <v>204</v>
      </c>
      <c r="B204" s="2">
        <v>6938792</v>
      </c>
      <c r="C204" s="111">
        <v>45813</v>
      </c>
      <c r="D204" s="2">
        <v>162890</v>
      </c>
      <c r="E204" s="2" t="s">
        <v>840</v>
      </c>
      <c r="F204" s="8" t="s">
        <v>760</v>
      </c>
      <c r="G204" s="8" t="s">
        <v>1337</v>
      </c>
      <c r="H204" s="8" t="s">
        <v>1597</v>
      </c>
      <c r="I204" s="83">
        <v>50689</v>
      </c>
      <c r="J204" s="2" t="s">
        <v>142</v>
      </c>
      <c r="K204" s="2" t="s">
        <v>126</v>
      </c>
      <c r="L204" s="2" t="s">
        <v>854</v>
      </c>
      <c r="M204" s="78">
        <v>45849</v>
      </c>
      <c r="N204" s="56" t="s">
        <v>1844</v>
      </c>
      <c r="O204" s="1">
        <v>10925</v>
      </c>
      <c r="Q204" s="67">
        <f t="shared" si="19"/>
        <v>4</v>
      </c>
      <c r="R204" s="29">
        <f t="shared" si="13"/>
        <v>9</v>
      </c>
      <c r="T204" s="1" t="s">
        <v>1808</v>
      </c>
      <c r="U204" s="1" t="s">
        <v>1602</v>
      </c>
      <c r="V204" s="8" t="s">
        <v>645</v>
      </c>
      <c r="W204" s="79" t="s">
        <v>426</v>
      </c>
      <c r="X204" s="2">
        <v>20255078959</v>
      </c>
      <c r="Y204" s="14">
        <v>45843</v>
      </c>
      <c r="Z204" s="14">
        <v>45848</v>
      </c>
      <c r="AA204" s="4">
        <v>45849</v>
      </c>
      <c r="AB204" s="4">
        <v>45849</v>
      </c>
      <c r="AC204" s="14">
        <v>45853</v>
      </c>
      <c r="AD204" s="2" t="s">
        <v>1599</v>
      </c>
      <c r="AE204" s="2" t="s">
        <v>1603</v>
      </c>
      <c r="AF204" s="2">
        <v>5</v>
      </c>
      <c r="AG204" s="2">
        <v>1386</v>
      </c>
      <c r="AH204" s="2"/>
      <c r="AI204" s="2" t="s">
        <v>180</v>
      </c>
      <c r="AJ204" s="2"/>
      <c r="AK204" s="4">
        <v>45846</v>
      </c>
      <c r="AL204" s="14">
        <v>45846</v>
      </c>
      <c r="AM204" s="14">
        <v>45846</v>
      </c>
      <c r="AN204" s="2"/>
      <c r="AO204" s="2">
        <v>3204479</v>
      </c>
      <c r="AP204" s="14">
        <v>45849</v>
      </c>
      <c r="AQ204" s="14">
        <v>45853</v>
      </c>
      <c r="AS204" s="14">
        <v>45854</v>
      </c>
      <c r="AT204" s="44">
        <v>50809</v>
      </c>
      <c r="AU204" s="1" t="s">
        <v>74</v>
      </c>
      <c r="AV204" s="14">
        <v>45854</v>
      </c>
      <c r="AW204" s="14">
        <v>45855</v>
      </c>
      <c r="AY204" s="2">
        <v>3385566</v>
      </c>
      <c r="AZ204" s="32">
        <v>45859</v>
      </c>
      <c r="BA204" s="1">
        <v>14138852</v>
      </c>
      <c r="BB204" s="2">
        <v>2544993</v>
      </c>
      <c r="BC204" s="5">
        <v>45859</v>
      </c>
      <c r="BD204" s="14">
        <v>45860</v>
      </c>
      <c r="BF204" s="5">
        <v>45861</v>
      </c>
      <c r="BG204" s="5">
        <v>45862</v>
      </c>
      <c r="BH204" s="1" t="s">
        <v>1843</v>
      </c>
      <c r="BI204" s="1" t="s">
        <v>273</v>
      </c>
      <c r="BQ204" s="14">
        <v>45855</v>
      </c>
      <c r="BR204" s="5">
        <v>45855</v>
      </c>
    </row>
    <row r="205" spans="1:70" ht="18" customHeight="1" x14ac:dyDescent="0.3">
      <c r="A205" s="2">
        <v>205</v>
      </c>
      <c r="B205" s="8" t="s">
        <v>1663</v>
      </c>
      <c r="C205" s="8" t="s">
        <v>1664</v>
      </c>
      <c r="D205" s="8" t="s">
        <v>1665</v>
      </c>
      <c r="E205" s="2" t="s">
        <v>840</v>
      </c>
      <c r="F205" s="8" t="s">
        <v>1662</v>
      </c>
      <c r="G205" s="8" t="s">
        <v>1459</v>
      </c>
      <c r="H205" s="8" t="s">
        <v>1666</v>
      </c>
      <c r="I205" s="83">
        <v>50750</v>
      </c>
      <c r="J205" s="2" t="s">
        <v>142</v>
      </c>
      <c r="K205" s="2" t="s">
        <v>126</v>
      </c>
      <c r="L205" s="2" t="s">
        <v>854</v>
      </c>
      <c r="M205" s="78">
        <v>45851</v>
      </c>
      <c r="N205" s="56" t="s">
        <v>1845</v>
      </c>
      <c r="Q205" s="67">
        <f t="shared" si="19"/>
        <v>3</v>
      </c>
      <c r="R205" s="29">
        <f t="shared" si="13"/>
        <v>8</v>
      </c>
      <c r="T205" s="1">
        <v>1494</v>
      </c>
      <c r="U205" s="1" t="s">
        <v>1667</v>
      </c>
      <c r="V205" s="1" t="s">
        <v>645</v>
      </c>
      <c r="W205" s="79" t="s">
        <v>426</v>
      </c>
      <c r="X205" s="2">
        <v>20255081017</v>
      </c>
      <c r="Y205" s="14">
        <v>45847</v>
      </c>
      <c r="Z205" s="14">
        <v>45852</v>
      </c>
      <c r="AA205" s="4">
        <v>45851</v>
      </c>
      <c r="AB205" s="4">
        <v>45851</v>
      </c>
      <c r="AC205" s="14">
        <v>45854</v>
      </c>
      <c r="AD205" s="2">
        <v>17617661114</v>
      </c>
      <c r="AE205" s="2" t="s">
        <v>1668</v>
      </c>
      <c r="AF205" s="2">
        <v>7</v>
      </c>
      <c r="AG205" s="2">
        <v>1979</v>
      </c>
      <c r="AH205" s="2"/>
      <c r="AI205" s="2" t="s">
        <v>180</v>
      </c>
      <c r="AJ205" s="2"/>
      <c r="AK205" s="4">
        <v>45849</v>
      </c>
      <c r="AL205" s="14">
        <v>45850</v>
      </c>
      <c r="AM205" s="14">
        <v>45850</v>
      </c>
      <c r="AN205" s="2"/>
      <c r="AO205" s="2">
        <v>3244621</v>
      </c>
      <c r="AP205" s="14">
        <v>45852</v>
      </c>
      <c r="AQ205" s="14">
        <v>45854</v>
      </c>
      <c r="AS205" s="14">
        <v>45854</v>
      </c>
      <c r="AT205" s="44">
        <v>50813</v>
      </c>
      <c r="AU205" s="1" t="s">
        <v>74</v>
      </c>
      <c r="AV205" s="14">
        <v>45854</v>
      </c>
      <c r="AW205" s="14">
        <v>45855</v>
      </c>
      <c r="AY205" s="2">
        <v>3385571</v>
      </c>
      <c r="AZ205" s="32">
        <v>45859</v>
      </c>
      <c r="BA205" s="1">
        <v>20198360</v>
      </c>
      <c r="BB205" s="2">
        <v>3635705</v>
      </c>
      <c r="BC205" s="5">
        <v>45859</v>
      </c>
      <c r="BD205" s="14">
        <v>45860</v>
      </c>
      <c r="BF205" s="5">
        <v>45861</v>
      </c>
      <c r="BG205" s="5">
        <v>45862</v>
      </c>
      <c r="BH205" s="1" t="s">
        <v>1843</v>
      </c>
      <c r="BI205" s="1" t="s">
        <v>273</v>
      </c>
      <c r="BQ205" s="14">
        <v>45855</v>
      </c>
      <c r="BR205" s="5">
        <v>45855</v>
      </c>
    </row>
    <row r="206" spans="1:70" ht="18" customHeight="1" x14ac:dyDescent="0.3">
      <c r="A206" s="2">
        <v>206</v>
      </c>
      <c r="B206" s="8" t="s">
        <v>1604</v>
      </c>
      <c r="C206" s="8" t="s">
        <v>1605</v>
      </c>
      <c r="D206" s="8" t="s">
        <v>1606</v>
      </c>
      <c r="E206" s="2" t="s">
        <v>840</v>
      </c>
      <c r="F206" s="8" t="s">
        <v>1607</v>
      </c>
      <c r="G206" s="8" t="s">
        <v>1608</v>
      </c>
      <c r="H206" s="8" t="s">
        <v>1609</v>
      </c>
      <c r="I206" s="83">
        <v>50691</v>
      </c>
      <c r="J206" s="2" t="s">
        <v>142</v>
      </c>
      <c r="K206" s="2" t="s">
        <v>126</v>
      </c>
      <c r="L206" s="2" t="s">
        <v>854</v>
      </c>
      <c r="M206" s="78">
        <v>45849</v>
      </c>
      <c r="N206" s="56" t="s">
        <v>1848</v>
      </c>
      <c r="O206" s="1">
        <v>8903</v>
      </c>
      <c r="Q206" s="67">
        <f t="shared" ref="Q206:Q213" si="20">AQ206-AB206</f>
        <v>4</v>
      </c>
      <c r="R206" s="29">
        <f t="shared" si="13"/>
        <v>9</v>
      </c>
      <c r="T206" s="1" t="s">
        <v>1807</v>
      </c>
      <c r="U206" s="8" t="s">
        <v>1461</v>
      </c>
      <c r="V206" s="8" t="s">
        <v>645</v>
      </c>
      <c r="W206" s="79" t="s">
        <v>426</v>
      </c>
      <c r="X206" s="2">
        <v>20255078961</v>
      </c>
      <c r="Y206" s="14">
        <v>45843</v>
      </c>
      <c r="Z206" s="14">
        <v>45848</v>
      </c>
      <c r="AA206" s="4">
        <v>45849</v>
      </c>
      <c r="AB206" s="4">
        <v>45849</v>
      </c>
      <c r="AC206" s="14">
        <v>45853</v>
      </c>
      <c r="AD206" s="2" t="s">
        <v>1599</v>
      </c>
      <c r="AE206" s="2" t="s">
        <v>1610</v>
      </c>
      <c r="AF206" s="2">
        <v>5</v>
      </c>
      <c r="AG206" s="2">
        <v>1129.5</v>
      </c>
      <c r="AH206" s="2"/>
      <c r="AI206" s="2" t="s">
        <v>180</v>
      </c>
      <c r="AJ206" s="2"/>
      <c r="AK206" s="4">
        <v>45846</v>
      </c>
      <c r="AL206" s="14">
        <v>45846</v>
      </c>
      <c r="AM206" s="14">
        <v>45846</v>
      </c>
      <c r="AN206" s="2"/>
      <c r="AO206" s="2">
        <v>3203647</v>
      </c>
      <c r="AP206" s="14">
        <v>45849</v>
      </c>
      <c r="AQ206" s="14">
        <v>45853</v>
      </c>
      <c r="AS206" s="14">
        <v>45854</v>
      </c>
      <c r="AT206" s="44">
        <v>50810</v>
      </c>
      <c r="AU206" s="1" t="s">
        <v>74</v>
      </c>
      <c r="AV206" s="14">
        <v>45854</v>
      </c>
      <c r="AW206" s="14">
        <v>45855</v>
      </c>
      <c r="AY206" s="2">
        <v>3390934</v>
      </c>
      <c r="AZ206" s="32">
        <v>45859</v>
      </c>
      <c r="BA206" s="1">
        <v>10907114</v>
      </c>
      <c r="BB206" s="2">
        <v>1963281</v>
      </c>
      <c r="BC206" s="5">
        <v>45859</v>
      </c>
      <c r="BD206" s="14">
        <v>45860</v>
      </c>
      <c r="BF206" s="5">
        <v>45861</v>
      </c>
      <c r="BG206" s="5">
        <v>45862</v>
      </c>
      <c r="BH206" s="1" t="s">
        <v>1847</v>
      </c>
      <c r="BI206" s="1" t="s">
        <v>282</v>
      </c>
      <c r="BQ206" s="14">
        <v>45855</v>
      </c>
      <c r="BR206" s="5">
        <v>45859</v>
      </c>
    </row>
    <row r="207" spans="1:70" ht="18" customHeight="1" x14ac:dyDescent="0.3">
      <c r="A207" s="2">
        <v>207</v>
      </c>
      <c r="B207" s="8" t="s">
        <v>1611</v>
      </c>
      <c r="C207" s="8" t="s">
        <v>1612</v>
      </c>
      <c r="D207" s="8" t="s">
        <v>1613</v>
      </c>
      <c r="E207" s="2" t="s">
        <v>840</v>
      </c>
      <c r="F207" s="8" t="s">
        <v>1614</v>
      </c>
      <c r="G207" s="8" t="s">
        <v>1615</v>
      </c>
      <c r="H207" s="8" t="s">
        <v>1616</v>
      </c>
      <c r="I207" s="83">
        <v>50697</v>
      </c>
      <c r="J207" s="2" t="s">
        <v>142</v>
      </c>
      <c r="K207" s="2" t="s">
        <v>126</v>
      </c>
      <c r="L207" s="2" t="s">
        <v>854</v>
      </c>
      <c r="M207" s="78">
        <v>45849</v>
      </c>
      <c r="N207" s="56" t="s">
        <v>1849</v>
      </c>
      <c r="O207" s="1">
        <v>9388</v>
      </c>
      <c r="Q207" s="67">
        <f t="shared" si="20"/>
        <v>4</v>
      </c>
      <c r="R207" s="29">
        <f t="shared" si="13"/>
        <v>9</v>
      </c>
      <c r="T207" s="1">
        <v>896</v>
      </c>
      <c r="U207" s="8" t="s">
        <v>1617</v>
      </c>
      <c r="V207" s="8" t="s">
        <v>645</v>
      </c>
      <c r="W207" s="79" t="s">
        <v>426</v>
      </c>
      <c r="X207" s="2">
        <v>20255078960</v>
      </c>
      <c r="Y207" s="14">
        <v>45843</v>
      </c>
      <c r="Z207" s="14">
        <v>45848</v>
      </c>
      <c r="AA207" s="4">
        <v>45849</v>
      </c>
      <c r="AB207" s="4">
        <v>45849</v>
      </c>
      <c r="AC207" s="14">
        <v>45853</v>
      </c>
      <c r="AD207" s="2" t="s">
        <v>1599</v>
      </c>
      <c r="AE207" s="2" t="s">
        <v>1618</v>
      </c>
      <c r="AF207" s="2">
        <v>5</v>
      </c>
      <c r="AG207" s="2">
        <v>1191</v>
      </c>
      <c r="AH207" s="2"/>
      <c r="AI207" s="2" t="s">
        <v>180</v>
      </c>
      <c r="AJ207" s="2"/>
      <c r="AK207" s="4">
        <v>45846</v>
      </c>
      <c r="AL207" s="14">
        <v>45846</v>
      </c>
      <c r="AM207" s="14">
        <v>45846</v>
      </c>
      <c r="AN207" s="2"/>
      <c r="AO207" s="2">
        <v>3205071</v>
      </c>
      <c r="AP207" s="14">
        <v>45849</v>
      </c>
      <c r="AQ207" s="14">
        <v>45853</v>
      </c>
      <c r="AS207" s="14">
        <v>45854</v>
      </c>
      <c r="AT207" s="44">
        <v>50811</v>
      </c>
      <c r="AU207" s="1" t="s">
        <v>74</v>
      </c>
      <c r="AV207" s="14">
        <v>45854</v>
      </c>
      <c r="AW207" s="14">
        <v>45855</v>
      </c>
      <c r="AY207" s="2">
        <v>3385569</v>
      </c>
      <c r="AZ207" s="32">
        <v>45859</v>
      </c>
      <c r="BA207" s="1">
        <v>12119016</v>
      </c>
      <c r="BB207" s="2">
        <v>2181423</v>
      </c>
      <c r="BC207" s="5">
        <v>45859</v>
      </c>
      <c r="BD207" s="14">
        <v>45860</v>
      </c>
      <c r="BF207" s="5">
        <v>45861</v>
      </c>
      <c r="BG207" s="5">
        <v>45862</v>
      </c>
      <c r="BH207" s="1" t="s">
        <v>1847</v>
      </c>
      <c r="BI207" s="1" t="s">
        <v>282</v>
      </c>
      <c r="BQ207" s="14">
        <v>45855</v>
      </c>
      <c r="BR207" s="5">
        <v>45855</v>
      </c>
    </row>
    <row r="208" spans="1:70" ht="18" customHeight="1" x14ac:dyDescent="0.3">
      <c r="A208" s="2">
        <v>208</v>
      </c>
      <c r="B208" s="2" t="s">
        <v>1542</v>
      </c>
      <c r="C208" s="111">
        <v>45832</v>
      </c>
      <c r="D208" s="2">
        <v>13650</v>
      </c>
      <c r="E208" s="2" t="s">
        <v>677</v>
      </c>
      <c r="F208" s="2" t="s">
        <v>345</v>
      </c>
      <c r="G208" s="2" t="s">
        <v>346</v>
      </c>
      <c r="H208" s="2">
        <v>30</v>
      </c>
      <c r="I208" s="83">
        <v>50637</v>
      </c>
      <c r="J208" s="2" t="s">
        <v>142</v>
      </c>
      <c r="K208" s="2" t="s">
        <v>126</v>
      </c>
      <c r="L208" s="2" t="s">
        <v>854</v>
      </c>
      <c r="M208" s="78">
        <v>45842</v>
      </c>
      <c r="N208" s="56" t="s">
        <v>1851</v>
      </c>
      <c r="Q208" s="67">
        <f t="shared" si="20"/>
        <v>3</v>
      </c>
      <c r="R208" s="29">
        <f t="shared" si="13"/>
        <v>18</v>
      </c>
      <c r="T208" s="1" t="s">
        <v>1739</v>
      </c>
      <c r="U208" s="8" t="s">
        <v>1543</v>
      </c>
      <c r="V208" s="2" t="s">
        <v>1179</v>
      </c>
      <c r="W208" s="64" t="s">
        <v>948</v>
      </c>
      <c r="X208" s="2" t="s">
        <v>1594</v>
      </c>
      <c r="Y208" s="14">
        <v>45846</v>
      </c>
      <c r="Z208" s="14">
        <v>45853</v>
      </c>
      <c r="AA208" s="4">
        <v>45842</v>
      </c>
      <c r="AB208" s="4">
        <v>45842</v>
      </c>
      <c r="AC208" s="14">
        <v>45845</v>
      </c>
      <c r="AD208" s="2" t="s">
        <v>1544</v>
      </c>
      <c r="AE208" s="2">
        <v>412656631</v>
      </c>
      <c r="AF208" s="2">
        <v>1</v>
      </c>
      <c r="AG208" s="2">
        <v>4</v>
      </c>
      <c r="AH208" s="2"/>
      <c r="AI208" s="2" t="s">
        <v>179</v>
      </c>
      <c r="AJ208" s="2"/>
      <c r="AK208" s="4">
        <v>45840</v>
      </c>
      <c r="AL208" s="14">
        <v>45841</v>
      </c>
      <c r="AM208" s="14">
        <v>45842</v>
      </c>
      <c r="AN208" s="2"/>
      <c r="AO208" s="2">
        <v>3057613</v>
      </c>
      <c r="AP208" s="14">
        <v>45842</v>
      </c>
      <c r="AQ208" s="14">
        <v>45845</v>
      </c>
      <c r="AS208" s="14">
        <v>45846</v>
      </c>
      <c r="AT208" s="44">
        <v>50664</v>
      </c>
      <c r="AU208" s="1" t="s">
        <v>74</v>
      </c>
      <c r="AV208" s="14">
        <v>45846</v>
      </c>
      <c r="AW208" s="14">
        <v>45846</v>
      </c>
      <c r="AY208" s="2">
        <v>3238253</v>
      </c>
      <c r="AZ208" s="32">
        <v>45852</v>
      </c>
      <c r="BA208" s="1">
        <v>1176630</v>
      </c>
      <c r="BB208" s="2">
        <v>211793</v>
      </c>
      <c r="BC208" s="5">
        <v>45852</v>
      </c>
      <c r="BD208" s="5">
        <v>45853</v>
      </c>
      <c r="BF208" s="5">
        <v>45854</v>
      </c>
      <c r="BG208" s="5">
        <v>45863</v>
      </c>
      <c r="BH208" s="1" t="s">
        <v>1850</v>
      </c>
      <c r="BI208" s="1" t="s">
        <v>273</v>
      </c>
      <c r="BQ208" s="14">
        <v>45846</v>
      </c>
      <c r="BR208" s="5">
        <v>45848</v>
      </c>
    </row>
    <row r="209" spans="1:70" ht="18" customHeight="1" x14ac:dyDescent="0.3">
      <c r="A209" s="2">
        <v>209</v>
      </c>
      <c r="B209" s="2" t="s">
        <v>1545</v>
      </c>
      <c r="C209" s="111">
        <v>45832</v>
      </c>
      <c r="D209" s="2">
        <v>41860</v>
      </c>
      <c r="E209" s="2" t="s">
        <v>677</v>
      </c>
      <c r="F209" s="2" t="s">
        <v>345</v>
      </c>
      <c r="G209" s="2" t="s">
        <v>346</v>
      </c>
      <c r="H209" s="2">
        <v>92</v>
      </c>
      <c r="I209" s="83">
        <v>50638</v>
      </c>
      <c r="J209" s="2" t="s">
        <v>142</v>
      </c>
      <c r="K209" s="2" t="s">
        <v>126</v>
      </c>
      <c r="L209" s="2" t="s">
        <v>854</v>
      </c>
      <c r="M209" s="78">
        <v>45842</v>
      </c>
      <c r="N209" s="56" t="s">
        <v>1852</v>
      </c>
      <c r="Q209" s="67">
        <f t="shared" si="20"/>
        <v>4</v>
      </c>
      <c r="R209" s="29">
        <f t="shared" ref="R209:R285" si="21">BG209-AC209</f>
        <v>17</v>
      </c>
      <c r="T209" s="1"/>
      <c r="U209" s="1" t="s">
        <v>835</v>
      </c>
      <c r="V209" s="2" t="s">
        <v>755</v>
      </c>
      <c r="W209" s="1" t="s">
        <v>827</v>
      </c>
      <c r="X209" s="2" t="s">
        <v>1630</v>
      </c>
      <c r="Y209" s="14">
        <v>45847</v>
      </c>
      <c r="Z209" s="14">
        <v>45853</v>
      </c>
      <c r="AA209" s="4">
        <v>45842</v>
      </c>
      <c r="AB209" s="4">
        <v>45842</v>
      </c>
      <c r="AC209" s="14">
        <v>45846</v>
      </c>
      <c r="AD209" s="2" t="s">
        <v>1544</v>
      </c>
      <c r="AE209" s="2">
        <v>412656630</v>
      </c>
      <c r="AF209" s="2">
        <v>1</v>
      </c>
      <c r="AG209" s="2">
        <v>11</v>
      </c>
      <c r="AH209" s="2"/>
      <c r="AI209" s="2" t="s">
        <v>179</v>
      </c>
      <c r="AJ209" s="2"/>
      <c r="AK209" s="4">
        <v>45840</v>
      </c>
      <c r="AL209" s="14">
        <v>45841</v>
      </c>
      <c r="AM209" s="14">
        <v>45842</v>
      </c>
      <c r="AN209" s="2"/>
      <c r="AO209" s="2">
        <v>3057767</v>
      </c>
      <c r="AP209" s="14">
        <v>45842</v>
      </c>
      <c r="AQ209" s="14">
        <v>45846</v>
      </c>
      <c r="AS209" s="14">
        <v>45847</v>
      </c>
      <c r="AT209" s="44">
        <v>50665</v>
      </c>
      <c r="AU209" s="1" t="s">
        <v>74</v>
      </c>
      <c r="AV209" s="14">
        <v>45847</v>
      </c>
      <c r="AW209" s="14">
        <v>45848</v>
      </c>
      <c r="AY209" s="2">
        <v>3238252</v>
      </c>
      <c r="AZ209" s="32">
        <v>45852</v>
      </c>
      <c r="BA209" s="1">
        <v>3608332</v>
      </c>
      <c r="BB209" s="2">
        <v>649500</v>
      </c>
      <c r="BC209" s="5">
        <v>45852</v>
      </c>
      <c r="BD209" s="14">
        <v>45852</v>
      </c>
      <c r="BF209" s="5">
        <v>45854</v>
      </c>
      <c r="BG209" s="5">
        <v>45863</v>
      </c>
      <c r="BH209" s="1" t="s">
        <v>1850</v>
      </c>
      <c r="BI209" s="1" t="s">
        <v>273</v>
      </c>
      <c r="BQ209" s="14">
        <v>45848</v>
      </c>
      <c r="BR209" s="5">
        <v>45848</v>
      </c>
    </row>
    <row r="210" spans="1:70" ht="18" customHeight="1" x14ac:dyDescent="0.3">
      <c r="A210" s="2">
        <v>210</v>
      </c>
      <c r="B210" s="2" t="s">
        <v>1693</v>
      </c>
      <c r="C210" s="111">
        <v>45841</v>
      </c>
      <c r="D210" s="2">
        <v>7280</v>
      </c>
      <c r="E210" s="2" t="s">
        <v>677</v>
      </c>
      <c r="F210" s="2" t="s">
        <v>345</v>
      </c>
      <c r="G210" s="2" t="s">
        <v>346</v>
      </c>
      <c r="H210" s="2">
        <v>16</v>
      </c>
      <c r="I210" s="83">
        <v>50769</v>
      </c>
      <c r="J210" s="2" t="s">
        <v>142</v>
      </c>
      <c r="K210" s="2" t="s">
        <v>126</v>
      </c>
      <c r="L210" s="2" t="s">
        <v>854</v>
      </c>
      <c r="M210" s="78">
        <v>45853</v>
      </c>
      <c r="N210" s="56" t="s">
        <v>1853</v>
      </c>
      <c r="Q210" s="67">
        <f t="shared" si="20"/>
        <v>2</v>
      </c>
      <c r="R210" s="29">
        <f t="shared" si="21"/>
        <v>8</v>
      </c>
      <c r="T210" s="1"/>
      <c r="U210" s="8" t="s">
        <v>1827</v>
      </c>
      <c r="V210" s="7" t="s">
        <v>1179</v>
      </c>
      <c r="W210" s="124" t="s">
        <v>948</v>
      </c>
      <c r="X210" s="2" t="s">
        <v>1694</v>
      </c>
      <c r="Y210" s="14">
        <v>45852</v>
      </c>
      <c r="Z210" s="14">
        <v>45857</v>
      </c>
      <c r="AA210" s="4">
        <v>45853</v>
      </c>
      <c r="AB210" s="4">
        <v>45853</v>
      </c>
      <c r="AC210" s="14">
        <v>45855</v>
      </c>
      <c r="AD210" s="2">
        <v>15705797481</v>
      </c>
      <c r="AE210" s="2">
        <v>412656722</v>
      </c>
      <c r="AF210" s="2">
        <v>1</v>
      </c>
      <c r="AG210" s="2">
        <v>2</v>
      </c>
      <c r="AH210" s="2"/>
      <c r="AI210" s="2" t="s">
        <v>179</v>
      </c>
      <c r="AJ210" s="2"/>
      <c r="AK210" s="4">
        <v>45852</v>
      </c>
      <c r="AL210" s="14">
        <v>45852</v>
      </c>
      <c r="AM210" s="4">
        <v>45853</v>
      </c>
      <c r="AN210" s="2"/>
      <c r="AO210" s="2">
        <v>3267315</v>
      </c>
      <c r="AP210" s="14">
        <v>45853</v>
      </c>
      <c r="AQ210" s="14">
        <v>45855</v>
      </c>
      <c r="AS210" s="14">
        <v>45856</v>
      </c>
      <c r="AT210" s="44">
        <v>50842</v>
      </c>
      <c r="AU210" s="1" t="s">
        <v>74</v>
      </c>
      <c r="AV210" s="14">
        <v>45856</v>
      </c>
      <c r="AW210" s="14">
        <v>45859</v>
      </c>
      <c r="AY210" s="2">
        <v>3430311</v>
      </c>
      <c r="AZ210" s="32">
        <v>45861</v>
      </c>
      <c r="BA210" s="1">
        <v>631904</v>
      </c>
      <c r="BB210" s="2">
        <v>113743</v>
      </c>
      <c r="BC210" s="5">
        <v>45861</v>
      </c>
      <c r="BD210" s="14">
        <v>45861</v>
      </c>
      <c r="BF210" s="5">
        <v>45862</v>
      </c>
      <c r="BG210" s="5">
        <v>45863</v>
      </c>
      <c r="BH210" s="1" t="s">
        <v>1850</v>
      </c>
      <c r="BI210" s="1" t="s">
        <v>273</v>
      </c>
      <c r="BQ210" s="14">
        <v>45859</v>
      </c>
      <c r="BR210" s="5">
        <v>45860</v>
      </c>
    </row>
    <row r="211" spans="1:70" ht="18" customHeight="1" x14ac:dyDescent="0.3">
      <c r="A211" s="2">
        <v>211</v>
      </c>
      <c r="B211" s="2" t="s">
        <v>1695</v>
      </c>
      <c r="C211" s="111">
        <v>45841</v>
      </c>
      <c r="D211" s="2">
        <v>4550</v>
      </c>
      <c r="E211" s="2" t="s">
        <v>677</v>
      </c>
      <c r="F211" s="2" t="s">
        <v>345</v>
      </c>
      <c r="G211" s="2" t="s">
        <v>346</v>
      </c>
      <c r="H211" s="2">
        <v>10</v>
      </c>
      <c r="I211" s="83">
        <v>50770</v>
      </c>
      <c r="J211" s="2" t="s">
        <v>142</v>
      </c>
      <c r="K211" s="2" t="s">
        <v>126</v>
      </c>
      <c r="L211" s="2" t="s">
        <v>854</v>
      </c>
      <c r="M211" s="78">
        <v>45853</v>
      </c>
      <c r="N211" s="56" t="s">
        <v>1854</v>
      </c>
      <c r="Q211" s="67">
        <f t="shared" si="20"/>
        <v>2</v>
      </c>
      <c r="R211" s="29">
        <f t="shared" si="21"/>
        <v>8</v>
      </c>
      <c r="T211" s="1"/>
      <c r="U211" s="8" t="s">
        <v>1696</v>
      </c>
      <c r="V211" s="7" t="s">
        <v>1179</v>
      </c>
      <c r="W211" s="124" t="s">
        <v>948</v>
      </c>
      <c r="X211" s="2" t="s">
        <v>1697</v>
      </c>
      <c r="Y211" s="14">
        <v>45852</v>
      </c>
      <c r="Z211" s="14">
        <v>45857</v>
      </c>
      <c r="AA211" s="4">
        <v>45853</v>
      </c>
      <c r="AB211" s="4">
        <v>45853</v>
      </c>
      <c r="AC211" s="14">
        <v>45855</v>
      </c>
      <c r="AD211" s="2">
        <v>15705797481</v>
      </c>
      <c r="AE211" s="2">
        <v>412656721</v>
      </c>
      <c r="AF211" s="2">
        <v>1</v>
      </c>
      <c r="AG211" s="2">
        <v>2</v>
      </c>
      <c r="AH211" s="2"/>
      <c r="AI211" s="2" t="s">
        <v>179</v>
      </c>
      <c r="AJ211" s="2"/>
      <c r="AK211" s="4">
        <v>45852</v>
      </c>
      <c r="AL211" s="14">
        <v>45852</v>
      </c>
      <c r="AM211" s="4">
        <v>45853</v>
      </c>
      <c r="AN211" s="2"/>
      <c r="AO211" s="2">
        <v>3267421</v>
      </c>
      <c r="AP211" s="14">
        <v>45853</v>
      </c>
      <c r="AQ211" s="14">
        <v>45855</v>
      </c>
      <c r="AS211" s="14">
        <v>45856</v>
      </c>
      <c r="AT211" s="44">
        <v>50841</v>
      </c>
      <c r="AU211" s="1" t="s">
        <v>74</v>
      </c>
      <c r="AV211" s="14">
        <v>45856</v>
      </c>
      <c r="AW211" s="14">
        <v>45859</v>
      </c>
      <c r="AY211" s="2">
        <v>3432863</v>
      </c>
      <c r="AZ211" s="32">
        <v>45861</v>
      </c>
      <c r="BA211" s="1">
        <v>394940</v>
      </c>
      <c r="BB211" s="2">
        <v>71089</v>
      </c>
      <c r="BC211" s="5">
        <v>45861</v>
      </c>
      <c r="BD211" s="14">
        <v>45861</v>
      </c>
      <c r="BF211" s="5">
        <v>45862</v>
      </c>
      <c r="BG211" s="5">
        <v>45863</v>
      </c>
      <c r="BH211" s="1" t="s">
        <v>1850</v>
      </c>
      <c r="BI211" s="1" t="s">
        <v>273</v>
      </c>
      <c r="BQ211" s="14">
        <v>45859</v>
      </c>
      <c r="BR211" s="5">
        <v>45860</v>
      </c>
    </row>
    <row r="212" spans="1:70" ht="18" customHeight="1" x14ac:dyDescent="0.3">
      <c r="A212" s="2">
        <v>212</v>
      </c>
      <c r="B212" s="2">
        <v>250707092</v>
      </c>
      <c r="C212" s="111">
        <v>45848</v>
      </c>
      <c r="D212" s="2">
        <v>12110.54</v>
      </c>
      <c r="E212" s="2" t="s">
        <v>677</v>
      </c>
      <c r="F212" s="2" t="s">
        <v>1260</v>
      </c>
      <c r="G212" s="2" t="s">
        <v>830</v>
      </c>
      <c r="H212" s="2">
        <v>2</v>
      </c>
      <c r="I212" s="83">
        <v>50774</v>
      </c>
      <c r="J212" s="2" t="s">
        <v>142</v>
      </c>
      <c r="K212" s="2" t="s">
        <v>126</v>
      </c>
      <c r="L212" s="2" t="s">
        <v>854</v>
      </c>
      <c r="M212" s="78">
        <v>45854</v>
      </c>
      <c r="N212" s="56" t="s">
        <v>1855</v>
      </c>
      <c r="Q212" s="67">
        <f t="shared" si="20"/>
        <v>2</v>
      </c>
      <c r="R212" s="29">
        <f t="shared" si="21"/>
        <v>7</v>
      </c>
      <c r="T212" s="1"/>
      <c r="U212" s="1" t="s">
        <v>1698</v>
      </c>
      <c r="V212" s="2" t="s">
        <v>755</v>
      </c>
      <c r="W212" s="1" t="s">
        <v>827</v>
      </c>
      <c r="X212" s="2" t="s">
        <v>1700</v>
      </c>
      <c r="Y212" s="14">
        <v>45852</v>
      </c>
      <c r="Z212" s="14">
        <v>45855</v>
      </c>
      <c r="AA212" s="4">
        <v>45854</v>
      </c>
      <c r="AB212" s="4">
        <v>45854</v>
      </c>
      <c r="AC212" s="14">
        <v>45856</v>
      </c>
      <c r="AD212" s="2">
        <v>60739389523</v>
      </c>
      <c r="AE212" s="2">
        <v>4840721377</v>
      </c>
      <c r="AF212" s="2">
        <v>2</v>
      </c>
      <c r="AG212" s="2">
        <v>5</v>
      </c>
      <c r="AH212" s="2"/>
      <c r="AI212" s="2" t="s">
        <v>179</v>
      </c>
      <c r="AJ212" s="2"/>
      <c r="AK212" s="4">
        <v>45853</v>
      </c>
      <c r="AL212" s="14">
        <v>45853</v>
      </c>
      <c r="AM212" s="4">
        <v>45853</v>
      </c>
      <c r="AN212" s="2"/>
      <c r="AO212" s="2">
        <v>3313154</v>
      </c>
      <c r="AP212" s="14">
        <v>45855</v>
      </c>
      <c r="AQ212" s="14">
        <v>45856</v>
      </c>
      <c r="AS212" s="14">
        <v>45857</v>
      </c>
      <c r="AT212" s="44">
        <v>50849</v>
      </c>
      <c r="AU212" s="1" t="s">
        <v>74</v>
      </c>
      <c r="AV212" s="14">
        <v>45857</v>
      </c>
      <c r="AW212" s="14">
        <v>45859</v>
      </c>
      <c r="AY212" s="2">
        <v>3431548</v>
      </c>
      <c r="AZ212" s="32">
        <v>45861</v>
      </c>
      <c r="BA212" s="1">
        <v>1051195</v>
      </c>
      <c r="BB212" s="2">
        <v>189215</v>
      </c>
      <c r="BC212" s="5">
        <v>45861</v>
      </c>
      <c r="BD212" s="14">
        <v>45861</v>
      </c>
      <c r="BF212" s="5">
        <v>45862</v>
      </c>
      <c r="BG212" s="5">
        <v>45863</v>
      </c>
      <c r="BH212" s="1" t="s">
        <v>1850</v>
      </c>
      <c r="BI212" s="1" t="s">
        <v>273</v>
      </c>
      <c r="BQ212" s="14">
        <v>45859</v>
      </c>
      <c r="BR212" s="5">
        <v>45859</v>
      </c>
    </row>
    <row r="213" spans="1:70" ht="18" customHeight="1" x14ac:dyDescent="0.3">
      <c r="A213" s="2">
        <v>213</v>
      </c>
      <c r="B213" s="2">
        <v>250707175</v>
      </c>
      <c r="C213" s="111">
        <v>45848</v>
      </c>
      <c r="D213" s="2">
        <v>5297.12</v>
      </c>
      <c r="E213" s="2" t="s">
        <v>677</v>
      </c>
      <c r="F213" s="2" t="s">
        <v>1701</v>
      </c>
      <c r="G213" s="2" t="s">
        <v>323</v>
      </c>
      <c r="H213" s="2">
        <v>2</v>
      </c>
      <c r="I213" s="83">
        <v>50776</v>
      </c>
      <c r="J213" s="2" t="s">
        <v>142</v>
      </c>
      <c r="K213" s="2" t="s">
        <v>126</v>
      </c>
      <c r="L213" s="2" t="s">
        <v>854</v>
      </c>
      <c r="M213" s="78">
        <v>45854</v>
      </c>
      <c r="N213" s="56" t="s">
        <v>1855</v>
      </c>
      <c r="Q213" s="67">
        <f t="shared" si="20"/>
        <v>2</v>
      </c>
      <c r="R213" s="29">
        <f t="shared" si="21"/>
        <v>7</v>
      </c>
      <c r="T213" s="1"/>
      <c r="U213" s="1" t="s">
        <v>1698</v>
      </c>
      <c r="V213" s="2" t="s">
        <v>755</v>
      </c>
      <c r="W213" s="1" t="s">
        <v>827</v>
      </c>
      <c r="X213" s="2" t="s">
        <v>1699</v>
      </c>
      <c r="Y213" s="14">
        <v>45852</v>
      </c>
      <c r="Z213" s="14">
        <v>45855</v>
      </c>
      <c r="AA213" s="4">
        <v>45854</v>
      </c>
      <c r="AB213" s="4">
        <v>45854</v>
      </c>
      <c r="AC213" s="14">
        <v>45856</v>
      </c>
      <c r="AD213" s="2">
        <v>60739389523</v>
      </c>
      <c r="AE213" s="2">
        <v>4840721378</v>
      </c>
      <c r="AF213" s="2">
        <v>2</v>
      </c>
      <c r="AG213" s="2">
        <v>2.5</v>
      </c>
      <c r="AH213" s="2"/>
      <c r="AI213" s="2" t="s">
        <v>179</v>
      </c>
      <c r="AJ213" s="2"/>
      <c r="AK213" s="4">
        <v>45853</v>
      </c>
      <c r="AL213" s="14">
        <v>45853</v>
      </c>
      <c r="AM213" s="4">
        <v>45853</v>
      </c>
      <c r="AN213" s="2"/>
      <c r="AO213" s="2">
        <v>3313157</v>
      </c>
      <c r="AP213" s="14" t="s">
        <v>789</v>
      </c>
      <c r="AQ213" s="14">
        <v>45856</v>
      </c>
      <c r="AS213" s="14">
        <v>45857</v>
      </c>
      <c r="AT213" s="44">
        <v>50850</v>
      </c>
      <c r="AU213" s="1" t="s">
        <v>74</v>
      </c>
      <c r="AV213" s="14">
        <v>45857</v>
      </c>
      <c r="AW213" s="14">
        <v>45859</v>
      </c>
      <c r="AY213" s="2">
        <v>3432144</v>
      </c>
      <c r="AZ213" s="32">
        <v>45861</v>
      </c>
      <c r="BA213" s="1">
        <v>459790</v>
      </c>
      <c r="BB213" s="2">
        <v>82762</v>
      </c>
      <c r="BC213" s="5">
        <v>45861</v>
      </c>
      <c r="BD213" s="14">
        <v>45861</v>
      </c>
      <c r="BF213" s="5">
        <v>45862</v>
      </c>
      <c r="BG213" s="5">
        <v>45863</v>
      </c>
      <c r="BH213" s="1" t="s">
        <v>1850</v>
      </c>
      <c r="BI213" s="1" t="s">
        <v>273</v>
      </c>
      <c r="BQ213" s="14">
        <v>45859</v>
      </c>
      <c r="BR213" s="5">
        <v>45859</v>
      </c>
    </row>
    <row r="214" spans="1:70" ht="18" customHeight="1" x14ac:dyDescent="0.3">
      <c r="A214" s="2">
        <v>214</v>
      </c>
      <c r="B214" s="2">
        <v>6942831</v>
      </c>
      <c r="C214" s="111">
        <v>45832</v>
      </c>
      <c r="D214" s="2">
        <v>145390</v>
      </c>
      <c r="E214" s="2" t="s">
        <v>840</v>
      </c>
      <c r="F214" s="8" t="s">
        <v>540</v>
      </c>
      <c r="G214" s="8" t="s">
        <v>1546</v>
      </c>
      <c r="H214" s="8" t="s">
        <v>1597</v>
      </c>
      <c r="I214" s="83">
        <v>50688</v>
      </c>
      <c r="J214" s="2" t="s">
        <v>142</v>
      </c>
      <c r="K214" s="2" t="s">
        <v>126</v>
      </c>
      <c r="L214" s="2" t="s">
        <v>854</v>
      </c>
      <c r="M214" s="78">
        <v>45849</v>
      </c>
      <c r="N214" s="56" t="s">
        <v>1864</v>
      </c>
      <c r="O214" s="1">
        <v>10890</v>
      </c>
      <c r="Q214" s="67">
        <f t="shared" ref="Q214:Q219" si="22">AQ214-AB214</f>
        <v>6</v>
      </c>
      <c r="R214" s="29">
        <f t="shared" si="21"/>
        <v>9</v>
      </c>
      <c r="T214" s="1">
        <v>934</v>
      </c>
      <c r="U214" s="1" t="s">
        <v>1598</v>
      </c>
      <c r="V214" s="8" t="s">
        <v>645</v>
      </c>
      <c r="W214" s="79" t="s">
        <v>426</v>
      </c>
      <c r="X214" s="2">
        <v>20255078962</v>
      </c>
      <c r="Y214" s="14">
        <v>45843</v>
      </c>
      <c r="Z214" s="14">
        <v>45848</v>
      </c>
      <c r="AA214" s="4">
        <v>45849</v>
      </c>
      <c r="AB214" s="4">
        <v>45849</v>
      </c>
      <c r="AC214" s="14">
        <v>45855</v>
      </c>
      <c r="AD214" s="2" t="s">
        <v>1599</v>
      </c>
      <c r="AE214" s="2" t="s">
        <v>1600</v>
      </c>
      <c r="AF214" s="2">
        <v>5</v>
      </c>
      <c r="AG214" s="2">
        <v>1381.5</v>
      </c>
      <c r="AH214" s="2"/>
      <c r="AI214" s="2" t="s">
        <v>180</v>
      </c>
      <c r="AJ214" s="2"/>
      <c r="AK214" s="4">
        <v>45846</v>
      </c>
      <c r="AL214" s="14">
        <v>45846</v>
      </c>
      <c r="AM214" s="14">
        <v>45846</v>
      </c>
      <c r="AN214" s="2"/>
      <c r="AO214" s="2">
        <v>3204276</v>
      </c>
      <c r="AP214" s="14">
        <v>45849</v>
      </c>
      <c r="AQ214" s="14">
        <v>45855</v>
      </c>
      <c r="AR214" s="15" t="s">
        <v>1757</v>
      </c>
      <c r="AS214" s="14">
        <v>45856</v>
      </c>
      <c r="AT214" s="44">
        <v>50839</v>
      </c>
      <c r="AU214" s="1" t="s">
        <v>74</v>
      </c>
      <c r="AV214" s="14">
        <v>45856</v>
      </c>
      <c r="AW214" s="14">
        <v>45856</v>
      </c>
      <c r="AY214" s="2">
        <v>3431098</v>
      </c>
      <c r="AZ214" s="32">
        <v>45861</v>
      </c>
      <c r="BA214" s="1">
        <v>12619852</v>
      </c>
      <c r="BB214" s="2">
        <v>2271573</v>
      </c>
      <c r="BC214" s="5">
        <v>45861</v>
      </c>
      <c r="BD214" s="14">
        <v>45862</v>
      </c>
      <c r="BF214" s="5">
        <v>45863</v>
      </c>
      <c r="BG214" s="5">
        <v>45864</v>
      </c>
      <c r="BH214" s="1" t="s">
        <v>1863</v>
      </c>
      <c r="BI214" s="1" t="s">
        <v>282</v>
      </c>
      <c r="BQ214" s="14">
        <v>45856</v>
      </c>
      <c r="BR214" s="5">
        <v>45859</v>
      </c>
    </row>
    <row r="215" spans="1:70" ht="18" customHeight="1" x14ac:dyDescent="0.3">
      <c r="A215" s="2">
        <v>215</v>
      </c>
      <c r="B215" s="8" t="s">
        <v>1639</v>
      </c>
      <c r="C215" s="8" t="s">
        <v>1640</v>
      </c>
      <c r="D215" s="8" t="s">
        <v>1646</v>
      </c>
      <c r="E215" s="2" t="s">
        <v>840</v>
      </c>
      <c r="F215" s="8" t="s">
        <v>1641</v>
      </c>
      <c r="G215" s="8" t="s">
        <v>1642</v>
      </c>
      <c r="H215" s="8" t="s">
        <v>1643</v>
      </c>
      <c r="I215" s="83">
        <v>50735</v>
      </c>
      <c r="J215" s="2" t="s">
        <v>142</v>
      </c>
      <c r="K215" s="2" t="s">
        <v>126</v>
      </c>
      <c r="L215" s="2" t="s">
        <v>854</v>
      </c>
      <c r="M215" s="78">
        <v>45855</v>
      </c>
      <c r="N215" s="56" t="s">
        <v>1868</v>
      </c>
      <c r="Q215" s="67">
        <f t="shared" si="22"/>
        <v>1</v>
      </c>
      <c r="R215" s="29">
        <f t="shared" si="21"/>
        <v>8</v>
      </c>
      <c r="T215" s="1">
        <v>667</v>
      </c>
      <c r="U215" s="8" t="s">
        <v>1644</v>
      </c>
      <c r="V215" s="8" t="s">
        <v>645</v>
      </c>
      <c r="W215" s="79" t="s">
        <v>426</v>
      </c>
      <c r="X215" s="2">
        <v>20255080272</v>
      </c>
      <c r="Y215" s="14">
        <v>45846</v>
      </c>
      <c r="Z215" s="14">
        <v>45852</v>
      </c>
      <c r="AA215" s="4">
        <v>45855</v>
      </c>
      <c r="AB215" s="4">
        <v>45855</v>
      </c>
      <c r="AC215" s="14">
        <v>45856</v>
      </c>
      <c r="AD215" s="2">
        <v>15701674024</v>
      </c>
      <c r="AE215" s="2" t="s">
        <v>1645</v>
      </c>
      <c r="AF215" s="2">
        <v>4</v>
      </c>
      <c r="AG215" s="2">
        <v>1004</v>
      </c>
      <c r="AH215" s="2"/>
      <c r="AI215" s="2" t="s">
        <v>629</v>
      </c>
      <c r="AJ215" s="2"/>
      <c r="AK215" s="4">
        <v>45848</v>
      </c>
      <c r="AL215" s="14">
        <v>45848</v>
      </c>
      <c r="AM215" s="14">
        <v>45849</v>
      </c>
      <c r="AN215" s="2"/>
      <c r="AO215" s="2">
        <v>3313163</v>
      </c>
      <c r="AP215" s="14">
        <v>45855</v>
      </c>
      <c r="AQ215" s="14">
        <v>45856</v>
      </c>
      <c r="AS215" s="14">
        <v>45857</v>
      </c>
      <c r="AT215" s="44">
        <v>50852</v>
      </c>
      <c r="AU215" s="1" t="s">
        <v>74</v>
      </c>
      <c r="AV215" s="14">
        <v>45857</v>
      </c>
      <c r="AW215" s="14">
        <v>45859</v>
      </c>
      <c r="AY215" s="2">
        <v>3430534</v>
      </c>
      <c r="AZ215" s="32">
        <v>45861</v>
      </c>
      <c r="BA215" s="1">
        <v>9014180</v>
      </c>
      <c r="BB215" s="2">
        <v>1622552</v>
      </c>
      <c r="BC215" s="5">
        <v>45861</v>
      </c>
      <c r="BD215" s="14">
        <v>45862</v>
      </c>
      <c r="BF215" s="5">
        <v>45863</v>
      </c>
      <c r="BG215" s="5">
        <v>45864</v>
      </c>
      <c r="BH215" s="1" t="s">
        <v>1863</v>
      </c>
      <c r="BI215" s="1" t="s">
        <v>282</v>
      </c>
      <c r="BQ215" s="14">
        <v>45859</v>
      </c>
      <c r="BR215" s="5">
        <v>45859</v>
      </c>
    </row>
    <row r="216" spans="1:70" ht="18" customHeight="1" x14ac:dyDescent="0.3">
      <c r="A216" s="2">
        <v>216</v>
      </c>
      <c r="B216" s="2">
        <v>6942845</v>
      </c>
      <c r="C216" s="111">
        <v>45835</v>
      </c>
      <c r="D216" s="2">
        <v>700</v>
      </c>
      <c r="E216" s="2" t="s">
        <v>840</v>
      </c>
      <c r="F216" s="2" t="s">
        <v>1649</v>
      </c>
      <c r="G216" s="2" t="s">
        <v>1648</v>
      </c>
      <c r="H216" s="2">
        <v>10</v>
      </c>
      <c r="I216" s="83">
        <v>50736</v>
      </c>
      <c r="J216" s="2" t="s">
        <v>142</v>
      </c>
      <c r="K216" s="2" t="s">
        <v>126</v>
      </c>
      <c r="L216" s="2" t="s">
        <v>854</v>
      </c>
      <c r="M216" s="78">
        <v>45855</v>
      </c>
      <c r="N216" s="56" t="s">
        <v>1865</v>
      </c>
      <c r="Q216" s="67">
        <f t="shared" si="22"/>
        <v>1</v>
      </c>
      <c r="R216" s="29">
        <f t="shared" si="21"/>
        <v>8</v>
      </c>
      <c r="T216" s="1"/>
      <c r="U216" s="1" t="s">
        <v>1650</v>
      </c>
      <c r="V216" s="2" t="s">
        <v>204</v>
      </c>
      <c r="W216" s="1" t="s">
        <v>203</v>
      </c>
      <c r="X216" s="2" t="s">
        <v>1651</v>
      </c>
      <c r="Y216" s="2" t="s">
        <v>127</v>
      </c>
      <c r="Z216" s="2" t="s">
        <v>127</v>
      </c>
      <c r="AA216" s="4">
        <v>45855</v>
      </c>
      <c r="AB216" s="4">
        <v>45855</v>
      </c>
      <c r="AC216" s="14">
        <v>45856</v>
      </c>
      <c r="AD216" s="2">
        <v>15701674024</v>
      </c>
      <c r="AE216" s="2" t="s">
        <v>1652</v>
      </c>
      <c r="AF216" s="2">
        <v>1</v>
      </c>
      <c r="AG216" s="2">
        <v>1.5</v>
      </c>
      <c r="AH216" s="2"/>
      <c r="AI216" s="2" t="s">
        <v>629</v>
      </c>
      <c r="AJ216" s="2"/>
      <c r="AK216" s="4">
        <v>45848</v>
      </c>
      <c r="AL216" s="14">
        <v>45849</v>
      </c>
      <c r="AM216" s="14">
        <v>45849</v>
      </c>
      <c r="AN216" s="2"/>
      <c r="AO216" s="2">
        <v>3313158</v>
      </c>
      <c r="AP216" s="14">
        <v>45855</v>
      </c>
      <c r="AQ216" s="14">
        <v>45856</v>
      </c>
      <c r="AS216" s="14">
        <v>45857</v>
      </c>
      <c r="AT216" s="44">
        <v>50851</v>
      </c>
      <c r="AU216" s="1" t="s">
        <v>74</v>
      </c>
      <c r="AV216" s="14">
        <v>45857</v>
      </c>
      <c r="AW216" s="14">
        <v>45862</v>
      </c>
      <c r="AY216" s="2">
        <v>3453119</v>
      </c>
      <c r="AZ216" s="32">
        <v>45862</v>
      </c>
      <c r="BA216" s="1">
        <v>60760</v>
      </c>
      <c r="BB216" s="2">
        <v>26710</v>
      </c>
      <c r="BC216" s="5">
        <v>45862</v>
      </c>
      <c r="BD216" s="14">
        <v>45862</v>
      </c>
      <c r="BF216" s="5">
        <v>45863</v>
      </c>
      <c r="BG216" s="5">
        <v>45864</v>
      </c>
      <c r="BH216" s="1" t="s">
        <v>1082</v>
      </c>
      <c r="BI216" s="1" t="s">
        <v>282</v>
      </c>
      <c r="BQ216" s="2"/>
      <c r="BR216" s="1"/>
    </row>
    <row r="217" spans="1:70" ht="18" customHeight="1" x14ac:dyDescent="0.3">
      <c r="A217" s="2">
        <v>217</v>
      </c>
      <c r="B217" s="2">
        <v>6941719</v>
      </c>
      <c r="C217" s="111">
        <v>45831</v>
      </c>
      <c r="D217" s="2">
        <v>6231</v>
      </c>
      <c r="E217" s="2" t="s">
        <v>840</v>
      </c>
      <c r="F217" s="8" t="s">
        <v>540</v>
      </c>
      <c r="G217" s="8" t="s">
        <v>1335</v>
      </c>
      <c r="H217" s="8" t="s">
        <v>1336</v>
      </c>
      <c r="I217" s="83">
        <v>50757</v>
      </c>
      <c r="J217" s="2" t="s">
        <v>142</v>
      </c>
      <c r="K217" s="2" t="s">
        <v>126</v>
      </c>
      <c r="L217" s="2" t="s">
        <v>854</v>
      </c>
      <c r="M217" s="78">
        <v>45854</v>
      </c>
      <c r="N217" s="56" t="s">
        <v>1866</v>
      </c>
      <c r="Q217" s="67">
        <f t="shared" si="22"/>
        <v>4</v>
      </c>
      <c r="R217" s="29">
        <f t="shared" si="21"/>
        <v>5</v>
      </c>
      <c r="T217" s="1"/>
      <c r="U217" s="1" t="s">
        <v>1681</v>
      </c>
      <c r="V217" s="2" t="s">
        <v>204</v>
      </c>
      <c r="W217" s="1" t="s">
        <v>203</v>
      </c>
      <c r="X217" s="2">
        <v>20255080476</v>
      </c>
      <c r="Y217" s="14">
        <v>45846</v>
      </c>
      <c r="Z217" s="14">
        <v>45850</v>
      </c>
      <c r="AA217" s="4">
        <v>45854</v>
      </c>
      <c r="AB217" s="4">
        <v>45855</v>
      </c>
      <c r="AC217" s="14">
        <v>45859</v>
      </c>
      <c r="AD217" s="2">
        <v>61841618835</v>
      </c>
      <c r="AE217" s="2" t="s">
        <v>1682</v>
      </c>
      <c r="AF217" s="2">
        <v>1</v>
      </c>
      <c r="AG217" s="2">
        <v>63</v>
      </c>
      <c r="AH217" s="2"/>
      <c r="AI217" s="2" t="s">
        <v>180</v>
      </c>
      <c r="AJ217" s="2"/>
      <c r="AK217" s="4">
        <v>45850</v>
      </c>
      <c r="AL217" s="14">
        <v>45850</v>
      </c>
      <c r="AM217" s="14">
        <v>45850</v>
      </c>
      <c r="AN217" s="2"/>
      <c r="AO217" s="2">
        <v>3331590</v>
      </c>
      <c r="AP217" s="14">
        <v>45856</v>
      </c>
      <c r="AQ217" s="14">
        <v>45859</v>
      </c>
      <c r="AS217" s="14">
        <v>45859</v>
      </c>
      <c r="AT217" s="44">
        <v>50864</v>
      </c>
      <c r="AU217" s="1" t="s">
        <v>74</v>
      </c>
      <c r="AV217" s="14">
        <v>45860</v>
      </c>
      <c r="AW217" s="14">
        <v>45860</v>
      </c>
      <c r="AY217" s="2">
        <v>3453555</v>
      </c>
      <c r="AZ217" s="32">
        <v>45862</v>
      </c>
      <c r="BA217" s="1">
        <v>540851</v>
      </c>
      <c r="BB217" s="2">
        <v>97353</v>
      </c>
      <c r="BC217" s="5">
        <v>45862</v>
      </c>
      <c r="BD217" s="14">
        <v>45862</v>
      </c>
      <c r="BF217" s="5">
        <v>45863</v>
      </c>
      <c r="BG217" s="5">
        <v>45864</v>
      </c>
      <c r="BH217" s="1" t="s">
        <v>1082</v>
      </c>
      <c r="BI217" s="1" t="s">
        <v>282</v>
      </c>
      <c r="BQ217" s="14">
        <v>45860</v>
      </c>
      <c r="BR217" s="5">
        <v>45860</v>
      </c>
    </row>
    <row r="218" spans="1:70" ht="18" customHeight="1" x14ac:dyDescent="0.3">
      <c r="A218" s="2">
        <v>218</v>
      </c>
      <c r="B218" s="2">
        <v>250706025</v>
      </c>
      <c r="C218" s="111">
        <v>45846</v>
      </c>
      <c r="D218" s="2">
        <v>54518.58</v>
      </c>
      <c r="E218" s="2" t="s">
        <v>677</v>
      </c>
      <c r="F218" s="2" t="s">
        <v>135</v>
      </c>
      <c r="G218" s="2" t="s">
        <v>417</v>
      </c>
      <c r="H218" s="2">
        <v>3</v>
      </c>
      <c r="I218" s="83">
        <v>50768</v>
      </c>
      <c r="J218" s="2" t="s">
        <v>142</v>
      </c>
      <c r="K218" s="2" t="s">
        <v>126</v>
      </c>
      <c r="L218" s="2" t="s">
        <v>854</v>
      </c>
      <c r="M218" s="78">
        <v>45853</v>
      </c>
      <c r="N218" s="56" t="s">
        <v>1867</v>
      </c>
      <c r="Q218" s="67">
        <f t="shared" si="22"/>
        <v>2</v>
      </c>
      <c r="R218" s="29">
        <f t="shared" si="21"/>
        <v>9</v>
      </c>
      <c r="T218" s="1">
        <v>350</v>
      </c>
      <c r="U218" s="1" t="s">
        <v>1310</v>
      </c>
      <c r="V218" s="1" t="s">
        <v>204</v>
      </c>
      <c r="W218" s="1" t="s">
        <v>203</v>
      </c>
      <c r="X218" s="2" t="s">
        <v>1692</v>
      </c>
      <c r="Y218" s="14">
        <v>45847</v>
      </c>
      <c r="Z218" s="14">
        <v>45852</v>
      </c>
      <c r="AA218" s="4">
        <v>45853</v>
      </c>
      <c r="AB218" s="4">
        <v>45853</v>
      </c>
      <c r="AC218" s="14">
        <v>45855</v>
      </c>
      <c r="AD218" s="2">
        <v>60739389420</v>
      </c>
      <c r="AE218" s="2">
        <v>4840721030</v>
      </c>
      <c r="AF218" s="2">
        <v>1</v>
      </c>
      <c r="AG218" s="2">
        <v>51</v>
      </c>
      <c r="AH218" s="2"/>
      <c r="AI218" s="2" t="s">
        <v>180</v>
      </c>
      <c r="AJ218" s="2"/>
      <c r="AK218" s="4">
        <v>45851</v>
      </c>
      <c r="AL218" s="14">
        <v>45852</v>
      </c>
      <c r="AM218" s="4">
        <v>45853</v>
      </c>
      <c r="AN218" s="2"/>
      <c r="AO218" s="2">
        <v>3267684</v>
      </c>
      <c r="AP218" s="14">
        <v>45853</v>
      </c>
      <c r="AQ218" s="14">
        <v>45855</v>
      </c>
      <c r="AS218" s="14">
        <v>45856</v>
      </c>
      <c r="AT218" s="44">
        <v>50843</v>
      </c>
      <c r="AU218" s="1" t="s">
        <v>74</v>
      </c>
      <c r="AV218" s="14">
        <v>45856</v>
      </c>
      <c r="AW218" s="14">
        <v>45859</v>
      </c>
      <c r="AY218" s="2">
        <v>3432377</v>
      </c>
      <c r="AZ218" s="32">
        <v>45861</v>
      </c>
      <c r="BA218" s="1">
        <v>4732213</v>
      </c>
      <c r="BB218" s="2">
        <v>851798</v>
      </c>
      <c r="BC218" s="5">
        <v>45861</v>
      </c>
      <c r="BD218" s="14">
        <v>45862</v>
      </c>
      <c r="BF218" s="5">
        <v>45863</v>
      </c>
      <c r="BG218" s="5">
        <v>45864</v>
      </c>
      <c r="BH218" s="1" t="s">
        <v>1082</v>
      </c>
      <c r="BI218" s="1" t="s">
        <v>282</v>
      </c>
      <c r="BQ218" s="14">
        <v>45859</v>
      </c>
      <c r="BR218" s="5">
        <v>45859</v>
      </c>
    </row>
    <row r="219" spans="1:70" ht="17.25" customHeight="1" x14ac:dyDescent="0.3">
      <c r="A219" s="2">
        <v>219</v>
      </c>
      <c r="B219" s="2">
        <v>6944286</v>
      </c>
      <c r="C219" s="111">
        <v>45838</v>
      </c>
      <c r="D219" s="2">
        <v>3600</v>
      </c>
      <c r="E219" s="2" t="s">
        <v>840</v>
      </c>
      <c r="F219" s="2" t="s">
        <v>1653</v>
      </c>
      <c r="G219" s="2" t="s">
        <v>1654</v>
      </c>
      <c r="H219" s="2">
        <v>180</v>
      </c>
      <c r="I219" s="83">
        <v>50741</v>
      </c>
      <c r="J219" s="2" t="s">
        <v>142</v>
      </c>
      <c r="K219" s="2" t="s">
        <v>126</v>
      </c>
      <c r="L219" s="2" t="s">
        <v>854</v>
      </c>
      <c r="M219" s="78">
        <v>45854</v>
      </c>
      <c r="N219" s="56" t="s">
        <v>1875</v>
      </c>
      <c r="Q219" s="67">
        <f t="shared" si="22"/>
        <v>4</v>
      </c>
      <c r="R219" s="29">
        <f t="shared" si="21"/>
        <v>7</v>
      </c>
      <c r="T219" s="1">
        <v>56</v>
      </c>
      <c r="U219" s="1" t="s">
        <v>1655</v>
      </c>
      <c r="V219" s="2" t="s">
        <v>384</v>
      </c>
      <c r="W219" s="64" t="s">
        <v>421</v>
      </c>
      <c r="X219" s="2" t="s">
        <v>1651</v>
      </c>
      <c r="Y219" s="2" t="s">
        <v>127</v>
      </c>
      <c r="Z219" s="2" t="s">
        <v>127</v>
      </c>
      <c r="AA219" s="4">
        <v>45854</v>
      </c>
      <c r="AB219" s="4">
        <v>45855</v>
      </c>
      <c r="AC219" s="14">
        <v>45859</v>
      </c>
      <c r="AD219" s="2">
        <v>61841618835</v>
      </c>
      <c r="AE219" s="2" t="s">
        <v>1656</v>
      </c>
      <c r="AF219" s="2">
        <v>2</v>
      </c>
      <c r="AG219" s="2">
        <v>11</v>
      </c>
      <c r="AH219" s="2"/>
      <c r="AI219" s="2" t="s">
        <v>180</v>
      </c>
      <c r="AJ219" s="2"/>
      <c r="AK219" s="4">
        <v>45849</v>
      </c>
      <c r="AL219" s="14">
        <v>45849</v>
      </c>
      <c r="AM219" s="14">
        <v>45849</v>
      </c>
      <c r="AN219" s="2"/>
      <c r="AO219" s="2">
        <v>3331591</v>
      </c>
      <c r="AP219" s="14">
        <v>45856</v>
      </c>
      <c r="AQ219" s="14">
        <v>45859</v>
      </c>
      <c r="AS219" s="14">
        <v>45859</v>
      </c>
      <c r="AT219" s="44">
        <v>50862</v>
      </c>
      <c r="AU219" s="1" t="s">
        <v>74</v>
      </c>
      <c r="AV219" s="14">
        <v>45859</v>
      </c>
      <c r="AW219" s="14">
        <v>45859</v>
      </c>
      <c r="AY219" s="2">
        <v>3432912</v>
      </c>
      <c r="AZ219" s="32">
        <v>45861</v>
      </c>
      <c r="BA219" s="1">
        <v>312480</v>
      </c>
      <c r="BB219" s="2">
        <v>137367</v>
      </c>
      <c r="BC219" s="5">
        <v>45861</v>
      </c>
      <c r="BD219" s="14">
        <v>45862</v>
      </c>
      <c r="BF219" s="5">
        <v>45863</v>
      </c>
      <c r="BG219" s="5">
        <v>45866</v>
      </c>
      <c r="BH219" s="5" t="s">
        <v>1874</v>
      </c>
      <c r="BI219" s="1" t="s">
        <v>273</v>
      </c>
      <c r="BQ219" s="14">
        <v>45859</v>
      </c>
      <c r="BR219" s="1"/>
    </row>
    <row r="220" spans="1:70" ht="18" customHeight="1" x14ac:dyDescent="0.3">
      <c r="A220" s="2">
        <v>220</v>
      </c>
      <c r="B220" s="2">
        <v>6936863</v>
      </c>
      <c r="C220" s="111">
        <v>45810</v>
      </c>
      <c r="D220" s="2">
        <v>103850</v>
      </c>
      <c r="E220" s="2" t="s">
        <v>840</v>
      </c>
      <c r="F220" s="8" t="s">
        <v>219</v>
      </c>
      <c r="G220" s="8" t="s">
        <v>1361</v>
      </c>
      <c r="H220" s="8" t="s">
        <v>749</v>
      </c>
      <c r="I220" s="83">
        <v>50381</v>
      </c>
      <c r="J220" s="2" t="s">
        <v>142</v>
      </c>
      <c r="K220" s="2" t="s">
        <v>126</v>
      </c>
      <c r="L220" s="2" t="s">
        <v>854</v>
      </c>
      <c r="M220" s="78">
        <v>45820</v>
      </c>
      <c r="N220" s="56" t="s">
        <v>1891</v>
      </c>
      <c r="Q220" s="67">
        <f t="shared" ref="Q220:Q229" si="23">AQ220-AB220</f>
        <v>4</v>
      </c>
      <c r="R220" s="29">
        <f t="shared" si="21"/>
        <v>45</v>
      </c>
      <c r="T220" s="1"/>
      <c r="U220" s="1" t="s">
        <v>1365</v>
      </c>
      <c r="V220" s="1" t="s">
        <v>844</v>
      </c>
      <c r="W220" s="64" t="s">
        <v>380</v>
      </c>
      <c r="X220" s="2">
        <v>20255066989</v>
      </c>
      <c r="Y220" s="14">
        <v>45817</v>
      </c>
      <c r="Z220" s="14">
        <v>45821</v>
      </c>
      <c r="AA220" s="4">
        <v>45820</v>
      </c>
      <c r="AB220" s="4">
        <v>45820</v>
      </c>
      <c r="AC220" s="14">
        <v>45824</v>
      </c>
      <c r="AD220" s="2" t="s">
        <v>1362</v>
      </c>
      <c r="AE220" s="2" t="s">
        <v>1363</v>
      </c>
      <c r="AF220" s="2">
        <v>4</v>
      </c>
      <c r="AG220" s="2">
        <v>1012.5</v>
      </c>
      <c r="AH220" s="2"/>
      <c r="AI220" s="2" t="s">
        <v>180</v>
      </c>
      <c r="AJ220" s="2"/>
      <c r="AK220" s="4">
        <v>45819</v>
      </c>
      <c r="AL220" s="14">
        <v>45819</v>
      </c>
      <c r="AM220" s="4">
        <v>45819</v>
      </c>
      <c r="AN220" s="2"/>
      <c r="AO220" s="2">
        <v>2629329</v>
      </c>
      <c r="AP220" s="14">
        <v>45821</v>
      </c>
      <c r="AQ220" s="14">
        <v>45824</v>
      </c>
      <c r="AS220" s="14">
        <v>45824</v>
      </c>
      <c r="AT220" s="44">
        <v>50457</v>
      </c>
      <c r="AU220" s="1" t="s">
        <v>74</v>
      </c>
      <c r="AV220" s="14">
        <v>45824</v>
      </c>
      <c r="AW220" s="14">
        <v>45825</v>
      </c>
      <c r="AY220" s="2">
        <v>3532870</v>
      </c>
      <c r="AZ220" s="32">
        <v>45866</v>
      </c>
      <c r="BA220" s="1">
        <v>9014180</v>
      </c>
      <c r="BB220" s="2">
        <v>1622552</v>
      </c>
      <c r="BC220" s="5">
        <v>45866</v>
      </c>
      <c r="BD220" s="14">
        <v>45866</v>
      </c>
      <c r="BF220" s="5">
        <v>45867</v>
      </c>
      <c r="BG220" s="5">
        <v>45869</v>
      </c>
      <c r="BH220" s="1" t="s">
        <v>1890</v>
      </c>
      <c r="BI220" s="1" t="s">
        <v>282</v>
      </c>
      <c r="BQ220" s="14">
        <v>45825</v>
      </c>
      <c r="BR220" s="5">
        <v>45862</v>
      </c>
    </row>
    <row r="221" spans="1:70" ht="18" customHeight="1" x14ac:dyDescent="0.3">
      <c r="A221" s="2">
        <v>221</v>
      </c>
      <c r="B221" s="2">
        <v>6942270</v>
      </c>
      <c r="C221" s="111">
        <v>45830</v>
      </c>
      <c r="D221" s="2">
        <v>155775</v>
      </c>
      <c r="E221" s="2" t="s">
        <v>840</v>
      </c>
      <c r="F221" s="8" t="s">
        <v>219</v>
      </c>
      <c r="G221" s="8" t="s">
        <v>1361</v>
      </c>
      <c r="H221" s="8" t="s">
        <v>525</v>
      </c>
      <c r="I221" s="83">
        <v>50752</v>
      </c>
      <c r="J221" s="2" t="s">
        <v>142</v>
      </c>
      <c r="K221" s="2" t="s">
        <v>126</v>
      </c>
      <c r="L221" s="2" t="s">
        <v>854</v>
      </c>
      <c r="M221" s="78">
        <v>45851</v>
      </c>
      <c r="N221" s="56" t="s">
        <v>1894</v>
      </c>
      <c r="Q221" s="67">
        <f t="shared" si="23"/>
        <v>3</v>
      </c>
      <c r="R221" s="29">
        <f t="shared" si="21"/>
        <v>15</v>
      </c>
      <c r="T221" s="1"/>
      <c r="U221" s="1" t="s">
        <v>1669</v>
      </c>
      <c r="V221" s="2" t="s">
        <v>580</v>
      </c>
      <c r="W221" s="64" t="s">
        <v>380</v>
      </c>
      <c r="X221" s="2">
        <v>20255081012</v>
      </c>
      <c r="Y221" s="14">
        <v>45847</v>
      </c>
      <c r="Z221" s="14">
        <v>45852</v>
      </c>
      <c r="AA221" s="4">
        <v>45851</v>
      </c>
      <c r="AB221" s="4">
        <v>45851</v>
      </c>
      <c r="AC221" s="14">
        <v>45854</v>
      </c>
      <c r="AD221" s="2">
        <v>17617661114</v>
      </c>
      <c r="AE221" s="2" t="s">
        <v>1670</v>
      </c>
      <c r="AF221" s="2">
        <v>5</v>
      </c>
      <c r="AG221" s="2">
        <v>1462.5</v>
      </c>
      <c r="AH221" s="2"/>
      <c r="AI221" s="2" t="s">
        <v>180</v>
      </c>
      <c r="AJ221" s="2"/>
      <c r="AK221" s="4">
        <v>45849</v>
      </c>
      <c r="AL221" s="14">
        <v>45850</v>
      </c>
      <c r="AM221" s="14">
        <v>45850</v>
      </c>
      <c r="AN221" s="2"/>
      <c r="AO221" s="2">
        <v>3242025</v>
      </c>
      <c r="AP221" s="14">
        <v>45852</v>
      </c>
      <c r="AQ221" s="14">
        <v>45854</v>
      </c>
      <c r="AS221" s="14">
        <v>45855</v>
      </c>
      <c r="AT221" s="44">
        <v>50822</v>
      </c>
      <c r="AU221" s="1" t="s">
        <v>74</v>
      </c>
      <c r="AV221" s="14">
        <v>45855</v>
      </c>
      <c r="AW221" s="14">
        <v>45856</v>
      </c>
      <c r="AY221" s="2">
        <v>3550576</v>
      </c>
      <c r="AZ221" s="32">
        <v>45867</v>
      </c>
      <c r="BA221" s="1">
        <v>13521270</v>
      </c>
      <c r="BB221" s="2">
        <v>2433829</v>
      </c>
      <c r="BC221" s="5">
        <v>45867</v>
      </c>
      <c r="BD221" s="14">
        <v>45867</v>
      </c>
      <c r="BF221" s="5">
        <v>45868</v>
      </c>
      <c r="BG221" s="5">
        <v>45869</v>
      </c>
      <c r="BH221" s="1" t="s">
        <v>1893</v>
      </c>
      <c r="BI221" s="1" t="s">
        <v>282</v>
      </c>
      <c r="BQ221" s="14">
        <v>45856</v>
      </c>
      <c r="BR221" s="5">
        <v>45866</v>
      </c>
    </row>
    <row r="222" spans="1:70" ht="18" customHeight="1" x14ac:dyDescent="0.3">
      <c r="A222" s="2">
        <v>222</v>
      </c>
      <c r="B222" s="2">
        <v>6942269</v>
      </c>
      <c r="C222" s="111">
        <v>45830</v>
      </c>
      <c r="D222" s="2">
        <v>155775</v>
      </c>
      <c r="E222" s="2" t="s">
        <v>840</v>
      </c>
      <c r="F222" s="8" t="s">
        <v>219</v>
      </c>
      <c r="G222" s="8" t="s">
        <v>1361</v>
      </c>
      <c r="H222" s="8" t="s">
        <v>525</v>
      </c>
      <c r="I222" s="83">
        <v>50753</v>
      </c>
      <c r="J222" s="2" t="s">
        <v>142</v>
      </c>
      <c r="K222" s="2" t="s">
        <v>126</v>
      </c>
      <c r="L222" s="2" t="s">
        <v>854</v>
      </c>
      <c r="M222" s="78">
        <v>45851</v>
      </c>
      <c r="N222" s="56" t="s">
        <v>1895</v>
      </c>
      <c r="Q222" s="67">
        <f t="shared" si="23"/>
        <v>3</v>
      </c>
      <c r="R222" s="29">
        <f t="shared" si="21"/>
        <v>15</v>
      </c>
      <c r="T222" s="1"/>
      <c r="U222" s="1" t="s">
        <v>1669</v>
      </c>
      <c r="V222" s="2" t="s">
        <v>580</v>
      </c>
      <c r="W222" s="64" t="s">
        <v>380</v>
      </c>
      <c r="X222" s="2">
        <v>20255081019</v>
      </c>
      <c r="Y222" s="14">
        <v>45847</v>
      </c>
      <c r="Z222" s="14">
        <v>45852</v>
      </c>
      <c r="AA222" s="4">
        <v>45851</v>
      </c>
      <c r="AB222" s="4">
        <v>45851</v>
      </c>
      <c r="AC222" s="14">
        <v>45854</v>
      </c>
      <c r="AD222" s="2">
        <v>17617661114</v>
      </c>
      <c r="AE222" s="2" t="s">
        <v>1671</v>
      </c>
      <c r="AF222" s="2">
        <v>5</v>
      </c>
      <c r="AG222" s="2">
        <v>1462.5</v>
      </c>
      <c r="AH222" s="2"/>
      <c r="AI222" s="2" t="s">
        <v>180</v>
      </c>
      <c r="AJ222" s="2"/>
      <c r="AK222" s="4">
        <v>45849</v>
      </c>
      <c r="AL222" s="14">
        <v>45850</v>
      </c>
      <c r="AM222" s="14">
        <v>45850</v>
      </c>
      <c r="AN222" s="2"/>
      <c r="AO222" s="2">
        <v>3242104</v>
      </c>
      <c r="AP222" s="14">
        <v>45852</v>
      </c>
      <c r="AQ222" s="14">
        <v>45854</v>
      </c>
      <c r="AS222" s="14">
        <v>45855</v>
      </c>
      <c r="AT222" s="44">
        <v>50823</v>
      </c>
      <c r="AU222" s="1" t="s">
        <v>74</v>
      </c>
      <c r="AV222" s="14">
        <v>45855</v>
      </c>
      <c r="AW222" s="14">
        <v>45856</v>
      </c>
      <c r="AY222" s="2">
        <v>3550575</v>
      </c>
      <c r="AZ222" s="32">
        <v>45867</v>
      </c>
      <c r="BA222" s="1">
        <v>13521270</v>
      </c>
      <c r="BB222" s="2">
        <v>2433829</v>
      </c>
      <c r="BC222" s="5">
        <v>45867</v>
      </c>
      <c r="BD222" s="14">
        <v>45867</v>
      </c>
      <c r="BF222" s="5">
        <v>45868</v>
      </c>
      <c r="BG222" s="5">
        <v>45869</v>
      </c>
      <c r="BH222" s="1" t="s">
        <v>1893</v>
      </c>
      <c r="BI222" s="1" t="s">
        <v>282</v>
      </c>
      <c r="BQ222" s="14">
        <v>45856</v>
      </c>
      <c r="BR222" s="5">
        <v>45866</v>
      </c>
    </row>
    <row r="223" spans="1:70" ht="18" customHeight="1" thickBot="1" x14ac:dyDescent="0.35">
      <c r="A223" s="2">
        <v>223</v>
      </c>
      <c r="B223" s="8" t="s">
        <v>1672</v>
      </c>
      <c r="C223" s="8" t="s">
        <v>1673</v>
      </c>
      <c r="D223" s="8" t="s">
        <v>1674</v>
      </c>
      <c r="E223" s="2" t="s">
        <v>840</v>
      </c>
      <c r="F223" s="8" t="s">
        <v>219</v>
      </c>
      <c r="G223" s="8" t="s">
        <v>1361</v>
      </c>
      <c r="H223" s="8" t="s">
        <v>1626</v>
      </c>
      <c r="I223" s="83">
        <v>50754</v>
      </c>
      <c r="J223" s="2" t="s">
        <v>142</v>
      </c>
      <c r="K223" s="2" t="s">
        <v>126</v>
      </c>
      <c r="L223" s="2" t="s">
        <v>854</v>
      </c>
      <c r="M223" s="78">
        <v>45855</v>
      </c>
      <c r="N223" s="56" t="s">
        <v>1896</v>
      </c>
      <c r="Q223" s="67">
        <f t="shared" si="23"/>
        <v>2</v>
      </c>
      <c r="R223" s="29">
        <f t="shared" si="21"/>
        <v>12</v>
      </c>
      <c r="T223" s="1"/>
      <c r="U223" s="8" t="s">
        <v>1675</v>
      </c>
      <c r="V223" s="2" t="s">
        <v>580</v>
      </c>
      <c r="W223" s="64" t="s">
        <v>380</v>
      </c>
      <c r="X223" s="2">
        <v>20255082550</v>
      </c>
      <c r="Y223" s="14">
        <v>45852</v>
      </c>
      <c r="Z223" s="14">
        <v>45856</v>
      </c>
      <c r="AA223" s="4">
        <v>45855</v>
      </c>
      <c r="AB223" s="4">
        <v>45855</v>
      </c>
      <c r="AC223" s="14">
        <v>45857</v>
      </c>
      <c r="AD223" s="2">
        <v>17617661195</v>
      </c>
      <c r="AE223" s="2" t="s">
        <v>1676</v>
      </c>
      <c r="AF223" s="2">
        <v>4</v>
      </c>
      <c r="AG223" s="2">
        <v>987.5</v>
      </c>
      <c r="AH223" s="2"/>
      <c r="AI223" s="2" t="s">
        <v>180</v>
      </c>
      <c r="AJ223" s="2"/>
      <c r="AK223" s="4">
        <v>45849</v>
      </c>
      <c r="AL223" s="14">
        <v>45850</v>
      </c>
      <c r="AM223" s="14">
        <v>45850</v>
      </c>
      <c r="AN223" s="2"/>
      <c r="AO223" s="108">
        <v>3325995</v>
      </c>
      <c r="AP223" s="14">
        <v>45855</v>
      </c>
      <c r="AQ223" s="14">
        <v>45857</v>
      </c>
      <c r="AS223" s="14">
        <v>45859</v>
      </c>
      <c r="AT223" s="44">
        <v>50866</v>
      </c>
      <c r="AU223" s="1" t="s">
        <v>74</v>
      </c>
      <c r="AV223" s="14">
        <v>45860</v>
      </c>
      <c r="AW223" s="14">
        <v>45860</v>
      </c>
      <c r="AY223" s="2">
        <v>3550580</v>
      </c>
      <c r="AZ223" s="32">
        <v>45867</v>
      </c>
      <c r="BA223" s="1">
        <v>9014180</v>
      </c>
      <c r="BB223" s="2">
        <v>1622552</v>
      </c>
      <c r="BC223" s="5">
        <v>45867</v>
      </c>
      <c r="BD223" s="14">
        <v>45867</v>
      </c>
      <c r="BF223" s="5">
        <v>45868</v>
      </c>
      <c r="BG223" s="5">
        <v>45869</v>
      </c>
      <c r="BH223" s="1" t="s">
        <v>1893</v>
      </c>
      <c r="BI223" s="1" t="s">
        <v>282</v>
      </c>
      <c r="BQ223" s="14">
        <v>45860</v>
      </c>
      <c r="BR223" s="5">
        <v>45866</v>
      </c>
    </row>
    <row r="224" spans="1:70" ht="18" customHeight="1" x14ac:dyDescent="0.3">
      <c r="A224" s="2">
        <v>224</v>
      </c>
      <c r="B224" s="8" t="s">
        <v>1730</v>
      </c>
      <c r="C224" s="75" t="s">
        <v>1731</v>
      </c>
      <c r="D224" s="8" t="s">
        <v>1732</v>
      </c>
      <c r="E224" s="2" t="s">
        <v>840</v>
      </c>
      <c r="F224" s="8" t="s">
        <v>225</v>
      </c>
      <c r="G224" s="8" t="s">
        <v>1733</v>
      </c>
      <c r="H224" s="8" t="s">
        <v>1734</v>
      </c>
      <c r="I224" s="83">
        <v>50787</v>
      </c>
      <c r="J224" s="2" t="s">
        <v>1631</v>
      </c>
      <c r="K224" s="2" t="s">
        <v>126</v>
      </c>
      <c r="L224" s="2" t="s">
        <v>1632</v>
      </c>
      <c r="M224" s="78">
        <v>45857</v>
      </c>
      <c r="N224" s="56" t="s">
        <v>1892</v>
      </c>
      <c r="Q224" s="67">
        <f t="shared" si="23"/>
        <v>4</v>
      </c>
      <c r="R224" s="29">
        <f t="shared" si="21"/>
        <v>8</v>
      </c>
      <c r="T224" s="1"/>
      <c r="U224" s="8" t="s">
        <v>1735</v>
      </c>
      <c r="V224" s="1" t="s">
        <v>844</v>
      </c>
      <c r="W224" s="64" t="s">
        <v>380</v>
      </c>
      <c r="X224" s="2">
        <v>20255081729</v>
      </c>
      <c r="Y224" s="14">
        <v>45849</v>
      </c>
      <c r="Z224" s="14">
        <v>45854</v>
      </c>
      <c r="AA224" s="4">
        <v>45839</v>
      </c>
      <c r="AB224" s="4">
        <v>45857</v>
      </c>
      <c r="AC224" s="14">
        <v>45861</v>
      </c>
      <c r="AD224" s="2" t="s">
        <v>1736</v>
      </c>
      <c r="AE224" s="2"/>
      <c r="AF224" s="2">
        <v>10</v>
      </c>
      <c r="AG224" s="2">
        <v>17.54</v>
      </c>
      <c r="AH224" s="2"/>
      <c r="AI224" s="2" t="s">
        <v>180</v>
      </c>
      <c r="AJ224" s="2"/>
      <c r="AK224" s="4">
        <v>45852</v>
      </c>
      <c r="AL224" s="14">
        <v>45853</v>
      </c>
      <c r="AM224" s="4">
        <v>45854</v>
      </c>
      <c r="AN224" s="2"/>
      <c r="AO224" s="2">
        <v>3397377</v>
      </c>
      <c r="AP224" s="14">
        <v>45859</v>
      </c>
      <c r="AQ224" s="14">
        <v>45861</v>
      </c>
      <c r="AS224" s="14">
        <v>45864</v>
      </c>
      <c r="AT224" s="44">
        <v>50923</v>
      </c>
      <c r="AU224" s="1" t="s">
        <v>74</v>
      </c>
      <c r="AV224" s="14">
        <v>45864</v>
      </c>
      <c r="AW224" s="14">
        <v>45866</v>
      </c>
      <c r="AY224" s="2">
        <v>3550582</v>
      </c>
      <c r="AZ224" s="32">
        <v>45867</v>
      </c>
      <c r="BA224" s="1">
        <v>27042540</v>
      </c>
      <c r="BB224" s="2">
        <v>4867657</v>
      </c>
      <c r="BC224" s="5">
        <v>45867</v>
      </c>
      <c r="BD224" s="14">
        <v>45867</v>
      </c>
      <c r="BF224" s="5">
        <v>45868</v>
      </c>
      <c r="BG224" s="5">
        <v>45869</v>
      </c>
      <c r="BH224" s="1" t="s">
        <v>1890</v>
      </c>
      <c r="BI224" s="1" t="s">
        <v>282</v>
      </c>
      <c r="BQ224" s="14">
        <v>45866</v>
      </c>
      <c r="BR224" s="5">
        <v>45866</v>
      </c>
    </row>
    <row r="225" spans="1:70" ht="18" customHeight="1" x14ac:dyDescent="0.3">
      <c r="A225" s="2">
        <v>225</v>
      </c>
      <c r="B225" s="8" t="s">
        <v>1702</v>
      </c>
      <c r="C225" s="8" t="s">
        <v>1703</v>
      </c>
      <c r="D225" s="8" t="s">
        <v>1704</v>
      </c>
      <c r="E225" s="2" t="s">
        <v>840</v>
      </c>
      <c r="F225" s="8" t="s">
        <v>1641</v>
      </c>
      <c r="G225" s="8" t="s">
        <v>1642</v>
      </c>
      <c r="H225" s="8" t="s">
        <v>1705</v>
      </c>
      <c r="I225" s="83">
        <v>50777</v>
      </c>
      <c r="J225" s="2" t="s">
        <v>1631</v>
      </c>
      <c r="K225" s="2" t="s">
        <v>126</v>
      </c>
      <c r="L225" s="2" t="s">
        <v>1632</v>
      </c>
      <c r="M225" s="78">
        <v>45857</v>
      </c>
      <c r="N225" s="56" t="s">
        <v>1901</v>
      </c>
      <c r="Q225" s="67">
        <f t="shared" si="23"/>
        <v>4</v>
      </c>
      <c r="R225" s="29">
        <f t="shared" si="21"/>
        <v>10</v>
      </c>
      <c r="T225" s="1"/>
      <c r="U225" s="8" t="s">
        <v>1707</v>
      </c>
      <c r="V225" s="1" t="s">
        <v>645</v>
      </c>
      <c r="W225" s="79" t="s">
        <v>426</v>
      </c>
      <c r="X225" s="2">
        <v>20255081723</v>
      </c>
      <c r="Y225" s="14">
        <v>45849</v>
      </c>
      <c r="Z225" s="14">
        <v>45854</v>
      </c>
      <c r="AA225" s="4">
        <v>45839</v>
      </c>
      <c r="AB225" s="4">
        <v>45857</v>
      </c>
      <c r="AC225" s="14">
        <v>45861</v>
      </c>
      <c r="AD225" s="2" t="s">
        <v>1708</v>
      </c>
      <c r="AE225" s="2"/>
      <c r="AF225" s="2">
        <v>6</v>
      </c>
      <c r="AG225" s="2">
        <v>8.51</v>
      </c>
      <c r="AH225" s="2"/>
      <c r="AI225" s="2" t="s">
        <v>180</v>
      </c>
      <c r="AJ225" s="2"/>
      <c r="AK225" s="4">
        <v>45852</v>
      </c>
      <c r="AL225" s="14">
        <v>45853</v>
      </c>
      <c r="AM225" s="4">
        <v>45854</v>
      </c>
      <c r="AN225" s="2"/>
      <c r="AO225" s="2">
        <v>3396117</v>
      </c>
      <c r="AP225" s="14">
        <v>45859</v>
      </c>
      <c r="AQ225" s="14">
        <v>45861</v>
      </c>
      <c r="AS225" s="14">
        <v>45862</v>
      </c>
      <c r="AT225" s="44">
        <v>50914</v>
      </c>
      <c r="AU225" s="1" t="s">
        <v>74</v>
      </c>
      <c r="AV225" s="14">
        <v>45862</v>
      </c>
      <c r="AW225" s="14">
        <v>45866</v>
      </c>
      <c r="AY225" s="2">
        <v>3596370</v>
      </c>
      <c r="AZ225" s="32">
        <v>45869</v>
      </c>
      <c r="BA225" s="1">
        <v>12619852</v>
      </c>
      <c r="BB225" s="2">
        <v>2271573</v>
      </c>
      <c r="BC225" s="5">
        <v>45869</v>
      </c>
      <c r="BD225" s="14">
        <v>45869</v>
      </c>
      <c r="BF225" s="5">
        <v>45870</v>
      </c>
      <c r="BG225" s="5">
        <v>45871</v>
      </c>
      <c r="BH225" s="1" t="s">
        <v>1902</v>
      </c>
      <c r="BI225" s="1" t="s">
        <v>273</v>
      </c>
      <c r="BQ225" s="14">
        <v>45866</v>
      </c>
      <c r="BR225" s="5">
        <v>45866</v>
      </c>
    </row>
    <row r="226" spans="1:70" ht="18" customHeight="1" x14ac:dyDescent="0.3">
      <c r="A226" s="2">
        <v>226</v>
      </c>
      <c r="B226" s="2">
        <v>6942779</v>
      </c>
      <c r="C226" s="111">
        <v>45830</v>
      </c>
      <c r="D226" s="2">
        <v>60233</v>
      </c>
      <c r="E226" s="2" t="s">
        <v>840</v>
      </c>
      <c r="F226" s="8" t="s">
        <v>573</v>
      </c>
      <c r="G226" s="8" t="s">
        <v>1709</v>
      </c>
      <c r="H226" s="8" t="s">
        <v>1150</v>
      </c>
      <c r="I226" s="83">
        <v>50779</v>
      </c>
      <c r="J226" s="2" t="s">
        <v>1631</v>
      </c>
      <c r="K226" s="2" t="s">
        <v>126</v>
      </c>
      <c r="L226" s="2" t="s">
        <v>1632</v>
      </c>
      <c r="M226" s="78">
        <v>45857</v>
      </c>
      <c r="N226" s="56" t="s">
        <v>1904</v>
      </c>
      <c r="Q226" s="67">
        <f t="shared" si="23"/>
        <v>4</v>
      </c>
      <c r="R226" s="29">
        <f t="shared" si="21"/>
        <v>10</v>
      </c>
      <c r="T226" s="1"/>
      <c r="U226" s="1" t="s">
        <v>1706</v>
      </c>
      <c r="V226" s="1" t="s">
        <v>645</v>
      </c>
      <c r="W226" s="79" t="s">
        <v>426</v>
      </c>
      <c r="X226" s="2">
        <v>20255081698</v>
      </c>
      <c r="Y226" s="14">
        <v>45849</v>
      </c>
      <c r="Z226" s="14">
        <v>45854</v>
      </c>
      <c r="AA226" s="4">
        <v>45839</v>
      </c>
      <c r="AB226" s="4">
        <v>45857</v>
      </c>
      <c r="AC226" s="14">
        <v>45861</v>
      </c>
      <c r="AD226" s="2" t="s">
        <v>1710</v>
      </c>
      <c r="AE226" s="2"/>
      <c r="AF226" s="2">
        <v>2</v>
      </c>
      <c r="AG226" s="2">
        <v>3.56</v>
      </c>
      <c r="AH226" s="2"/>
      <c r="AI226" s="2" t="s">
        <v>180</v>
      </c>
      <c r="AJ226" s="2"/>
      <c r="AK226" s="4">
        <v>45852</v>
      </c>
      <c r="AL226" s="14">
        <v>45853</v>
      </c>
      <c r="AM226" s="4">
        <v>45854</v>
      </c>
      <c r="AN226" s="2"/>
      <c r="AO226" s="2">
        <v>3396857</v>
      </c>
      <c r="AP226" s="14">
        <v>45859</v>
      </c>
      <c r="AQ226" s="14">
        <v>45861</v>
      </c>
      <c r="AS226" s="14">
        <v>45864</v>
      </c>
      <c r="AT226" s="44">
        <v>50924</v>
      </c>
      <c r="AU226" s="1" t="s">
        <v>74</v>
      </c>
      <c r="AV226" s="14">
        <v>45864</v>
      </c>
      <c r="AW226" s="14">
        <v>45866</v>
      </c>
      <c r="AY226" s="2">
        <v>3596378</v>
      </c>
      <c r="AZ226" s="32">
        <v>45869</v>
      </c>
      <c r="BA226" s="1">
        <v>5228224</v>
      </c>
      <c r="BB226" s="2">
        <v>941080</v>
      </c>
      <c r="BC226" s="5">
        <v>45869</v>
      </c>
      <c r="BD226" s="14">
        <v>45869</v>
      </c>
      <c r="BF226" s="5">
        <v>45870</v>
      </c>
      <c r="BG226" s="5">
        <v>45871</v>
      </c>
      <c r="BH226" s="1" t="s">
        <v>1902</v>
      </c>
      <c r="BI226" s="1" t="s">
        <v>273</v>
      </c>
      <c r="BQ226" s="14">
        <v>45866</v>
      </c>
      <c r="BR226" s="5">
        <v>45866</v>
      </c>
    </row>
    <row r="227" spans="1:70" ht="18" customHeight="1" x14ac:dyDescent="0.3">
      <c r="A227" s="2">
        <v>227</v>
      </c>
      <c r="B227" s="8" t="s">
        <v>1715</v>
      </c>
      <c r="C227" s="75" t="s">
        <v>1716</v>
      </c>
      <c r="D227" s="8" t="s">
        <v>1717</v>
      </c>
      <c r="E227" s="2" t="s">
        <v>840</v>
      </c>
      <c r="F227" s="8" t="s">
        <v>1999</v>
      </c>
      <c r="G227" s="8" t="s">
        <v>1718</v>
      </c>
      <c r="H227" s="8" t="s">
        <v>1719</v>
      </c>
      <c r="I227" s="83">
        <v>50784</v>
      </c>
      <c r="J227" s="2" t="s">
        <v>1631</v>
      </c>
      <c r="K227" s="2" t="s">
        <v>126</v>
      </c>
      <c r="L227" s="2" t="s">
        <v>1632</v>
      </c>
      <c r="M227" s="78">
        <v>45857</v>
      </c>
      <c r="N227" s="56" t="s">
        <v>1903</v>
      </c>
      <c r="Q227" s="67">
        <f t="shared" si="23"/>
        <v>4</v>
      </c>
      <c r="R227" s="29">
        <f t="shared" si="21"/>
        <v>10</v>
      </c>
      <c r="T227" s="1"/>
      <c r="U227" s="8" t="s">
        <v>1721</v>
      </c>
      <c r="V227" s="1" t="s">
        <v>645</v>
      </c>
      <c r="W227" s="79" t="s">
        <v>426</v>
      </c>
      <c r="X227" s="2">
        <v>20255081718</v>
      </c>
      <c r="Y227" s="14">
        <v>45849</v>
      </c>
      <c r="Z227" s="14">
        <v>45854</v>
      </c>
      <c r="AA227" s="4">
        <v>45839</v>
      </c>
      <c r="AB227" s="4">
        <v>45857</v>
      </c>
      <c r="AC227" s="14">
        <v>45861</v>
      </c>
      <c r="AD227" s="2" t="s">
        <v>1720</v>
      </c>
      <c r="AE227" s="2"/>
      <c r="AF227" s="2">
        <v>5</v>
      </c>
      <c r="AG227" s="2">
        <v>9.83</v>
      </c>
      <c r="AH227" s="2"/>
      <c r="AI227" s="2" t="s">
        <v>180</v>
      </c>
      <c r="AJ227" s="2"/>
      <c r="AK227" s="4">
        <v>45852</v>
      </c>
      <c r="AL227" s="14">
        <v>45853</v>
      </c>
      <c r="AM227" s="4">
        <v>45854</v>
      </c>
      <c r="AN227" s="2"/>
      <c r="AO227" s="2">
        <v>3401987</v>
      </c>
      <c r="AP227" s="14">
        <v>45859</v>
      </c>
      <c r="AQ227" s="14">
        <v>45861</v>
      </c>
      <c r="AS227" s="14">
        <v>45862</v>
      </c>
      <c r="AT227" s="44">
        <v>50920</v>
      </c>
      <c r="AU227" s="1" t="s">
        <v>74</v>
      </c>
      <c r="AV227" s="14">
        <v>45862</v>
      </c>
      <c r="AW227" s="14">
        <v>45866</v>
      </c>
      <c r="AY227" s="2">
        <v>3596375</v>
      </c>
      <c r="AZ227" s="32">
        <v>45869</v>
      </c>
      <c r="BA227" s="1">
        <v>17168606</v>
      </c>
      <c r="BB227" s="2">
        <v>3090349</v>
      </c>
      <c r="BC227" s="5">
        <v>45869</v>
      </c>
      <c r="BD227" s="14">
        <v>45869</v>
      </c>
      <c r="BF227" s="5">
        <v>45870</v>
      </c>
      <c r="BG227" s="5">
        <v>45871</v>
      </c>
      <c r="BH227" s="1" t="s">
        <v>972</v>
      </c>
      <c r="BI227" s="1" t="s">
        <v>273</v>
      </c>
      <c r="BQ227" s="14">
        <v>45866</v>
      </c>
      <c r="BR227" s="1"/>
    </row>
    <row r="228" spans="1:70" ht="18" customHeight="1" x14ac:dyDescent="0.3">
      <c r="A228" s="2">
        <v>228</v>
      </c>
      <c r="B228" s="2">
        <v>6942778</v>
      </c>
      <c r="C228" s="111">
        <v>45830</v>
      </c>
      <c r="D228" s="2">
        <v>145390</v>
      </c>
      <c r="E228" s="2" t="s">
        <v>840</v>
      </c>
      <c r="F228" s="8" t="s">
        <v>573</v>
      </c>
      <c r="G228" s="8" t="s">
        <v>1709</v>
      </c>
      <c r="H228" s="8" t="s">
        <v>1597</v>
      </c>
      <c r="I228" s="83">
        <v>50789</v>
      </c>
      <c r="J228" s="2" t="s">
        <v>1631</v>
      </c>
      <c r="K228" s="2" t="s">
        <v>126</v>
      </c>
      <c r="L228" s="2" t="s">
        <v>1632</v>
      </c>
      <c r="M228" s="78">
        <v>45857</v>
      </c>
      <c r="N228" s="56" t="s">
        <v>1900</v>
      </c>
      <c r="Q228" s="67">
        <f t="shared" si="23"/>
        <v>4</v>
      </c>
      <c r="R228" s="29">
        <f t="shared" si="21"/>
        <v>10</v>
      </c>
      <c r="T228" s="1"/>
      <c r="U228" s="1" t="s">
        <v>1598</v>
      </c>
      <c r="V228" s="1" t="s">
        <v>645</v>
      </c>
      <c r="W228" s="79" t="s">
        <v>426</v>
      </c>
      <c r="X228" s="2">
        <v>20255081731</v>
      </c>
      <c r="Y228" s="14">
        <v>45849</v>
      </c>
      <c r="Z228" s="14">
        <v>45854</v>
      </c>
      <c r="AA228" s="4">
        <v>45839</v>
      </c>
      <c r="AB228" s="4">
        <v>45857</v>
      </c>
      <c r="AC228" s="14">
        <v>45861</v>
      </c>
      <c r="AD228" s="2" t="s">
        <v>1738</v>
      </c>
      <c r="AE228" s="2"/>
      <c r="AF228" s="2">
        <v>5</v>
      </c>
      <c r="AG228" s="2">
        <v>8.35</v>
      </c>
      <c r="AH228" s="2"/>
      <c r="AI228" s="2" t="s">
        <v>180</v>
      </c>
      <c r="AJ228" s="2"/>
      <c r="AK228" s="4">
        <v>45852</v>
      </c>
      <c r="AL228" s="14">
        <v>45853</v>
      </c>
      <c r="AM228" s="4">
        <v>45854</v>
      </c>
      <c r="AN228" s="2"/>
      <c r="AO228" s="2">
        <v>3396059</v>
      </c>
      <c r="AP228" s="14">
        <v>45859</v>
      </c>
      <c r="AQ228" s="14">
        <v>45861</v>
      </c>
      <c r="AS228" s="14">
        <v>45864</v>
      </c>
      <c r="AT228" s="44">
        <v>50945</v>
      </c>
      <c r="AU228" s="1" t="s">
        <v>74</v>
      </c>
      <c r="AV228" s="14">
        <v>45864</v>
      </c>
      <c r="AW228" s="14">
        <v>45866</v>
      </c>
      <c r="AY228" s="2">
        <v>3596368</v>
      </c>
      <c r="AZ228" s="32">
        <v>45869</v>
      </c>
      <c r="BA228" s="1">
        <v>12619852</v>
      </c>
      <c r="BB228" s="2">
        <v>2271573</v>
      </c>
      <c r="BC228" s="5">
        <v>45869</v>
      </c>
      <c r="BD228" s="14">
        <v>45869</v>
      </c>
      <c r="BF228" s="5">
        <v>45870</v>
      </c>
      <c r="BG228" s="5">
        <v>45871</v>
      </c>
      <c r="BH228" s="1" t="s">
        <v>972</v>
      </c>
      <c r="BI228" s="1" t="s">
        <v>273</v>
      </c>
      <c r="BQ228" s="14">
        <v>45866</v>
      </c>
      <c r="BR228" s="5">
        <v>45866</v>
      </c>
    </row>
    <row r="229" spans="1:70" ht="18" customHeight="1" x14ac:dyDescent="0.3">
      <c r="A229" s="2">
        <v>229</v>
      </c>
      <c r="B229" s="2">
        <v>250712846</v>
      </c>
      <c r="C229" s="111">
        <v>45856</v>
      </c>
      <c r="D229" s="2">
        <v>1095072.3999999999</v>
      </c>
      <c r="E229" s="2" t="s">
        <v>677</v>
      </c>
      <c r="F229" s="2" t="s">
        <v>1346</v>
      </c>
      <c r="G229" s="2" t="s">
        <v>476</v>
      </c>
      <c r="H229" s="2">
        <v>40</v>
      </c>
      <c r="I229" s="83">
        <v>50870</v>
      </c>
      <c r="J229" s="2" t="s">
        <v>142</v>
      </c>
      <c r="K229" s="2" t="s">
        <v>126</v>
      </c>
      <c r="L229" s="2" t="s">
        <v>854</v>
      </c>
      <c r="M229" s="78">
        <v>45862</v>
      </c>
      <c r="N229" s="56" t="s">
        <v>1906</v>
      </c>
      <c r="Q229" s="67">
        <f t="shared" si="23"/>
        <v>2</v>
      </c>
      <c r="R229" s="29">
        <f t="shared" si="21"/>
        <v>7</v>
      </c>
      <c r="T229" s="1"/>
      <c r="U229" s="1" t="s">
        <v>835</v>
      </c>
      <c r="V229" s="2" t="s">
        <v>755</v>
      </c>
      <c r="W229" s="1" t="s">
        <v>827</v>
      </c>
      <c r="X229" s="2" t="s">
        <v>1818</v>
      </c>
      <c r="Y229" s="14">
        <v>45860</v>
      </c>
      <c r="Z229" s="14">
        <v>45864</v>
      </c>
      <c r="AA229" s="4">
        <v>45862</v>
      </c>
      <c r="AB229" s="4">
        <v>45862</v>
      </c>
      <c r="AC229" s="14">
        <v>45864</v>
      </c>
      <c r="AD229" s="2" t="s">
        <v>1792</v>
      </c>
      <c r="AE229" s="2">
        <v>4840722585</v>
      </c>
      <c r="AF229" s="2">
        <v>1</v>
      </c>
      <c r="AG229" s="2">
        <v>222</v>
      </c>
      <c r="AH229" s="2"/>
      <c r="AI229" s="2" t="s">
        <v>179</v>
      </c>
      <c r="AJ229" s="2"/>
      <c r="AK229" s="4">
        <v>45860</v>
      </c>
      <c r="AL229" s="2" t="s">
        <v>1793</v>
      </c>
      <c r="AM229" s="14">
        <v>45860</v>
      </c>
      <c r="AN229" s="2"/>
      <c r="AO229" s="2">
        <v>3461306</v>
      </c>
      <c r="AP229" s="14">
        <v>45862</v>
      </c>
      <c r="AQ229" s="14">
        <v>45864</v>
      </c>
      <c r="AS229" s="14">
        <v>45866</v>
      </c>
      <c r="AT229" s="44">
        <v>50965</v>
      </c>
      <c r="AU229" s="1" t="s">
        <v>74</v>
      </c>
      <c r="AV229" s="14">
        <v>45866</v>
      </c>
      <c r="AW229" s="14">
        <v>45867</v>
      </c>
      <c r="AY229" s="2">
        <v>3575382</v>
      </c>
      <c r="AZ229" s="32">
        <v>45868</v>
      </c>
      <c r="BA229" s="1">
        <v>95052284</v>
      </c>
      <c r="BB229" s="2">
        <v>17109411</v>
      </c>
      <c r="BC229" s="5">
        <v>45868</v>
      </c>
      <c r="BD229" s="14">
        <v>45868</v>
      </c>
      <c r="BF229" s="5">
        <v>45869</v>
      </c>
      <c r="BG229" s="5">
        <v>45871</v>
      </c>
      <c r="BH229" s="1" t="s">
        <v>1905</v>
      </c>
      <c r="BI229" s="1" t="s">
        <v>282</v>
      </c>
      <c r="BQ229" s="14">
        <v>45867</v>
      </c>
      <c r="BR229" s="5">
        <v>45868</v>
      </c>
    </row>
    <row r="230" spans="1:70" ht="18" customHeight="1" x14ac:dyDescent="0.3">
      <c r="A230" s="2">
        <v>230</v>
      </c>
      <c r="B230" s="2">
        <v>250712848</v>
      </c>
      <c r="C230" s="111">
        <v>45856</v>
      </c>
      <c r="D230" s="2">
        <v>129887.4</v>
      </c>
      <c r="E230" s="2" t="s">
        <v>677</v>
      </c>
      <c r="F230" s="2" t="s">
        <v>1794</v>
      </c>
      <c r="G230" s="2" t="s">
        <v>946</v>
      </c>
      <c r="H230" s="8">
        <v>4</v>
      </c>
      <c r="I230" s="83">
        <v>50871</v>
      </c>
      <c r="J230" s="2" t="s">
        <v>142</v>
      </c>
      <c r="K230" s="2" t="s">
        <v>126</v>
      </c>
      <c r="L230" s="2" t="s">
        <v>854</v>
      </c>
      <c r="M230" s="78">
        <v>45862</v>
      </c>
      <c r="N230" s="56" t="s">
        <v>1910</v>
      </c>
      <c r="Q230" s="67">
        <f t="shared" ref="Q230:Q235" si="24">AQ230-AB230</f>
        <v>2</v>
      </c>
      <c r="R230" s="29">
        <f t="shared" si="21"/>
        <v>9</v>
      </c>
      <c r="T230" s="1" t="s">
        <v>1889</v>
      </c>
      <c r="U230" s="15" t="s">
        <v>1795</v>
      </c>
      <c r="V230" s="2" t="s">
        <v>335</v>
      </c>
      <c r="W230" s="2" t="s">
        <v>334</v>
      </c>
      <c r="X230" s="2" t="s">
        <v>1819</v>
      </c>
      <c r="Y230" s="14">
        <v>45860</v>
      </c>
      <c r="Z230" s="14">
        <v>45864</v>
      </c>
      <c r="AA230" s="4">
        <v>45862</v>
      </c>
      <c r="AB230" s="4">
        <v>45862</v>
      </c>
      <c r="AC230" s="14">
        <v>45864</v>
      </c>
      <c r="AD230" s="2" t="s">
        <v>1792</v>
      </c>
      <c r="AE230" s="2">
        <v>4840722586</v>
      </c>
      <c r="AF230" s="2">
        <v>4</v>
      </c>
      <c r="AG230" s="2">
        <v>14.5</v>
      </c>
      <c r="AH230" s="2"/>
      <c r="AI230" s="2" t="s">
        <v>179</v>
      </c>
      <c r="AJ230" s="2"/>
      <c r="AK230" s="4">
        <v>45860</v>
      </c>
      <c r="AL230" s="2" t="s">
        <v>1793</v>
      </c>
      <c r="AM230" s="14">
        <v>45860</v>
      </c>
      <c r="AN230" s="2"/>
      <c r="AO230" s="2">
        <v>3461307</v>
      </c>
      <c r="AP230" s="14">
        <v>45862</v>
      </c>
      <c r="AQ230" s="14">
        <v>45864</v>
      </c>
      <c r="AS230" s="14">
        <v>45866</v>
      </c>
      <c r="AT230" s="44">
        <v>50963</v>
      </c>
      <c r="AU230" s="1" t="s">
        <v>74</v>
      </c>
      <c r="AV230" s="14">
        <v>45866</v>
      </c>
      <c r="AW230" s="14">
        <v>45867</v>
      </c>
      <c r="AY230" s="2">
        <v>3575564</v>
      </c>
      <c r="AZ230" s="32">
        <v>45868</v>
      </c>
      <c r="BA230" s="1">
        <v>11274226</v>
      </c>
      <c r="BB230" s="2">
        <v>2029361</v>
      </c>
      <c r="BC230" s="5">
        <v>45868</v>
      </c>
      <c r="BD230" s="14">
        <v>45869</v>
      </c>
      <c r="BF230" s="5">
        <v>45870</v>
      </c>
      <c r="BG230" s="5">
        <v>45873</v>
      </c>
      <c r="BH230" s="1" t="s">
        <v>1911</v>
      </c>
      <c r="BI230" s="1" t="s">
        <v>282</v>
      </c>
      <c r="BQ230" s="14">
        <v>45867</v>
      </c>
      <c r="BR230" s="14">
        <v>45867</v>
      </c>
    </row>
    <row r="231" spans="1:70" ht="18" customHeight="1" x14ac:dyDescent="0.3">
      <c r="A231" s="2">
        <v>231</v>
      </c>
      <c r="B231" s="2">
        <v>6943757</v>
      </c>
      <c r="C231" s="111">
        <v>45833</v>
      </c>
      <c r="D231" s="2">
        <v>145390</v>
      </c>
      <c r="E231" s="2" t="s">
        <v>840</v>
      </c>
      <c r="F231" s="8" t="s">
        <v>642</v>
      </c>
      <c r="G231" s="8" t="s">
        <v>1798</v>
      </c>
      <c r="H231" s="8" t="s">
        <v>1597</v>
      </c>
      <c r="I231" s="83">
        <v>50873</v>
      </c>
      <c r="J231" s="2" t="s">
        <v>1631</v>
      </c>
      <c r="K231" s="2" t="s">
        <v>126</v>
      </c>
      <c r="L231" s="2" t="s">
        <v>1632</v>
      </c>
      <c r="M231" s="78">
        <v>45863</v>
      </c>
      <c r="N231" s="56" t="s">
        <v>1918</v>
      </c>
      <c r="Q231" s="67">
        <f t="shared" si="24"/>
        <v>2</v>
      </c>
      <c r="R231" s="29">
        <f t="shared" si="21"/>
        <v>11</v>
      </c>
      <c r="T231" s="1" t="s">
        <v>1914</v>
      </c>
      <c r="U231" s="1" t="s">
        <v>1799</v>
      </c>
      <c r="V231" s="1" t="s">
        <v>645</v>
      </c>
      <c r="W231" s="79" t="s">
        <v>426</v>
      </c>
      <c r="X231" s="2">
        <v>20255084676</v>
      </c>
      <c r="Y231" s="14">
        <v>45856</v>
      </c>
      <c r="Z231" s="14">
        <v>45862</v>
      </c>
      <c r="AA231" s="4">
        <v>45845</v>
      </c>
      <c r="AB231" s="4">
        <v>45862</v>
      </c>
      <c r="AC231" s="14">
        <v>45864</v>
      </c>
      <c r="AD231" s="2">
        <v>76030154017</v>
      </c>
      <c r="AE231" s="2"/>
      <c r="AF231" s="2">
        <v>5</v>
      </c>
      <c r="AG231" s="2">
        <v>8.3119999999999994</v>
      </c>
      <c r="AH231" s="2"/>
      <c r="AI231" s="2" t="s">
        <v>629</v>
      </c>
      <c r="AJ231" s="2"/>
      <c r="AK231" s="4">
        <v>45860</v>
      </c>
      <c r="AL231" s="2" t="s">
        <v>1793</v>
      </c>
      <c r="AM231" s="14">
        <v>45861</v>
      </c>
      <c r="AN231" s="2"/>
      <c r="AO231" s="2">
        <v>3479383</v>
      </c>
      <c r="AP231" s="14">
        <v>45863</v>
      </c>
      <c r="AQ231" s="14">
        <v>45864</v>
      </c>
      <c r="AS231" s="14">
        <v>45868</v>
      </c>
      <c r="AT231" s="44">
        <v>50986</v>
      </c>
      <c r="AU231" s="1" t="s">
        <v>74</v>
      </c>
      <c r="AV231" s="14">
        <v>45868</v>
      </c>
      <c r="AW231" s="14">
        <v>45869</v>
      </c>
      <c r="AY231" s="2">
        <v>3668508</v>
      </c>
      <c r="AZ231" s="32">
        <v>45873</v>
      </c>
      <c r="BA231" s="1">
        <v>12619852</v>
      </c>
      <c r="BB231" s="2">
        <v>2271573</v>
      </c>
      <c r="BC231" s="5">
        <v>45873</v>
      </c>
      <c r="BD231" s="14">
        <v>45874</v>
      </c>
      <c r="BF231" s="5">
        <v>45874</v>
      </c>
      <c r="BG231" s="5">
        <v>45875</v>
      </c>
      <c r="BH231" s="1" t="s">
        <v>1917</v>
      </c>
      <c r="BI231" s="1" t="s">
        <v>282</v>
      </c>
      <c r="BQ231" s="14">
        <v>45869</v>
      </c>
      <c r="BR231" s="5">
        <v>45870</v>
      </c>
    </row>
    <row r="232" spans="1:70" ht="18" customHeight="1" x14ac:dyDescent="0.3">
      <c r="A232" s="2">
        <v>232</v>
      </c>
      <c r="B232" s="8" t="s">
        <v>1800</v>
      </c>
      <c r="C232" s="75" t="s">
        <v>1723</v>
      </c>
      <c r="D232" s="8" t="s">
        <v>1801</v>
      </c>
      <c r="E232" s="2" t="s">
        <v>840</v>
      </c>
      <c r="F232" s="8" t="s">
        <v>1802</v>
      </c>
      <c r="G232" s="8" t="s">
        <v>1803</v>
      </c>
      <c r="H232" s="8" t="s">
        <v>1804</v>
      </c>
      <c r="I232" s="83">
        <v>50875</v>
      </c>
      <c r="J232" s="2" t="s">
        <v>1631</v>
      </c>
      <c r="K232" s="2" t="s">
        <v>126</v>
      </c>
      <c r="L232" s="2" t="s">
        <v>1632</v>
      </c>
      <c r="M232" s="78">
        <v>45863</v>
      </c>
      <c r="N232" s="56" t="s">
        <v>1919</v>
      </c>
      <c r="Q232" s="67">
        <f t="shared" si="24"/>
        <v>2</v>
      </c>
      <c r="R232" s="29">
        <f t="shared" si="21"/>
        <v>11</v>
      </c>
      <c r="T232" s="1" t="s">
        <v>1915</v>
      </c>
      <c r="U232" s="7" t="s">
        <v>1806</v>
      </c>
      <c r="V232" s="1" t="s">
        <v>645</v>
      </c>
      <c r="W232" s="79" t="s">
        <v>426</v>
      </c>
      <c r="X232" s="2">
        <v>20255084775</v>
      </c>
      <c r="Y232" s="14">
        <v>45856</v>
      </c>
      <c r="Z232" s="14">
        <v>45862</v>
      </c>
      <c r="AA232" s="4">
        <v>45845</v>
      </c>
      <c r="AB232" s="4">
        <v>45862</v>
      </c>
      <c r="AC232" s="14">
        <v>45864</v>
      </c>
      <c r="AD232" s="2">
        <v>76030154016</v>
      </c>
      <c r="AE232" s="2"/>
      <c r="AF232" s="2">
        <v>4</v>
      </c>
      <c r="AG232" s="2">
        <v>6.5460000000000003</v>
      </c>
      <c r="AH232" s="2"/>
      <c r="AI232" s="2" t="s">
        <v>629</v>
      </c>
      <c r="AJ232" s="2"/>
      <c r="AK232" s="4">
        <v>45860</v>
      </c>
      <c r="AL232" s="2" t="s">
        <v>1793</v>
      </c>
      <c r="AM232" s="14">
        <v>45861</v>
      </c>
      <c r="AN232" s="2"/>
      <c r="AO232" s="2">
        <v>3478581</v>
      </c>
      <c r="AP232" s="14">
        <v>45863</v>
      </c>
      <c r="AQ232" s="14">
        <v>45864</v>
      </c>
      <c r="AS232" s="14">
        <v>45868</v>
      </c>
      <c r="AT232" s="44">
        <v>50987</v>
      </c>
      <c r="AU232" s="1" t="s">
        <v>74</v>
      </c>
      <c r="AV232" s="2" t="s">
        <v>1886</v>
      </c>
      <c r="AW232" s="14">
        <v>45869</v>
      </c>
      <c r="AY232" s="2">
        <v>3668509</v>
      </c>
      <c r="AZ232" s="32">
        <v>45873</v>
      </c>
      <c r="BA232" s="1">
        <v>9915598</v>
      </c>
      <c r="BB232" s="2">
        <v>1784808</v>
      </c>
      <c r="BC232" s="5">
        <v>45873</v>
      </c>
      <c r="BD232" s="14">
        <v>45874</v>
      </c>
      <c r="BF232" s="5">
        <v>45874</v>
      </c>
      <c r="BG232" s="5">
        <v>45875</v>
      </c>
      <c r="BH232" s="1" t="s">
        <v>1917</v>
      </c>
      <c r="BI232" s="1" t="s">
        <v>282</v>
      </c>
      <c r="BQ232" s="14">
        <v>45869</v>
      </c>
      <c r="BR232" s="5">
        <v>45870</v>
      </c>
    </row>
    <row r="233" spans="1:70" ht="18" customHeight="1" x14ac:dyDescent="0.3">
      <c r="A233" s="2">
        <v>233</v>
      </c>
      <c r="B233" s="2">
        <v>6942970</v>
      </c>
      <c r="C233" s="111">
        <v>45832</v>
      </c>
      <c r="D233" s="2">
        <v>145390</v>
      </c>
      <c r="E233" s="2" t="s">
        <v>840</v>
      </c>
      <c r="F233" s="8" t="s">
        <v>540</v>
      </c>
      <c r="G233" s="8" t="s">
        <v>1805</v>
      </c>
      <c r="H233" s="8" t="s">
        <v>1597</v>
      </c>
      <c r="I233" s="83">
        <v>50877</v>
      </c>
      <c r="J233" s="2" t="s">
        <v>1631</v>
      </c>
      <c r="K233" s="2" t="s">
        <v>126</v>
      </c>
      <c r="L233" s="2" t="s">
        <v>1632</v>
      </c>
      <c r="M233" s="78">
        <v>45863</v>
      </c>
      <c r="N233" s="56" t="s">
        <v>1920</v>
      </c>
      <c r="Q233" s="67">
        <f t="shared" si="24"/>
        <v>2</v>
      </c>
      <c r="R233" s="29">
        <f t="shared" si="21"/>
        <v>11</v>
      </c>
      <c r="T233" s="1">
        <v>934</v>
      </c>
      <c r="U233" s="1" t="s">
        <v>1706</v>
      </c>
      <c r="V233" s="1" t="s">
        <v>645</v>
      </c>
      <c r="W233" s="79" t="s">
        <v>426</v>
      </c>
      <c r="X233" s="2">
        <v>20255084675</v>
      </c>
      <c r="Y233" s="14">
        <v>45856</v>
      </c>
      <c r="Z233" s="14">
        <v>45862</v>
      </c>
      <c r="AA233" s="4">
        <v>45845</v>
      </c>
      <c r="AB233" s="4">
        <v>45862</v>
      </c>
      <c r="AC233" s="14">
        <v>45864</v>
      </c>
      <c r="AD233" s="2">
        <v>76030154012</v>
      </c>
      <c r="AE233" s="2"/>
      <c r="AF233" s="2">
        <v>5</v>
      </c>
      <c r="AG233" s="2">
        <v>8.3000000000000007</v>
      </c>
      <c r="AH233" s="2"/>
      <c r="AI233" s="2" t="s">
        <v>629</v>
      </c>
      <c r="AJ233" s="2"/>
      <c r="AK233" s="4">
        <v>45860</v>
      </c>
      <c r="AL233" s="2" t="s">
        <v>1793</v>
      </c>
      <c r="AM233" s="14">
        <v>45861</v>
      </c>
      <c r="AN233" s="2"/>
      <c r="AO233" s="2">
        <v>3477966</v>
      </c>
      <c r="AP233" s="14">
        <v>45863</v>
      </c>
      <c r="AQ233" s="14">
        <v>45864</v>
      </c>
      <c r="AS233" s="14">
        <v>45868</v>
      </c>
      <c r="AT233" s="44">
        <v>50988</v>
      </c>
      <c r="AU233" s="1" t="s">
        <v>74</v>
      </c>
      <c r="AV233" s="14">
        <v>45868</v>
      </c>
      <c r="AW233" s="14">
        <v>45869</v>
      </c>
      <c r="AY233" s="2">
        <v>3668522</v>
      </c>
      <c r="AZ233" s="32">
        <v>45873</v>
      </c>
      <c r="BA233" s="1">
        <v>12619852</v>
      </c>
      <c r="BB233" s="2">
        <v>2271573</v>
      </c>
      <c r="BC233" s="5">
        <v>45873</v>
      </c>
      <c r="BD233" s="14">
        <v>45874</v>
      </c>
      <c r="BF233" s="5">
        <v>45874</v>
      </c>
      <c r="BG233" s="5">
        <v>45875</v>
      </c>
      <c r="BH233" s="1" t="s">
        <v>1917</v>
      </c>
      <c r="BI233" s="1" t="s">
        <v>282</v>
      </c>
      <c r="BQ233" s="14">
        <v>45869</v>
      </c>
      <c r="BR233" s="5">
        <v>45870</v>
      </c>
    </row>
    <row r="234" spans="1:70" ht="18" customHeight="1" x14ac:dyDescent="0.3">
      <c r="A234" s="2">
        <v>234</v>
      </c>
      <c r="B234" s="2">
        <v>250711646</v>
      </c>
      <c r="C234" s="111">
        <v>45856</v>
      </c>
      <c r="D234" s="2">
        <v>18172.86</v>
      </c>
      <c r="E234" s="2" t="s">
        <v>677</v>
      </c>
      <c r="F234" s="2" t="s">
        <v>135</v>
      </c>
      <c r="G234" s="2" t="s">
        <v>417</v>
      </c>
      <c r="H234" s="2">
        <v>1</v>
      </c>
      <c r="I234" s="83">
        <v>50855</v>
      </c>
      <c r="J234" s="2" t="s">
        <v>142</v>
      </c>
      <c r="K234" s="2" t="s">
        <v>126</v>
      </c>
      <c r="L234" s="2" t="s">
        <v>854</v>
      </c>
      <c r="M234" s="78">
        <v>45861</v>
      </c>
      <c r="N234" s="56" t="s">
        <v>1921</v>
      </c>
      <c r="Q234" s="67">
        <f t="shared" si="24"/>
        <v>3</v>
      </c>
      <c r="R234" s="29">
        <f t="shared" si="21"/>
        <v>11</v>
      </c>
      <c r="T234" s="1">
        <v>117</v>
      </c>
      <c r="U234" s="8" t="s">
        <v>1310</v>
      </c>
      <c r="V234" s="1" t="s">
        <v>204</v>
      </c>
      <c r="W234" s="1" t="s">
        <v>203</v>
      </c>
      <c r="X234" s="2" t="s">
        <v>1842</v>
      </c>
      <c r="Y234" s="14">
        <v>45859</v>
      </c>
      <c r="Z234" s="14">
        <v>45862</v>
      </c>
      <c r="AA234" s="4">
        <v>45861</v>
      </c>
      <c r="AB234" s="4">
        <v>45861</v>
      </c>
      <c r="AC234" s="14">
        <v>45864</v>
      </c>
      <c r="AD234" s="2" t="s">
        <v>1783</v>
      </c>
      <c r="AE234" s="2">
        <v>4840722504</v>
      </c>
      <c r="AF234" s="2">
        <v>1</v>
      </c>
      <c r="AG234" s="2">
        <v>6</v>
      </c>
      <c r="AH234" s="2"/>
      <c r="AI234" s="2" t="s">
        <v>179</v>
      </c>
      <c r="AJ234" s="2"/>
      <c r="AK234" s="4">
        <v>45859</v>
      </c>
      <c r="AL234" s="14">
        <v>45859</v>
      </c>
      <c r="AM234" s="14">
        <v>45859</v>
      </c>
      <c r="AN234" s="2"/>
      <c r="AO234" s="2">
        <v>3457911</v>
      </c>
      <c r="AP234" s="14">
        <v>45862</v>
      </c>
      <c r="AQ234" s="14">
        <v>45864</v>
      </c>
      <c r="AS234" s="14">
        <v>45866</v>
      </c>
      <c r="AT234" s="44">
        <v>50964</v>
      </c>
      <c r="AU234" s="1" t="s">
        <v>74</v>
      </c>
      <c r="AV234" s="14">
        <v>45866</v>
      </c>
      <c r="AW234" s="14">
        <v>45867</v>
      </c>
      <c r="AY234" s="2">
        <v>3576035</v>
      </c>
      <c r="AZ234" s="32">
        <v>45868</v>
      </c>
      <c r="BA234" s="1">
        <v>1577404</v>
      </c>
      <c r="BB234" s="2">
        <v>283933</v>
      </c>
      <c r="BC234" s="5">
        <v>45868</v>
      </c>
      <c r="BD234" s="14">
        <v>45869</v>
      </c>
      <c r="BF234" s="5">
        <v>45870</v>
      </c>
      <c r="BG234" s="5">
        <v>45875</v>
      </c>
      <c r="BH234" s="1" t="s">
        <v>1082</v>
      </c>
      <c r="BI234" s="1" t="s">
        <v>282</v>
      </c>
      <c r="BQ234" s="14">
        <v>45867</v>
      </c>
      <c r="BR234" s="14">
        <v>45867</v>
      </c>
    </row>
    <row r="235" spans="1:70" ht="18" customHeight="1" x14ac:dyDescent="0.3">
      <c r="A235" s="2">
        <v>235</v>
      </c>
      <c r="B235" s="2" t="s">
        <v>1881</v>
      </c>
      <c r="C235" s="111">
        <v>45859</v>
      </c>
      <c r="D235" s="2">
        <v>8190</v>
      </c>
      <c r="E235" s="2" t="s">
        <v>677</v>
      </c>
      <c r="F235" s="2" t="s">
        <v>345</v>
      </c>
      <c r="G235" s="2" t="s">
        <v>346</v>
      </c>
      <c r="H235" s="2">
        <v>18</v>
      </c>
      <c r="I235" s="83">
        <v>50969</v>
      </c>
      <c r="J235" s="2" t="s">
        <v>142</v>
      </c>
      <c r="K235" s="2" t="s">
        <v>126</v>
      </c>
      <c r="L235" s="2" t="s">
        <v>854</v>
      </c>
      <c r="M235" s="78">
        <v>45868</v>
      </c>
      <c r="N235" s="56" t="s">
        <v>1922</v>
      </c>
      <c r="Q235" s="67">
        <f t="shared" si="24"/>
        <v>1</v>
      </c>
      <c r="R235" s="29">
        <f t="shared" si="21"/>
        <v>6</v>
      </c>
      <c r="T235" s="1" t="s">
        <v>1913</v>
      </c>
      <c r="U235" s="8" t="s">
        <v>1882</v>
      </c>
      <c r="V235" s="1" t="s">
        <v>204</v>
      </c>
      <c r="W235" s="1" t="s">
        <v>203</v>
      </c>
      <c r="X235" s="2" t="s">
        <v>1888</v>
      </c>
      <c r="Y235" s="14">
        <v>45868</v>
      </c>
      <c r="Z235" s="14">
        <v>45873</v>
      </c>
      <c r="AA235" s="4">
        <v>45868</v>
      </c>
      <c r="AB235" s="4">
        <v>45868</v>
      </c>
      <c r="AC235" s="14">
        <v>45869</v>
      </c>
      <c r="AD235" s="2" t="s">
        <v>1880</v>
      </c>
      <c r="AE235" s="2">
        <v>412656880</v>
      </c>
      <c r="AF235" s="2">
        <v>1</v>
      </c>
      <c r="AG235" s="2">
        <v>2</v>
      </c>
      <c r="AH235" s="2"/>
      <c r="AI235" s="2" t="s">
        <v>179</v>
      </c>
      <c r="AJ235" s="2"/>
      <c r="AK235" s="4">
        <v>45867</v>
      </c>
      <c r="AL235" s="14">
        <v>45867</v>
      </c>
      <c r="AM235" s="14">
        <v>45868</v>
      </c>
      <c r="AN235" s="2"/>
      <c r="AO235" s="2">
        <v>3580369</v>
      </c>
      <c r="AP235" s="14">
        <v>45868</v>
      </c>
      <c r="AQ235" s="14">
        <v>45869</v>
      </c>
      <c r="AS235" s="14">
        <v>45870</v>
      </c>
      <c r="AT235" s="44">
        <v>51010</v>
      </c>
      <c r="AU235" s="1" t="s">
        <v>74</v>
      </c>
      <c r="AV235" s="14">
        <v>45870</v>
      </c>
      <c r="AW235" s="14">
        <v>45870</v>
      </c>
      <c r="AY235" s="2">
        <v>3668537</v>
      </c>
      <c r="AZ235" s="32">
        <v>45873</v>
      </c>
      <c r="BA235" s="1">
        <v>710892</v>
      </c>
      <c r="BB235" s="2">
        <v>127961</v>
      </c>
      <c r="BC235" s="5">
        <v>45873</v>
      </c>
      <c r="BD235" s="14">
        <v>45874</v>
      </c>
      <c r="BF235" s="5">
        <v>45874</v>
      </c>
      <c r="BG235" s="5">
        <v>45875</v>
      </c>
      <c r="BH235" s="1" t="s">
        <v>1082</v>
      </c>
      <c r="BI235" s="1" t="s">
        <v>282</v>
      </c>
      <c r="BQ235" s="14">
        <v>45870</v>
      </c>
      <c r="BR235" s="5">
        <v>45870</v>
      </c>
    </row>
    <row r="236" spans="1:70" ht="18" customHeight="1" x14ac:dyDescent="0.3">
      <c r="A236" s="2">
        <v>236</v>
      </c>
      <c r="B236" s="2">
        <v>6945050</v>
      </c>
      <c r="C236" s="111">
        <v>45835</v>
      </c>
      <c r="D236" s="2">
        <v>47068</v>
      </c>
      <c r="E236" s="2" t="s">
        <v>840</v>
      </c>
      <c r="F236" s="8" t="s">
        <v>1441</v>
      </c>
      <c r="G236" s="8" t="s">
        <v>1186</v>
      </c>
      <c r="H236" s="8" t="s">
        <v>740</v>
      </c>
      <c r="I236" s="83">
        <v>50660</v>
      </c>
      <c r="J236" s="2" t="s">
        <v>142</v>
      </c>
      <c r="K236" s="2" t="s">
        <v>126</v>
      </c>
      <c r="L236" s="2" t="s">
        <v>854</v>
      </c>
      <c r="M236" s="78">
        <v>45846</v>
      </c>
      <c r="N236" s="56" t="s">
        <v>1943</v>
      </c>
      <c r="Q236" s="67">
        <f t="shared" ref="Q236:Q246" si="25">AQ236-AB236</f>
        <v>2</v>
      </c>
      <c r="R236" s="29">
        <f t="shared" si="21"/>
        <v>28</v>
      </c>
      <c r="T236" s="1"/>
      <c r="U236" s="8" t="s">
        <v>1576</v>
      </c>
      <c r="V236" s="2" t="s">
        <v>239</v>
      </c>
      <c r="W236" s="64" t="s">
        <v>454</v>
      </c>
      <c r="X236" s="2">
        <v>20255078386</v>
      </c>
      <c r="Y236" s="14">
        <v>45841</v>
      </c>
      <c r="Z236" s="14">
        <v>45847</v>
      </c>
      <c r="AA236" s="4">
        <v>45846</v>
      </c>
      <c r="AB236" s="4">
        <v>45846</v>
      </c>
      <c r="AC236" s="14">
        <v>45848</v>
      </c>
      <c r="AD236" s="2" t="s">
        <v>1577</v>
      </c>
      <c r="AE236" s="2" t="s">
        <v>1578</v>
      </c>
      <c r="AF236" s="2">
        <v>1</v>
      </c>
      <c r="AG236" s="2">
        <v>165</v>
      </c>
      <c r="AH236" s="2"/>
      <c r="AI236" s="2" t="s">
        <v>180</v>
      </c>
      <c r="AJ236" s="2"/>
      <c r="AK236" s="4">
        <v>45843</v>
      </c>
      <c r="AL236" s="14">
        <v>45845</v>
      </c>
      <c r="AM236" s="14">
        <v>45845</v>
      </c>
      <c r="AN236" s="2"/>
      <c r="AO236" s="2">
        <v>3137781</v>
      </c>
      <c r="AP236" s="14">
        <v>45846</v>
      </c>
      <c r="AQ236" s="14">
        <v>45848</v>
      </c>
      <c r="AR236" s="15" t="s">
        <v>1924</v>
      </c>
      <c r="AS236" s="14">
        <v>45849</v>
      </c>
      <c r="AT236" s="44">
        <v>50747</v>
      </c>
      <c r="AU236" s="1" t="s">
        <v>74</v>
      </c>
      <c r="AV236" s="14">
        <v>45849</v>
      </c>
      <c r="AW236" s="14">
        <v>45852</v>
      </c>
      <c r="AY236" s="2">
        <v>3690728</v>
      </c>
      <c r="AZ236" s="32">
        <v>45874</v>
      </c>
      <c r="BA236" s="1">
        <v>4085502</v>
      </c>
      <c r="BB236" s="2">
        <v>735390</v>
      </c>
      <c r="BC236" s="5">
        <v>45874</v>
      </c>
      <c r="BD236" s="14">
        <v>45874</v>
      </c>
      <c r="BF236" s="5">
        <v>45875</v>
      </c>
      <c r="BG236" s="5">
        <v>45876</v>
      </c>
      <c r="BH236" s="1" t="s">
        <v>1942</v>
      </c>
      <c r="BI236" s="1" t="s">
        <v>282</v>
      </c>
      <c r="BQ236" s="14">
        <v>45852</v>
      </c>
      <c r="BR236" s="5">
        <v>45873</v>
      </c>
    </row>
    <row r="237" spans="1:70" ht="18" customHeight="1" x14ac:dyDescent="0.3">
      <c r="A237" s="2">
        <v>237</v>
      </c>
      <c r="B237" s="2">
        <v>6944220</v>
      </c>
      <c r="C237" s="111">
        <v>45838</v>
      </c>
      <c r="D237" s="2">
        <v>57154</v>
      </c>
      <c r="E237" s="2" t="s">
        <v>840</v>
      </c>
      <c r="F237" s="8" t="s">
        <v>1441</v>
      </c>
      <c r="G237" s="8" t="s">
        <v>1186</v>
      </c>
      <c r="H237" s="8" t="s">
        <v>1747</v>
      </c>
      <c r="I237" s="83">
        <v>50802</v>
      </c>
      <c r="J237" s="2" t="s">
        <v>142</v>
      </c>
      <c r="K237" s="2" t="s">
        <v>126</v>
      </c>
      <c r="L237" s="2" t="s">
        <v>854</v>
      </c>
      <c r="M237" s="78">
        <v>45858</v>
      </c>
      <c r="N237" s="56" t="s">
        <v>1943</v>
      </c>
      <c r="Q237" s="67">
        <f t="shared" si="25"/>
        <v>3</v>
      </c>
      <c r="R237" s="29">
        <f t="shared" si="21"/>
        <v>15</v>
      </c>
      <c r="T237" s="1"/>
      <c r="U237" s="1" t="s">
        <v>1748</v>
      </c>
      <c r="V237" s="2" t="s">
        <v>239</v>
      </c>
      <c r="W237" s="64" t="s">
        <v>454</v>
      </c>
      <c r="X237" s="2">
        <v>20255082564</v>
      </c>
      <c r="Y237" s="14">
        <v>45852</v>
      </c>
      <c r="Z237" s="14">
        <v>45856</v>
      </c>
      <c r="AA237" s="4">
        <v>45858</v>
      </c>
      <c r="AB237" s="4">
        <v>45858</v>
      </c>
      <c r="AC237" s="14">
        <v>45861</v>
      </c>
      <c r="AD237" s="2">
        <v>23210582913</v>
      </c>
      <c r="AE237" s="2" t="s">
        <v>1749</v>
      </c>
      <c r="AF237" s="2">
        <v>1</v>
      </c>
      <c r="AG237" s="2">
        <v>199</v>
      </c>
      <c r="AH237" s="2"/>
      <c r="AI237" s="2" t="s">
        <v>629</v>
      </c>
      <c r="AJ237" s="2"/>
      <c r="AK237" s="4">
        <v>45854</v>
      </c>
      <c r="AL237" s="14">
        <v>45854</v>
      </c>
      <c r="AM237" s="4">
        <v>45854</v>
      </c>
      <c r="AN237" s="2"/>
      <c r="AO237" s="2">
        <v>3402555</v>
      </c>
      <c r="AP237" s="14">
        <v>45859</v>
      </c>
      <c r="AQ237" s="14">
        <v>45861</v>
      </c>
      <c r="AR237" s="15" t="s">
        <v>1916</v>
      </c>
      <c r="AS237" s="14">
        <v>45864</v>
      </c>
      <c r="AT237" s="44">
        <v>50946</v>
      </c>
      <c r="AU237" s="1" t="s">
        <v>74</v>
      </c>
      <c r="AV237" s="14">
        <v>45864</v>
      </c>
      <c r="AW237" s="14">
        <v>45866</v>
      </c>
      <c r="AY237" s="2">
        <v>3690730</v>
      </c>
      <c r="AZ237" s="32">
        <v>45874</v>
      </c>
      <c r="BA237" s="1">
        <v>4960967</v>
      </c>
      <c r="BB237" s="2">
        <v>892974</v>
      </c>
      <c r="BC237" s="5">
        <v>45874</v>
      </c>
      <c r="BD237" s="14">
        <v>45874</v>
      </c>
      <c r="BF237" s="5">
        <v>45875</v>
      </c>
      <c r="BG237" s="5">
        <v>45876</v>
      </c>
      <c r="BH237" s="1" t="s">
        <v>1942</v>
      </c>
      <c r="BI237" s="1" t="s">
        <v>273</v>
      </c>
      <c r="BQ237" s="14">
        <v>45866</v>
      </c>
      <c r="BR237" s="5">
        <v>45869</v>
      </c>
    </row>
    <row r="238" spans="1:70" ht="18" customHeight="1" x14ac:dyDescent="0.3">
      <c r="A238" s="2">
        <v>238</v>
      </c>
      <c r="B238" s="2">
        <v>250708436</v>
      </c>
      <c r="C238" s="111">
        <v>45852</v>
      </c>
      <c r="D238" s="2">
        <v>72663.240000000005</v>
      </c>
      <c r="E238" s="2" t="s">
        <v>677</v>
      </c>
      <c r="F238" s="2" t="s">
        <v>1260</v>
      </c>
      <c r="G238" s="2" t="s">
        <v>830</v>
      </c>
      <c r="H238" s="2">
        <v>12</v>
      </c>
      <c r="I238" s="83">
        <v>50800</v>
      </c>
      <c r="J238" s="2" t="s">
        <v>142</v>
      </c>
      <c r="K238" s="2" t="s">
        <v>126</v>
      </c>
      <c r="L238" s="2" t="s">
        <v>854</v>
      </c>
      <c r="M238" s="78">
        <v>45857</v>
      </c>
      <c r="N238" s="56" t="s">
        <v>1945</v>
      </c>
      <c r="Q238" s="67">
        <f t="shared" si="25"/>
        <v>4</v>
      </c>
      <c r="R238" s="29">
        <f t="shared" si="21"/>
        <v>15</v>
      </c>
      <c r="T238" s="1"/>
      <c r="U238" s="1" t="s">
        <v>833</v>
      </c>
      <c r="V238" s="2" t="s">
        <v>755</v>
      </c>
      <c r="W238" s="1" t="s">
        <v>827</v>
      </c>
      <c r="X238" s="2" t="s">
        <v>1743</v>
      </c>
      <c r="Y238" s="14">
        <v>45854</v>
      </c>
      <c r="Z238" s="14">
        <v>45856</v>
      </c>
      <c r="AA238" s="4">
        <v>45857</v>
      </c>
      <c r="AB238" s="4">
        <v>45857</v>
      </c>
      <c r="AC238" s="14">
        <v>45861</v>
      </c>
      <c r="AD238" s="2">
        <v>60739389560</v>
      </c>
      <c r="AE238" s="2">
        <v>4840721702</v>
      </c>
      <c r="AF238" s="2">
        <v>1</v>
      </c>
      <c r="AG238" s="2">
        <v>61.5</v>
      </c>
      <c r="AH238" s="2"/>
      <c r="AI238" s="2" t="s">
        <v>179</v>
      </c>
      <c r="AJ238" s="2"/>
      <c r="AK238" s="4">
        <v>45854</v>
      </c>
      <c r="AL238" s="14">
        <v>45854</v>
      </c>
      <c r="AM238" s="4">
        <v>45854</v>
      </c>
      <c r="AN238" s="2"/>
      <c r="AO238" s="2">
        <v>3401368</v>
      </c>
      <c r="AP238" s="14">
        <v>45859</v>
      </c>
      <c r="AQ238" s="14">
        <v>45861</v>
      </c>
      <c r="AR238" s="15" t="s">
        <v>1929</v>
      </c>
      <c r="AS238" s="14">
        <v>45863</v>
      </c>
      <c r="AT238" s="44">
        <v>50928</v>
      </c>
      <c r="AU238" s="1" t="s">
        <v>74</v>
      </c>
      <c r="AV238" s="14">
        <v>45863</v>
      </c>
      <c r="AW238" s="14">
        <v>45863</v>
      </c>
      <c r="AY238" s="2">
        <v>3529992</v>
      </c>
      <c r="AZ238" s="32">
        <v>45866</v>
      </c>
      <c r="BA238" s="1">
        <v>6307169</v>
      </c>
      <c r="BB238" s="2">
        <v>1135291</v>
      </c>
      <c r="BC238" s="5">
        <v>45866</v>
      </c>
      <c r="BD238" s="14">
        <v>45866</v>
      </c>
      <c r="BF238" s="5">
        <v>45867</v>
      </c>
      <c r="BG238" s="5">
        <v>45876</v>
      </c>
      <c r="BH238" s="1" t="s">
        <v>1944</v>
      </c>
      <c r="BI238" s="1" t="s">
        <v>273</v>
      </c>
      <c r="BQ238" s="14">
        <v>45863</v>
      </c>
      <c r="BR238" s="14">
        <v>45863</v>
      </c>
    </row>
    <row r="239" spans="1:70" ht="18" customHeight="1" x14ac:dyDescent="0.3">
      <c r="A239" s="2">
        <v>239</v>
      </c>
      <c r="B239" s="2">
        <v>250708432</v>
      </c>
      <c r="C239" s="111">
        <v>45852</v>
      </c>
      <c r="D239" s="2">
        <v>31782.720000000001</v>
      </c>
      <c r="E239" s="2" t="s">
        <v>677</v>
      </c>
      <c r="F239" s="2" t="s">
        <v>1701</v>
      </c>
      <c r="G239" s="2" t="s">
        <v>323</v>
      </c>
      <c r="H239" s="2">
        <v>12</v>
      </c>
      <c r="I239" s="83">
        <v>50801</v>
      </c>
      <c r="J239" s="2" t="s">
        <v>142</v>
      </c>
      <c r="K239" s="2" t="s">
        <v>126</v>
      </c>
      <c r="L239" s="2" t="s">
        <v>854</v>
      </c>
      <c r="M239" s="78">
        <v>45857</v>
      </c>
      <c r="N239" s="56" t="s">
        <v>1945</v>
      </c>
      <c r="Q239" s="67">
        <f t="shared" si="25"/>
        <v>4</v>
      </c>
      <c r="R239" s="29">
        <f t="shared" si="21"/>
        <v>15</v>
      </c>
      <c r="T239" s="1"/>
      <c r="U239" s="1" t="s">
        <v>833</v>
      </c>
      <c r="V239" s="2" t="s">
        <v>755</v>
      </c>
      <c r="W239" s="1" t="s">
        <v>827</v>
      </c>
      <c r="X239" s="2" t="s">
        <v>1746</v>
      </c>
      <c r="Y239" s="14">
        <v>45854</v>
      </c>
      <c r="Z239" s="14">
        <v>45856</v>
      </c>
      <c r="AA239" s="4">
        <v>45857</v>
      </c>
      <c r="AB239" s="4">
        <v>45857</v>
      </c>
      <c r="AC239" s="14">
        <v>45861</v>
      </c>
      <c r="AD239" s="2">
        <v>60739389560</v>
      </c>
      <c r="AE239" s="2">
        <v>4840721701</v>
      </c>
      <c r="AF239" s="2">
        <v>1</v>
      </c>
      <c r="AG239" s="2">
        <v>47.5</v>
      </c>
      <c r="AH239" s="2"/>
      <c r="AI239" s="2" t="s">
        <v>179</v>
      </c>
      <c r="AJ239" s="2"/>
      <c r="AK239" s="4">
        <v>45854</v>
      </c>
      <c r="AL239" s="14">
        <v>45854</v>
      </c>
      <c r="AM239" s="4">
        <v>45854</v>
      </c>
      <c r="AN239" s="2"/>
      <c r="AO239" s="2">
        <v>3401744</v>
      </c>
      <c r="AP239" s="14">
        <v>45859</v>
      </c>
      <c r="AQ239" s="14">
        <v>45861</v>
      </c>
      <c r="AR239" s="15" t="s">
        <v>1930</v>
      </c>
      <c r="AS239" s="14">
        <v>45863</v>
      </c>
      <c r="AT239" s="44">
        <v>50929</v>
      </c>
      <c r="AU239" s="1" t="s">
        <v>74</v>
      </c>
      <c r="AV239" s="14">
        <v>45863</v>
      </c>
      <c r="AW239" s="14">
        <v>45863</v>
      </c>
      <c r="AY239" s="2">
        <v>3529990</v>
      </c>
      <c r="AZ239" s="32">
        <v>45866</v>
      </c>
      <c r="BA239" s="1">
        <v>2758740</v>
      </c>
      <c r="BB239" s="2">
        <v>496573</v>
      </c>
      <c r="BC239" s="5">
        <v>45866</v>
      </c>
      <c r="BD239" s="14">
        <v>45866</v>
      </c>
      <c r="BF239" s="5">
        <v>45867</v>
      </c>
      <c r="BG239" s="5">
        <v>45876</v>
      </c>
      <c r="BH239" s="1" t="s">
        <v>1944</v>
      </c>
      <c r="BI239" s="1" t="s">
        <v>273</v>
      </c>
      <c r="BQ239" s="14">
        <v>45863</v>
      </c>
      <c r="BR239" s="14">
        <v>45863</v>
      </c>
    </row>
    <row r="240" spans="1:70" ht="18" customHeight="1" x14ac:dyDescent="0.3">
      <c r="A240" s="2">
        <v>240</v>
      </c>
      <c r="B240" s="2">
        <v>250712361</v>
      </c>
      <c r="C240" s="111">
        <v>45856</v>
      </c>
      <c r="D240" s="2">
        <v>234513.6</v>
      </c>
      <c r="E240" s="2" t="s">
        <v>677</v>
      </c>
      <c r="F240" s="2" t="s">
        <v>1816</v>
      </c>
      <c r="G240" s="2" t="s">
        <v>1815</v>
      </c>
      <c r="H240" s="2">
        <v>5</v>
      </c>
      <c r="I240" s="83">
        <v>50889</v>
      </c>
      <c r="J240" s="2" t="s">
        <v>142</v>
      </c>
      <c r="K240" s="2" t="s">
        <v>126</v>
      </c>
      <c r="L240" s="2" t="s">
        <v>854</v>
      </c>
      <c r="M240" s="78">
        <v>45862</v>
      </c>
      <c r="N240" s="56" t="s">
        <v>1946</v>
      </c>
      <c r="Q240" s="67">
        <f t="shared" si="25"/>
        <v>2</v>
      </c>
      <c r="R240" s="29">
        <f t="shared" si="21"/>
        <v>12</v>
      </c>
      <c r="T240" s="1"/>
      <c r="U240" s="1" t="s">
        <v>1829</v>
      </c>
      <c r="V240" s="2" t="s">
        <v>755</v>
      </c>
      <c r="W240" s="1" t="s">
        <v>827</v>
      </c>
      <c r="X240" s="2" t="s">
        <v>1817</v>
      </c>
      <c r="Y240" s="14">
        <v>45860</v>
      </c>
      <c r="Z240" s="14">
        <v>45864</v>
      </c>
      <c r="AA240" s="4">
        <v>45862</v>
      </c>
      <c r="AB240" s="4">
        <v>45862</v>
      </c>
      <c r="AC240" s="14">
        <v>45864</v>
      </c>
      <c r="AD240" s="2" t="s">
        <v>1792</v>
      </c>
      <c r="AE240" s="2">
        <v>4840722584</v>
      </c>
      <c r="AF240" s="2">
        <v>5</v>
      </c>
      <c r="AG240" s="2">
        <v>15</v>
      </c>
      <c r="AH240" s="2"/>
      <c r="AI240" s="2" t="s">
        <v>179</v>
      </c>
      <c r="AJ240" s="2"/>
      <c r="AK240" s="4">
        <v>45860</v>
      </c>
      <c r="AL240" s="14">
        <v>45861</v>
      </c>
      <c r="AM240" s="14">
        <v>45861</v>
      </c>
      <c r="AN240" s="2"/>
      <c r="AO240" s="2">
        <v>3461309</v>
      </c>
      <c r="AP240" s="14">
        <v>45862</v>
      </c>
      <c r="AQ240" s="14">
        <v>45864</v>
      </c>
      <c r="AR240" s="15" t="s">
        <v>1936</v>
      </c>
      <c r="AS240" s="14">
        <v>45866</v>
      </c>
      <c r="AT240" s="44">
        <v>50967</v>
      </c>
      <c r="AU240" s="1" t="s">
        <v>74</v>
      </c>
      <c r="AV240" s="14">
        <v>45866</v>
      </c>
      <c r="AW240" s="14">
        <v>45867</v>
      </c>
      <c r="AY240" s="2">
        <v>3575385</v>
      </c>
      <c r="AZ240" s="32">
        <v>45868</v>
      </c>
      <c r="BA240" s="1">
        <v>20355780</v>
      </c>
      <c r="BB240" s="2">
        <v>3664041</v>
      </c>
      <c r="BC240" s="5">
        <v>45868</v>
      </c>
      <c r="BD240" s="14">
        <v>45868</v>
      </c>
      <c r="BF240" s="5">
        <v>45870</v>
      </c>
      <c r="BG240" s="5">
        <v>45876</v>
      </c>
      <c r="BH240" s="1" t="s">
        <v>1944</v>
      </c>
      <c r="BI240" s="1" t="s">
        <v>273</v>
      </c>
      <c r="BQ240" s="14">
        <v>45867</v>
      </c>
      <c r="BR240" s="14">
        <v>45867</v>
      </c>
    </row>
    <row r="241" spans="1:70" ht="18" customHeight="1" x14ac:dyDescent="0.3">
      <c r="A241" s="2">
        <v>241</v>
      </c>
      <c r="B241" s="2">
        <v>250713915</v>
      </c>
      <c r="C241" s="111">
        <v>45860</v>
      </c>
      <c r="D241" s="2">
        <v>46902.720000000001</v>
      </c>
      <c r="E241" s="2" t="s">
        <v>677</v>
      </c>
      <c r="F241" s="2" t="s">
        <v>1816</v>
      </c>
      <c r="G241" s="2" t="s">
        <v>1828</v>
      </c>
      <c r="H241" s="2">
        <v>1</v>
      </c>
      <c r="I241" s="83">
        <v>50907</v>
      </c>
      <c r="J241" s="2" t="s">
        <v>142</v>
      </c>
      <c r="K241" s="2" t="s">
        <v>126</v>
      </c>
      <c r="L241" s="2" t="s">
        <v>854</v>
      </c>
      <c r="M241" s="78">
        <v>45863</v>
      </c>
      <c r="N241" s="56" t="s">
        <v>1947</v>
      </c>
      <c r="O241" s="1">
        <v>3492</v>
      </c>
      <c r="Q241" s="67">
        <f t="shared" si="25"/>
        <v>4</v>
      </c>
      <c r="R241" s="29">
        <f t="shared" si="21"/>
        <v>9</v>
      </c>
      <c r="T241" s="1"/>
      <c r="U241" s="1" t="s">
        <v>1829</v>
      </c>
      <c r="V241" s="2" t="s">
        <v>755</v>
      </c>
      <c r="W241" s="1" t="s">
        <v>827</v>
      </c>
      <c r="X241" s="2" t="s">
        <v>1830</v>
      </c>
      <c r="Y241" s="14">
        <v>45861</v>
      </c>
      <c r="Z241" s="14">
        <v>45864</v>
      </c>
      <c r="AA241" s="4">
        <v>45863</v>
      </c>
      <c r="AB241" s="4">
        <v>45863</v>
      </c>
      <c r="AC241" s="14">
        <v>45867</v>
      </c>
      <c r="AD241" s="2" t="s">
        <v>1831</v>
      </c>
      <c r="AE241" s="2">
        <v>4840722964</v>
      </c>
      <c r="AF241" s="2">
        <v>1</v>
      </c>
      <c r="AG241" s="2">
        <v>3</v>
      </c>
      <c r="AH241" s="2"/>
      <c r="AI241" s="2" t="s">
        <v>179</v>
      </c>
      <c r="AJ241" s="2"/>
      <c r="AK241" s="4">
        <v>45862</v>
      </c>
      <c r="AL241" s="14">
        <v>45862</v>
      </c>
      <c r="AM241" s="14">
        <v>45862</v>
      </c>
      <c r="AN241" s="2"/>
      <c r="AO241" s="2">
        <v>3506933</v>
      </c>
      <c r="AP241" s="14">
        <v>45864</v>
      </c>
      <c r="AQ241" s="14">
        <v>45867</v>
      </c>
      <c r="AR241" s="15" t="s">
        <v>1934</v>
      </c>
      <c r="AS241" s="14">
        <v>45868</v>
      </c>
      <c r="AT241" s="44">
        <v>50982</v>
      </c>
      <c r="AU241" s="1" t="s">
        <v>74</v>
      </c>
      <c r="AV241" s="14">
        <v>45868</v>
      </c>
      <c r="AW241" s="14">
        <v>45869</v>
      </c>
      <c r="AY241" s="2">
        <v>3668536</v>
      </c>
      <c r="AZ241" s="32">
        <v>45873</v>
      </c>
      <c r="BA241" s="1">
        <v>4071156</v>
      </c>
      <c r="BB241" s="2">
        <v>732808</v>
      </c>
      <c r="BC241" s="5">
        <v>45873</v>
      </c>
      <c r="BD241" s="14">
        <v>45873</v>
      </c>
      <c r="BF241" s="5">
        <v>45874</v>
      </c>
      <c r="BG241" s="5">
        <v>45876</v>
      </c>
      <c r="BH241" s="1" t="s">
        <v>1944</v>
      </c>
      <c r="BI241" s="1" t="s">
        <v>273</v>
      </c>
      <c r="BQ241" s="14">
        <v>45869</v>
      </c>
      <c r="BR241" s="5">
        <v>45869</v>
      </c>
    </row>
    <row r="242" spans="1:70" ht="18" customHeight="1" x14ac:dyDescent="0.3">
      <c r="A242" s="2">
        <v>242</v>
      </c>
      <c r="B242" s="2">
        <v>250713955</v>
      </c>
      <c r="C242" s="111">
        <v>45860</v>
      </c>
      <c r="D242" s="2">
        <v>1019005</v>
      </c>
      <c r="E242" s="2" t="s">
        <v>677</v>
      </c>
      <c r="F242" s="2" t="s">
        <v>1832</v>
      </c>
      <c r="G242" s="2" t="s">
        <v>1833</v>
      </c>
      <c r="H242" s="2">
        <v>20</v>
      </c>
      <c r="I242" s="83">
        <v>50908</v>
      </c>
      <c r="J242" s="2" t="s">
        <v>142</v>
      </c>
      <c r="K242" s="2" t="s">
        <v>126</v>
      </c>
      <c r="L242" s="2" t="s">
        <v>854</v>
      </c>
      <c r="M242" s="78">
        <v>45863</v>
      </c>
      <c r="N242" s="56" t="s">
        <v>1948</v>
      </c>
      <c r="O242" s="1">
        <v>3492</v>
      </c>
      <c r="Q242" s="67">
        <f t="shared" si="25"/>
        <v>4</v>
      </c>
      <c r="R242" s="29">
        <f t="shared" si="21"/>
        <v>9</v>
      </c>
      <c r="T242" s="1"/>
      <c r="U242" s="1" t="s">
        <v>1199</v>
      </c>
      <c r="V242" s="2" t="s">
        <v>755</v>
      </c>
      <c r="W242" s="1" t="s">
        <v>827</v>
      </c>
      <c r="X242" s="2" t="s">
        <v>1834</v>
      </c>
      <c r="Y242" s="14">
        <v>45861</v>
      </c>
      <c r="Z242" s="14">
        <v>45864</v>
      </c>
      <c r="AA242" s="4">
        <v>45863</v>
      </c>
      <c r="AB242" s="4">
        <v>45863</v>
      </c>
      <c r="AC242" s="14">
        <v>45867</v>
      </c>
      <c r="AD242" s="2" t="s">
        <v>1831</v>
      </c>
      <c r="AE242" s="2">
        <v>4840722963</v>
      </c>
      <c r="AF242" s="2">
        <v>1</v>
      </c>
      <c r="AG242" s="2">
        <v>77</v>
      </c>
      <c r="AH242" s="2"/>
      <c r="AI242" s="2" t="s">
        <v>179</v>
      </c>
      <c r="AJ242" s="2"/>
      <c r="AK242" s="4">
        <v>45862</v>
      </c>
      <c r="AL242" s="14">
        <v>45862</v>
      </c>
      <c r="AM242" s="14">
        <v>45862</v>
      </c>
      <c r="AN242" s="2"/>
      <c r="AO242" s="2">
        <v>3501920</v>
      </c>
      <c r="AP242" s="14">
        <v>45864</v>
      </c>
      <c r="AQ242" s="14">
        <v>45867</v>
      </c>
      <c r="AR242" s="15" t="s">
        <v>1935</v>
      </c>
      <c r="AS242" s="14">
        <v>45868</v>
      </c>
      <c r="AT242" s="44">
        <v>50985</v>
      </c>
      <c r="AU242" s="1" t="s">
        <v>74</v>
      </c>
      <c r="AV242" s="14">
        <v>45868</v>
      </c>
      <c r="AW242" s="14">
        <v>56826</v>
      </c>
      <c r="AY242" s="2">
        <v>3668535</v>
      </c>
      <c r="AZ242" s="32">
        <v>45873</v>
      </c>
      <c r="BA242" s="1">
        <v>88449634</v>
      </c>
      <c r="BB242" s="2">
        <v>15920934</v>
      </c>
      <c r="BC242" s="5">
        <v>45873</v>
      </c>
      <c r="BD242" s="14">
        <v>45873</v>
      </c>
      <c r="BF242" s="5">
        <v>45874</v>
      </c>
      <c r="BG242" s="5">
        <v>45876</v>
      </c>
      <c r="BH242" s="1" t="s">
        <v>1944</v>
      </c>
      <c r="BI242" s="1" t="s">
        <v>273</v>
      </c>
      <c r="BQ242" s="14">
        <v>45869</v>
      </c>
      <c r="BR242" s="14">
        <v>45869</v>
      </c>
    </row>
    <row r="243" spans="1:70" ht="18" customHeight="1" x14ac:dyDescent="0.3">
      <c r="A243" s="2">
        <v>243</v>
      </c>
      <c r="B243" s="2">
        <v>250715213</v>
      </c>
      <c r="C243" s="111">
        <v>45861</v>
      </c>
      <c r="D243" s="2">
        <v>389662.2</v>
      </c>
      <c r="E243" s="2" t="s">
        <v>677</v>
      </c>
      <c r="F243" s="2" t="s">
        <v>136</v>
      </c>
      <c r="G243" s="2" t="s">
        <v>946</v>
      </c>
      <c r="H243" s="2">
        <v>12</v>
      </c>
      <c r="I243" s="83">
        <v>50955</v>
      </c>
      <c r="J243" s="2" t="s">
        <v>142</v>
      </c>
      <c r="K243" s="2" t="s">
        <v>126</v>
      </c>
      <c r="L243" s="2" t="s">
        <v>854</v>
      </c>
      <c r="M243" s="78">
        <v>45867</v>
      </c>
      <c r="N243" s="56" t="s">
        <v>1949</v>
      </c>
      <c r="Q243" s="67">
        <f t="shared" si="25"/>
        <v>2</v>
      </c>
      <c r="R243" s="29">
        <f t="shared" si="21"/>
        <v>7</v>
      </c>
      <c r="T243" s="1"/>
      <c r="U243" s="8" t="s">
        <v>1869</v>
      </c>
      <c r="V243" s="2" t="s">
        <v>1179</v>
      </c>
      <c r="W243" s="64" t="s">
        <v>948</v>
      </c>
      <c r="X243" s="2" t="s">
        <v>1870</v>
      </c>
      <c r="Y243" s="14">
        <v>45863</v>
      </c>
      <c r="Z243" s="14">
        <v>45868</v>
      </c>
      <c r="AA243" s="4">
        <v>45867</v>
      </c>
      <c r="AB243" s="4">
        <v>45867</v>
      </c>
      <c r="AC243" s="14">
        <v>45869</v>
      </c>
      <c r="AD243" s="2" t="s">
        <v>1871</v>
      </c>
      <c r="AE243" s="2">
        <v>4840723237</v>
      </c>
      <c r="AF243" s="2">
        <v>1</v>
      </c>
      <c r="AG243" s="2">
        <v>97.5</v>
      </c>
      <c r="AH243" s="2"/>
      <c r="AI243" s="2" t="s">
        <v>179</v>
      </c>
      <c r="AJ243" s="2"/>
      <c r="AK243" s="4">
        <v>45865</v>
      </c>
      <c r="AL243" s="14">
        <v>45866</v>
      </c>
      <c r="AM243" s="14">
        <v>45866</v>
      </c>
      <c r="AN243" s="2"/>
      <c r="AO243" s="2">
        <v>3557691</v>
      </c>
      <c r="AP243" s="14">
        <v>45867</v>
      </c>
      <c r="AQ243" s="14">
        <v>45869</v>
      </c>
      <c r="AR243" s="15" t="s">
        <v>1932</v>
      </c>
      <c r="AS243" s="14">
        <v>45870</v>
      </c>
      <c r="AT243" s="44">
        <v>51006</v>
      </c>
      <c r="AU243" s="1" t="s">
        <v>74</v>
      </c>
      <c r="AV243" s="14">
        <v>45870</v>
      </c>
      <c r="AW243" s="14">
        <v>45870</v>
      </c>
      <c r="AY243" s="2">
        <v>3690279</v>
      </c>
      <c r="AZ243" s="32">
        <v>45874</v>
      </c>
      <c r="BA243" s="1">
        <v>33822679</v>
      </c>
      <c r="BB243" s="2">
        <v>6088082</v>
      </c>
      <c r="BC243" s="5">
        <v>45874</v>
      </c>
      <c r="BD243" s="14">
        <v>45874</v>
      </c>
      <c r="BF243" s="5">
        <v>45875</v>
      </c>
      <c r="BG243" s="5">
        <v>45876</v>
      </c>
      <c r="BH243" s="1" t="s">
        <v>1944</v>
      </c>
      <c r="BI243" s="1" t="s">
        <v>273</v>
      </c>
      <c r="BQ243" s="14">
        <v>45870</v>
      </c>
      <c r="BR243" s="5">
        <v>45873</v>
      </c>
    </row>
    <row r="244" spans="1:70" ht="18" customHeight="1" x14ac:dyDescent="0.3">
      <c r="A244" s="2">
        <v>244</v>
      </c>
      <c r="B244" s="2">
        <v>250716149</v>
      </c>
      <c r="C244" s="111">
        <v>45862</v>
      </c>
      <c r="D244" s="2">
        <v>254751.25</v>
      </c>
      <c r="E244" s="2" t="s">
        <v>677</v>
      </c>
      <c r="F244" s="2" t="s">
        <v>1832</v>
      </c>
      <c r="G244" s="2" t="s">
        <v>1833</v>
      </c>
      <c r="H244" s="2">
        <v>5</v>
      </c>
      <c r="I244" s="83">
        <v>50956</v>
      </c>
      <c r="J244" s="2" t="s">
        <v>142</v>
      </c>
      <c r="K244" s="2" t="s">
        <v>126</v>
      </c>
      <c r="L244" s="2" t="s">
        <v>854</v>
      </c>
      <c r="M244" s="78">
        <v>45867</v>
      </c>
      <c r="N244" s="56" t="s">
        <v>1949</v>
      </c>
      <c r="Q244" s="67">
        <f t="shared" si="25"/>
        <v>2</v>
      </c>
      <c r="R244" s="29">
        <f t="shared" si="21"/>
        <v>7</v>
      </c>
      <c r="T244" s="1"/>
      <c r="U244" s="1" t="s">
        <v>1199</v>
      </c>
      <c r="V244" s="2" t="s">
        <v>755</v>
      </c>
      <c r="W244" s="1" t="s">
        <v>827</v>
      </c>
      <c r="X244" s="2" t="s">
        <v>1872</v>
      </c>
      <c r="Y244" s="14">
        <v>45863</v>
      </c>
      <c r="Z244" s="14">
        <v>45868</v>
      </c>
      <c r="AA244" s="4">
        <v>45867</v>
      </c>
      <c r="AB244" s="4">
        <v>45867</v>
      </c>
      <c r="AC244" s="14">
        <v>45869</v>
      </c>
      <c r="AD244" s="2" t="s">
        <v>1871</v>
      </c>
      <c r="AE244" s="2">
        <v>4840723415</v>
      </c>
      <c r="AF244" s="2">
        <v>5</v>
      </c>
      <c r="AG244" s="2">
        <v>17</v>
      </c>
      <c r="AH244" s="2"/>
      <c r="AI244" s="2" t="s">
        <v>179</v>
      </c>
      <c r="AJ244" s="2"/>
      <c r="AK244" s="4">
        <v>45865</v>
      </c>
      <c r="AL244" s="14">
        <v>45866</v>
      </c>
      <c r="AM244" s="14">
        <v>45866</v>
      </c>
      <c r="AN244" s="2"/>
      <c r="AO244" s="2">
        <v>3557693</v>
      </c>
      <c r="AP244" s="14">
        <v>45867</v>
      </c>
      <c r="AQ244" s="14">
        <v>45869</v>
      </c>
      <c r="AR244" s="15" t="s">
        <v>1933</v>
      </c>
      <c r="AS244" s="14">
        <v>45870</v>
      </c>
      <c r="AT244" s="44">
        <v>51007</v>
      </c>
      <c r="AU244" s="1" t="s">
        <v>74</v>
      </c>
      <c r="AV244" s="14">
        <v>45870</v>
      </c>
      <c r="AW244" s="14">
        <v>45870</v>
      </c>
      <c r="AY244" s="2">
        <v>3690280</v>
      </c>
      <c r="AZ244" s="32">
        <v>45874</v>
      </c>
      <c r="BA244" s="1">
        <v>22112409</v>
      </c>
      <c r="BB244" s="2">
        <v>3980234</v>
      </c>
      <c r="BC244" s="5">
        <v>45874</v>
      </c>
      <c r="BD244" s="14">
        <v>45874</v>
      </c>
      <c r="BF244" s="5">
        <v>45875</v>
      </c>
      <c r="BG244" s="5">
        <v>45876</v>
      </c>
      <c r="BH244" s="1" t="s">
        <v>1944</v>
      </c>
      <c r="BI244" s="1" t="s">
        <v>273</v>
      </c>
      <c r="BQ244" s="14">
        <v>45870</v>
      </c>
      <c r="BR244" s="5">
        <v>45873</v>
      </c>
    </row>
    <row r="245" spans="1:70" ht="18" customHeight="1" x14ac:dyDescent="0.3">
      <c r="A245" s="2">
        <v>245</v>
      </c>
      <c r="B245" s="2">
        <v>250717201</v>
      </c>
      <c r="C245" s="111">
        <v>45863</v>
      </c>
      <c r="D245" s="2">
        <v>254751.25</v>
      </c>
      <c r="E245" s="2" t="s">
        <v>677</v>
      </c>
      <c r="F245" s="2" t="s">
        <v>1832</v>
      </c>
      <c r="G245" s="2" t="s">
        <v>1833</v>
      </c>
      <c r="H245" s="2">
        <v>5</v>
      </c>
      <c r="I245" s="83">
        <v>50957</v>
      </c>
      <c r="J245" s="2" t="s">
        <v>142</v>
      </c>
      <c r="K245" s="2" t="s">
        <v>126</v>
      </c>
      <c r="L245" s="2" t="s">
        <v>854</v>
      </c>
      <c r="M245" s="78">
        <v>45867</v>
      </c>
      <c r="N245" s="56" t="s">
        <v>1949</v>
      </c>
      <c r="Q245" s="67">
        <f t="shared" si="25"/>
        <v>2</v>
      </c>
      <c r="R245" s="29">
        <f t="shared" si="21"/>
        <v>7</v>
      </c>
      <c r="T245" s="1"/>
      <c r="U245" s="1" t="s">
        <v>1199</v>
      </c>
      <c r="V245" s="2" t="s">
        <v>755</v>
      </c>
      <c r="W245" s="1" t="s">
        <v>827</v>
      </c>
      <c r="X245" s="2" t="s">
        <v>1876</v>
      </c>
      <c r="Y245" s="14">
        <v>45867</v>
      </c>
      <c r="Z245" s="14">
        <v>45870</v>
      </c>
      <c r="AA245" s="4">
        <v>45867</v>
      </c>
      <c r="AB245" s="4">
        <v>45867</v>
      </c>
      <c r="AC245" s="14">
        <v>45869</v>
      </c>
      <c r="AD245" s="2" t="s">
        <v>1873</v>
      </c>
      <c r="AE245" s="2">
        <v>4840723721</v>
      </c>
      <c r="AF245" s="2">
        <v>5</v>
      </c>
      <c r="AG245" s="2">
        <v>16</v>
      </c>
      <c r="AH245" s="2"/>
      <c r="AI245" s="2" t="s">
        <v>179</v>
      </c>
      <c r="AJ245" s="2"/>
      <c r="AK245" s="4">
        <v>45865</v>
      </c>
      <c r="AL245" s="14">
        <v>45866</v>
      </c>
      <c r="AM245" s="14">
        <v>45866</v>
      </c>
      <c r="AN245" s="2"/>
      <c r="AO245" s="2">
        <v>3557687</v>
      </c>
      <c r="AP245" s="14">
        <v>45867</v>
      </c>
      <c r="AQ245" s="14">
        <v>45869</v>
      </c>
      <c r="AR245" s="15" t="s">
        <v>1932</v>
      </c>
      <c r="AS245" s="14">
        <v>45870</v>
      </c>
      <c r="AT245" s="44">
        <v>51008</v>
      </c>
      <c r="AU245" s="1" t="s">
        <v>74</v>
      </c>
      <c r="AV245" s="14">
        <v>45870</v>
      </c>
      <c r="AW245" s="14">
        <v>45873</v>
      </c>
      <c r="AY245" s="2">
        <v>3690278</v>
      </c>
      <c r="AZ245" s="32">
        <v>45874</v>
      </c>
      <c r="BA245" s="1">
        <v>22112409</v>
      </c>
      <c r="BB245" s="2">
        <v>3980234</v>
      </c>
      <c r="BC245" s="5">
        <v>45874</v>
      </c>
      <c r="BD245" s="14">
        <v>45874</v>
      </c>
      <c r="BF245" s="5">
        <v>45875</v>
      </c>
      <c r="BG245" s="5">
        <v>45876</v>
      </c>
      <c r="BH245" s="1" t="s">
        <v>1944</v>
      </c>
      <c r="BI245" s="1" t="s">
        <v>273</v>
      </c>
      <c r="BQ245" s="14">
        <v>45870</v>
      </c>
      <c r="BR245" s="5">
        <v>45873</v>
      </c>
    </row>
    <row r="246" spans="1:70" ht="18" customHeight="1" x14ac:dyDescent="0.3">
      <c r="A246" s="2">
        <v>246</v>
      </c>
      <c r="B246" s="2">
        <v>250718099</v>
      </c>
      <c r="C246" s="111">
        <v>45867</v>
      </c>
      <c r="D246" s="2">
        <v>54367.82</v>
      </c>
      <c r="E246" s="2" t="s">
        <v>680</v>
      </c>
      <c r="F246" s="2" t="s">
        <v>1883</v>
      </c>
      <c r="G246" s="2" t="s">
        <v>1884</v>
      </c>
      <c r="H246" s="2">
        <v>1</v>
      </c>
      <c r="I246" s="83">
        <v>50977</v>
      </c>
      <c r="J246" s="2" t="s">
        <v>142</v>
      </c>
      <c r="K246" s="2" t="s">
        <v>126</v>
      </c>
      <c r="L246" s="2" t="s">
        <v>854</v>
      </c>
      <c r="M246" s="78">
        <v>45869</v>
      </c>
      <c r="N246" s="56" t="s">
        <v>1950</v>
      </c>
      <c r="Q246" s="67">
        <f t="shared" si="25"/>
        <v>2</v>
      </c>
      <c r="R246" s="29">
        <f t="shared" si="21"/>
        <v>5</v>
      </c>
      <c r="T246" s="1"/>
      <c r="U246" s="1" t="s">
        <v>1199</v>
      </c>
      <c r="V246" s="2" t="s">
        <v>755</v>
      </c>
      <c r="W246" s="1" t="s">
        <v>827</v>
      </c>
      <c r="X246" s="2" t="s">
        <v>1887</v>
      </c>
      <c r="Y246" s="14">
        <v>45868</v>
      </c>
      <c r="Z246" s="14">
        <v>45873</v>
      </c>
      <c r="AA246" s="4">
        <v>45869</v>
      </c>
      <c r="AB246" s="4">
        <v>45869</v>
      </c>
      <c r="AC246" s="14">
        <v>45871</v>
      </c>
      <c r="AD246" s="2" t="s">
        <v>1885</v>
      </c>
      <c r="AE246" s="2">
        <v>4840723929</v>
      </c>
      <c r="AF246" s="2">
        <v>1</v>
      </c>
      <c r="AG246" s="2">
        <v>3</v>
      </c>
      <c r="AH246" s="2"/>
      <c r="AI246" s="2" t="s">
        <v>179</v>
      </c>
      <c r="AJ246" s="2"/>
      <c r="AK246" s="4">
        <v>45868</v>
      </c>
      <c r="AL246" s="14">
        <v>45868</v>
      </c>
      <c r="AM246" s="14">
        <v>45868</v>
      </c>
      <c r="AN246" s="2"/>
      <c r="AO246" s="2">
        <v>3620898</v>
      </c>
      <c r="AP246" s="14">
        <v>45870</v>
      </c>
      <c r="AQ246" s="14">
        <v>45871</v>
      </c>
      <c r="AR246" s="15" t="s">
        <v>1931</v>
      </c>
      <c r="AS246" s="14">
        <v>45871</v>
      </c>
      <c r="AT246" s="44">
        <v>51018</v>
      </c>
      <c r="AU246" s="1" t="s">
        <v>74</v>
      </c>
      <c r="AV246" s="14">
        <v>45871</v>
      </c>
      <c r="AW246" s="14">
        <v>45873</v>
      </c>
      <c r="AY246" s="2">
        <v>3690282</v>
      </c>
      <c r="AZ246" s="32">
        <v>45874</v>
      </c>
      <c r="BA246" s="1">
        <v>4719127</v>
      </c>
      <c r="BB246" s="2">
        <v>849443</v>
      </c>
      <c r="BC246" s="5">
        <v>45874</v>
      </c>
      <c r="BD246" s="14">
        <v>45874</v>
      </c>
      <c r="BF246" s="5">
        <v>45875</v>
      </c>
      <c r="BG246" s="5">
        <v>45876</v>
      </c>
      <c r="BH246" s="1" t="s">
        <v>1944</v>
      </c>
      <c r="BI246" s="1" t="s">
        <v>273</v>
      </c>
      <c r="BQ246" s="14">
        <v>45873</v>
      </c>
      <c r="BR246" s="5">
        <v>45873</v>
      </c>
    </row>
    <row r="247" spans="1:70" ht="18" customHeight="1" x14ac:dyDescent="0.3">
      <c r="A247" s="2">
        <v>247</v>
      </c>
      <c r="B247" s="2" t="s">
        <v>1811</v>
      </c>
      <c r="C247" s="111">
        <v>45848</v>
      </c>
      <c r="D247" s="2">
        <v>22295</v>
      </c>
      <c r="E247" s="2" t="s">
        <v>677</v>
      </c>
      <c r="F247" s="2" t="s">
        <v>345</v>
      </c>
      <c r="G247" s="2" t="s">
        <v>1812</v>
      </c>
      <c r="H247" s="2">
        <v>49</v>
      </c>
      <c r="I247" s="83">
        <v>50880</v>
      </c>
      <c r="J247" s="2" t="s">
        <v>142</v>
      </c>
      <c r="K247" s="2" t="s">
        <v>126</v>
      </c>
      <c r="L247" s="2" t="s">
        <v>854</v>
      </c>
      <c r="M247" s="78">
        <v>45862</v>
      </c>
      <c r="N247" s="56" t="s">
        <v>1969</v>
      </c>
      <c r="Q247" s="67">
        <f t="shared" ref="Q247:Q253" si="26">AQ247-AB247</f>
        <v>2</v>
      </c>
      <c r="R247" s="29">
        <f t="shared" si="21"/>
        <v>18</v>
      </c>
      <c r="T247" s="1"/>
      <c r="U247" s="8" t="s">
        <v>1696</v>
      </c>
      <c r="V247" s="7" t="s">
        <v>1179</v>
      </c>
      <c r="W247" s="124" t="s">
        <v>948</v>
      </c>
      <c r="X247" s="2" t="s">
        <v>1813</v>
      </c>
      <c r="Y247" s="14">
        <v>45860</v>
      </c>
      <c r="Z247" s="14">
        <v>45877</v>
      </c>
      <c r="AA247" s="4">
        <v>45862</v>
      </c>
      <c r="AB247" s="4">
        <v>45862</v>
      </c>
      <c r="AC247" s="14">
        <v>45864</v>
      </c>
      <c r="AD247" s="2" t="s">
        <v>1814</v>
      </c>
      <c r="AE247" s="2">
        <v>412656787</v>
      </c>
      <c r="AF247" s="2">
        <v>1</v>
      </c>
      <c r="AG247" s="2">
        <v>7</v>
      </c>
      <c r="AH247" s="2"/>
      <c r="AI247" s="2" t="s">
        <v>179</v>
      </c>
      <c r="AJ247" s="2"/>
      <c r="AK247" s="4">
        <v>45860</v>
      </c>
      <c r="AL247" s="14">
        <v>45861</v>
      </c>
      <c r="AM247" s="14">
        <v>45861</v>
      </c>
      <c r="AN247" s="2"/>
      <c r="AO247" s="2">
        <v>3461861</v>
      </c>
      <c r="AP247" s="14">
        <v>45862</v>
      </c>
      <c r="AQ247" s="14">
        <v>45864</v>
      </c>
      <c r="AR247" s="15" t="s">
        <v>1951</v>
      </c>
      <c r="AS247" s="14">
        <v>45866</v>
      </c>
      <c r="AT247" s="44">
        <v>50966</v>
      </c>
      <c r="AU247" s="1" t="s">
        <v>74</v>
      </c>
      <c r="AV247" s="14">
        <v>45866</v>
      </c>
      <c r="AW247" s="14">
        <v>45867</v>
      </c>
      <c r="AY247" s="2">
        <v>3574990</v>
      </c>
      <c r="AZ247" s="32">
        <v>45868</v>
      </c>
      <c r="BA247" s="1">
        <v>1935206</v>
      </c>
      <c r="BB247" s="2">
        <v>348337</v>
      </c>
      <c r="BC247" s="5">
        <v>45868</v>
      </c>
      <c r="BD247" s="14">
        <v>45868</v>
      </c>
      <c r="BF247" s="5">
        <v>45877</v>
      </c>
      <c r="BG247" s="5">
        <v>45882</v>
      </c>
      <c r="BH247" s="1" t="s">
        <v>1967</v>
      </c>
      <c r="BI247" s="1" t="s">
        <v>273</v>
      </c>
      <c r="BM247" s="15" t="s">
        <v>1952</v>
      </c>
      <c r="BQ247" s="14">
        <v>45867</v>
      </c>
      <c r="BR247" s="5">
        <v>45867</v>
      </c>
    </row>
    <row r="248" spans="1:70" ht="18" customHeight="1" x14ac:dyDescent="0.3">
      <c r="A248" s="2">
        <v>248</v>
      </c>
      <c r="B248" s="2" t="s">
        <v>1877</v>
      </c>
      <c r="C248" s="111">
        <v>45859</v>
      </c>
      <c r="D248" s="2">
        <v>10920</v>
      </c>
      <c r="E248" s="2" t="s">
        <v>677</v>
      </c>
      <c r="F248" s="2" t="s">
        <v>345</v>
      </c>
      <c r="G248" s="2" t="s">
        <v>1878</v>
      </c>
      <c r="H248" s="2">
        <v>24</v>
      </c>
      <c r="I248" s="83">
        <v>50968</v>
      </c>
      <c r="J248" s="2" t="s">
        <v>142</v>
      </c>
      <c r="K248" s="2" t="s">
        <v>126</v>
      </c>
      <c r="L248" s="2" t="s">
        <v>854</v>
      </c>
      <c r="M248" s="78">
        <v>45868</v>
      </c>
      <c r="N248" s="56" t="s">
        <v>1970</v>
      </c>
      <c r="Q248" s="67">
        <f t="shared" si="26"/>
        <v>1</v>
      </c>
      <c r="R248" s="29">
        <f t="shared" si="21"/>
        <v>13</v>
      </c>
      <c r="T248" s="1"/>
      <c r="U248" s="8" t="s">
        <v>1879</v>
      </c>
      <c r="V248" s="7" t="s">
        <v>1179</v>
      </c>
      <c r="W248" s="124" t="s">
        <v>948</v>
      </c>
      <c r="X248" s="2" t="s">
        <v>1897</v>
      </c>
      <c r="Y248" s="14">
        <v>45870</v>
      </c>
      <c r="Z248" s="14">
        <v>45880</v>
      </c>
      <c r="AA248" s="4">
        <v>45868</v>
      </c>
      <c r="AB248" s="4">
        <v>45868</v>
      </c>
      <c r="AC248" s="14">
        <v>45869</v>
      </c>
      <c r="AD248" s="2" t="s">
        <v>1880</v>
      </c>
      <c r="AE248" s="2">
        <v>412656881</v>
      </c>
      <c r="AF248" s="2">
        <v>1</v>
      </c>
      <c r="AG248" s="2">
        <v>3</v>
      </c>
      <c r="AH248" s="2"/>
      <c r="AI248" s="2" t="s">
        <v>179</v>
      </c>
      <c r="AJ248" s="2"/>
      <c r="AK248" s="4">
        <v>45867</v>
      </c>
      <c r="AL248" s="14">
        <v>45867</v>
      </c>
      <c r="AM248" s="14">
        <v>45868</v>
      </c>
      <c r="AN248" s="2"/>
      <c r="AO248" s="2">
        <v>3580372</v>
      </c>
      <c r="AP248" s="14">
        <v>45868</v>
      </c>
      <c r="AQ248" s="14">
        <v>45869</v>
      </c>
      <c r="AR248" s="15" t="s">
        <v>1940</v>
      </c>
      <c r="AS248" s="14">
        <v>45870</v>
      </c>
      <c r="AT248" s="44">
        <v>51009</v>
      </c>
      <c r="AU248" s="1" t="s">
        <v>74</v>
      </c>
      <c r="AV248" s="14">
        <v>45870</v>
      </c>
      <c r="AW248" s="14">
        <v>45870</v>
      </c>
      <c r="AY248" s="2">
        <v>3690283</v>
      </c>
      <c r="AZ248" s="32">
        <v>45874</v>
      </c>
      <c r="BA248" s="1">
        <v>947856</v>
      </c>
      <c r="BB248" s="2">
        <v>170614</v>
      </c>
      <c r="BC248" s="5">
        <v>45874</v>
      </c>
      <c r="BD248" s="14">
        <v>45874</v>
      </c>
      <c r="BF248" s="5">
        <v>45881</v>
      </c>
      <c r="BG248" s="5">
        <v>45882</v>
      </c>
      <c r="BH248" s="1" t="s">
        <v>1967</v>
      </c>
      <c r="BI248" s="1" t="s">
        <v>273</v>
      </c>
      <c r="BQ248" s="14">
        <v>45870</v>
      </c>
      <c r="BR248" s="5">
        <v>45873</v>
      </c>
    </row>
    <row r="249" spans="1:70" ht="18" customHeight="1" x14ac:dyDescent="0.3">
      <c r="A249" s="2">
        <v>249</v>
      </c>
      <c r="B249" s="2">
        <v>250720188</v>
      </c>
      <c r="C249" s="111">
        <v>45870</v>
      </c>
      <c r="D249" s="2">
        <v>50950.25</v>
      </c>
      <c r="E249" s="2" t="s">
        <v>677</v>
      </c>
      <c r="F249" s="2" t="s">
        <v>1832</v>
      </c>
      <c r="G249" s="2" t="s">
        <v>1833</v>
      </c>
      <c r="H249" s="2">
        <v>1</v>
      </c>
      <c r="I249" s="83">
        <v>51040</v>
      </c>
      <c r="J249" s="2" t="s">
        <v>142</v>
      </c>
      <c r="K249" s="2" t="s">
        <v>126</v>
      </c>
      <c r="L249" s="2" t="s">
        <v>854</v>
      </c>
      <c r="M249" s="78">
        <v>45875</v>
      </c>
      <c r="N249" s="56" t="s">
        <v>1968</v>
      </c>
      <c r="Q249" s="67">
        <f t="shared" si="26"/>
        <v>1</v>
      </c>
      <c r="R249" s="29">
        <f t="shared" si="21"/>
        <v>6</v>
      </c>
      <c r="T249" s="1"/>
      <c r="U249" s="1" t="s">
        <v>1829</v>
      </c>
      <c r="V249" s="2" t="s">
        <v>755</v>
      </c>
      <c r="W249" s="1" t="s">
        <v>827</v>
      </c>
      <c r="X249" s="2" t="s">
        <v>1912</v>
      </c>
      <c r="Y249" s="14">
        <v>45873</v>
      </c>
      <c r="Z249" s="14">
        <v>45876</v>
      </c>
      <c r="AA249" s="4">
        <v>45875</v>
      </c>
      <c r="AB249" s="4">
        <v>45875</v>
      </c>
      <c r="AC249" s="14">
        <v>45876</v>
      </c>
      <c r="AD249" s="2" t="s">
        <v>1907</v>
      </c>
      <c r="AE249" s="2">
        <v>4840725178</v>
      </c>
      <c r="AF249" s="2">
        <v>1</v>
      </c>
      <c r="AG249" s="2">
        <v>3.5</v>
      </c>
      <c r="AH249" s="2"/>
      <c r="AI249" s="2" t="s">
        <v>179</v>
      </c>
      <c r="AJ249" s="2"/>
      <c r="AK249" s="4">
        <v>45873</v>
      </c>
      <c r="AL249" s="14">
        <v>45873</v>
      </c>
      <c r="AM249" s="14">
        <v>45873</v>
      </c>
      <c r="AN249" s="2"/>
      <c r="AO249" s="2">
        <v>3714494</v>
      </c>
      <c r="AP249" s="14">
        <v>45873</v>
      </c>
      <c r="AQ249" s="14">
        <v>45876</v>
      </c>
      <c r="AS249" s="14">
        <v>45877</v>
      </c>
      <c r="AT249" s="44">
        <v>51100</v>
      </c>
      <c r="AU249" s="1" t="s">
        <v>74</v>
      </c>
      <c r="AV249" s="14">
        <v>45877</v>
      </c>
      <c r="AW249" s="14">
        <v>45877</v>
      </c>
      <c r="AY249" s="2">
        <v>3807488</v>
      </c>
      <c r="AZ249" s="32">
        <v>45880</v>
      </c>
      <c r="BA249" s="1">
        <v>4514192</v>
      </c>
      <c r="BB249" s="2">
        <v>812555</v>
      </c>
      <c r="BC249" s="5">
        <v>45880</v>
      </c>
      <c r="BD249" s="14">
        <v>45880</v>
      </c>
      <c r="BF249" s="5">
        <v>45881</v>
      </c>
      <c r="BG249" s="5">
        <v>45882</v>
      </c>
      <c r="BH249" s="1" t="s">
        <v>1967</v>
      </c>
      <c r="BI249" s="1" t="s">
        <v>273</v>
      </c>
      <c r="BM249" s="15" t="s">
        <v>1953</v>
      </c>
      <c r="BQ249" s="14">
        <v>45877</v>
      </c>
      <c r="BR249" s="5">
        <v>45877</v>
      </c>
    </row>
    <row r="250" spans="1:70" ht="18" customHeight="1" x14ac:dyDescent="0.3">
      <c r="A250" s="2">
        <v>250</v>
      </c>
      <c r="B250" s="2">
        <v>6886211</v>
      </c>
      <c r="C250" s="111">
        <v>45740</v>
      </c>
      <c r="D250" s="2">
        <v>8484</v>
      </c>
      <c r="E250" s="2" t="s">
        <v>840</v>
      </c>
      <c r="F250" s="8" t="s">
        <v>222</v>
      </c>
      <c r="G250" s="8" t="s">
        <v>560</v>
      </c>
      <c r="H250" s="8" t="s">
        <v>1689</v>
      </c>
      <c r="I250" s="83">
        <v>50767</v>
      </c>
      <c r="J250" s="2" t="s">
        <v>142</v>
      </c>
      <c r="K250" s="2" t="s">
        <v>126</v>
      </c>
      <c r="L250" s="2" t="s">
        <v>854</v>
      </c>
      <c r="M250" s="78">
        <v>45854</v>
      </c>
      <c r="N250" s="56" t="s">
        <v>1996</v>
      </c>
      <c r="Q250" s="67">
        <f t="shared" si="26"/>
        <v>4</v>
      </c>
      <c r="R250" s="29">
        <f t="shared" si="21"/>
        <v>23</v>
      </c>
      <c r="T250" s="1"/>
      <c r="U250" s="1" t="s">
        <v>1690</v>
      </c>
      <c r="V250" s="1" t="s">
        <v>626</v>
      </c>
      <c r="W250" s="1" t="s">
        <v>627</v>
      </c>
      <c r="X250" s="2">
        <v>20255080478</v>
      </c>
      <c r="Y250" s="14">
        <v>45846</v>
      </c>
      <c r="Z250" s="14">
        <v>45852</v>
      </c>
      <c r="AA250" s="4">
        <v>45854</v>
      </c>
      <c r="AB250" s="4">
        <v>45855</v>
      </c>
      <c r="AC250" s="14">
        <v>45859</v>
      </c>
      <c r="AD250" s="2">
        <v>61841618835</v>
      </c>
      <c r="AE250" s="2" t="s">
        <v>1691</v>
      </c>
      <c r="AF250" s="2">
        <v>1</v>
      </c>
      <c r="AG250" s="2">
        <v>83</v>
      </c>
      <c r="AH250" s="2"/>
      <c r="AI250" s="2" t="s">
        <v>180</v>
      </c>
      <c r="AJ250" s="2"/>
      <c r="AK250" s="4">
        <v>45852</v>
      </c>
      <c r="AL250" s="14">
        <v>45852</v>
      </c>
      <c r="AM250" s="4">
        <v>45853</v>
      </c>
      <c r="AN250" s="2"/>
      <c r="AO250" s="2">
        <v>3331592</v>
      </c>
      <c r="AP250" s="14">
        <v>45856</v>
      </c>
      <c r="AQ250" s="14">
        <v>45859</v>
      </c>
      <c r="AR250" s="15" t="s">
        <v>1926</v>
      </c>
      <c r="AS250" s="14">
        <v>45859</v>
      </c>
      <c r="AT250" s="44">
        <v>50865</v>
      </c>
      <c r="AU250" s="1" t="s">
        <v>74</v>
      </c>
      <c r="AV250" s="14">
        <v>45860</v>
      </c>
      <c r="AW250" s="14">
        <v>45799</v>
      </c>
      <c r="AY250" s="2">
        <v>3807236</v>
      </c>
      <c r="AZ250" s="32">
        <v>45880</v>
      </c>
      <c r="BA250" s="1">
        <v>751682</v>
      </c>
      <c r="BB250" s="2">
        <v>135303</v>
      </c>
      <c r="BC250" s="5">
        <v>45880</v>
      </c>
      <c r="BD250" s="14">
        <v>45880</v>
      </c>
      <c r="BF250" s="5">
        <v>45881</v>
      </c>
      <c r="BG250" s="5">
        <v>45882</v>
      </c>
      <c r="BH250" s="1" t="s">
        <v>1995</v>
      </c>
      <c r="BI250" s="1" t="s">
        <v>273</v>
      </c>
      <c r="BM250" s="15" t="s">
        <v>1957</v>
      </c>
      <c r="BQ250" s="14">
        <v>45799</v>
      </c>
      <c r="BR250" s="5">
        <v>45876</v>
      </c>
    </row>
    <row r="251" spans="1:70" ht="18" customHeight="1" x14ac:dyDescent="0.3">
      <c r="A251" s="2">
        <v>251</v>
      </c>
      <c r="B251" s="2">
        <v>6944293</v>
      </c>
      <c r="C251" s="111">
        <v>45838</v>
      </c>
      <c r="D251" s="2">
        <v>93080</v>
      </c>
      <c r="E251" s="2" t="s">
        <v>840</v>
      </c>
      <c r="F251" s="8" t="s">
        <v>1999</v>
      </c>
      <c r="G251" s="8" t="s">
        <v>2000</v>
      </c>
      <c r="H251" s="8" t="s">
        <v>141</v>
      </c>
      <c r="I251" s="83">
        <v>50781</v>
      </c>
      <c r="J251" s="2" t="s">
        <v>1631</v>
      </c>
      <c r="K251" s="2" t="s">
        <v>126</v>
      </c>
      <c r="L251" s="2" t="s">
        <v>1632</v>
      </c>
      <c r="M251" s="78">
        <v>45857</v>
      </c>
      <c r="N251" s="56" t="s">
        <v>1996</v>
      </c>
      <c r="Q251" s="67">
        <f t="shared" si="26"/>
        <v>4</v>
      </c>
      <c r="R251" s="29">
        <f t="shared" si="21"/>
        <v>21</v>
      </c>
      <c r="T251" s="1"/>
      <c r="U251" s="1" t="s">
        <v>1712</v>
      </c>
      <c r="V251" s="1" t="s">
        <v>626</v>
      </c>
      <c r="W251" s="1" t="s">
        <v>627</v>
      </c>
      <c r="X251" s="2">
        <v>20255081706</v>
      </c>
      <c r="Y251" s="14">
        <v>45849</v>
      </c>
      <c r="Z251" s="14">
        <v>45854</v>
      </c>
      <c r="AA251" s="4">
        <v>45839</v>
      </c>
      <c r="AB251" s="4">
        <v>45857</v>
      </c>
      <c r="AC251" s="14">
        <v>45861</v>
      </c>
      <c r="AD251" s="2" t="s">
        <v>1711</v>
      </c>
      <c r="AE251" s="2"/>
      <c r="AF251" s="2">
        <v>2</v>
      </c>
      <c r="AG251" s="2">
        <v>4.03</v>
      </c>
      <c r="AH251" s="2"/>
      <c r="AI251" s="2" t="s">
        <v>180</v>
      </c>
      <c r="AJ251" s="2"/>
      <c r="AK251" s="4">
        <v>45852</v>
      </c>
      <c r="AL251" s="14">
        <v>45853</v>
      </c>
      <c r="AM251" s="4">
        <v>45854</v>
      </c>
      <c r="AN251" s="2"/>
      <c r="AO251" s="2">
        <v>3393599</v>
      </c>
      <c r="AP251" s="14">
        <v>45859</v>
      </c>
      <c r="AQ251" s="14">
        <v>45861</v>
      </c>
      <c r="AR251" s="15" t="s">
        <v>1846</v>
      </c>
      <c r="AS251" s="14">
        <v>45862</v>
      </c>
      <c r="AT251" s="44">
        <v>50918</v>
      </c>
      <c r="AU251" s="1" t="s">
        <v>74</v>
      </c>
      <c r="AV251" s="14">
        <v>45862</v>
      </c>
      <c r="AW251" s="14">
        <v>45863</v>
      </c>
      <c r="AY251" s="2">
        <v>3807094</v>
      </c>
      <c r="AZ251" s="32">
        <v>45880</v>
      </c>
      <c r="BA251" s="1">
        <v>8246888</v>
      </c>
      <c r="BB251" s="2">
        <v>1484440</v>
      </c>
      <c r="BC251" s="5">
        <v>45880</v>
      </c>
      <c r="BD251" s="14">
        <v>45880</v>
      </c>
      <c r="BF251" s="5">
        <v>45881</v>
      </c>
      <c r="BG251" s="5">
        <v>45882</v>
      </c>
      <c r="BH251" s="1" t="s">
        <v>1995</v>
      </c>
      <c r="BI251" s="1" t="s">
        <v>273</v>
      </c>
      <c r="BM251" s="15" t="s">
        <v>1956</v>
      </c>
      <c r="BQ251" s="14">
        <v>45863</v>
      </c>
      <c r="BR251" s="5">
        <v>45876</v>
      </c>
    </row>
    <row r="252" spans="1:70" ht="18" customHeight="1" x14ac:dyDescent="0.3">
      <c r="A252" s="2">
        <v>252</v>
      </c>
      <c r="B252" s="2">
        <v>6944292</v>
      </c>
      <c r="C252" s="111">
        <v>45838</v>
      </c>
      <c r="D252" s="2">
        <v>139620</v>
      </c>
      <c r="E252" s="2" t="s">
        <v>840</v>
      </c>
      <c r="F252" s="8" t="s">
        <v>2001</v>
      </c>
      <c r="G252" s="8" t="s">
        <v>2000</v>
      </c>
      <c r="H252" s="8" t="s">
        <v>582</v>
      </c>
      <c r="I252" s="83">
        <v>50782</v>
      </c>
      <c r="J252" s="2" t="s">
        <v>1631</v>
      </c>
      <c r="K252" s="2" t="s">
        <v>126</v>
      </c>
      <c r="L252" s="2" t="s">
        <v>1632</v>
      </c>
      <c r="M252" s="78">
        <v>45857</v>
      </c>
      <c r="N252" s="56" t="s">
        <v>1996</v>
      </c>
      <c r="Q252" s="67">
        <f t="shared" si="26"/>
        <v>4</v>
      </c>
      <c r="R252" s="29">
        <f t="shared" si="21"/>
        <v>21</v>
      </c>
      <c r="T252" s="1"/>
      <c r="U252" s="1" t="s">
        <v>1712</v>
      </c>
      <c r="V252" s="1" t="s">
        <v>626</v>
      </c>
      <c r="W252" s="1" t="s">
        <v>627</v>
      </c>
      <c r="X252" s="2">
        <v>20255081711</v>
      </c>
      <c r="Y252" s="14">
        <v>45849</v>
      </c>
      <c r="Z252" s="14">
        <v>45854</v>
      </c>
      <c r="AA252" s="4">
        <v>45839</v>
      </c>
      <c r="AB252" s="4">
        <v>45857</v>
      </c>
      <c r="AC252" s="14">
        <v>45861</v>
      </c>
      <c r="AD252" s="2" t="s">
        <v>1713</v>
      </c>
      <c r="AE252" s="2"/>
      <c r="AF252" s="2">
        <v>3</v>
      </c>
      <c r="AG252" s="2">
        <v>6.05</v>
      </c>
      <c r="AH252" s="2"/>
      <c r="AI252" s="2" t="s">
        <v>180</v>
      </c>
      <c r="AJ252" s="2"/>
      <c r="AK252" s="4">
        <v>45852</v>
      </c>
      <c r="AL252" s="14">
        <v>45853</v>
      </c>
      <c r="AM252" s="4">
        <v>45854</v>
      </c>
      <c r="AN252" s="2"/>
      <c r="AO252" s="2">
        <v>3393597</v>
      </c>
      <c r="AP252" s="14">
        <v>45859</v>
      </c>
      <c r="AQ252" s="14">
        <v>45861</v>
      </c>
      <c r="AR252" s="15" t="s">
        <v>1927</v>
      </c>
      <c r="AS252" s="14">
        <v>45862</v>
      </c>
      <c r="AT252" s="44">
        <v>50915</v>
      </c>
      <c r="AU252" s="1" t="s">
        <v>74</v>
      </c>
      <c r="AV252" s="14">
        <v>45862</v>
      </c>
      <c r="AW252" s="14">
        <v>45863</v>
      </c>
      <c r="AY252" s="2">
        <v>3807092</v>
      </c>
      <c r="AZ252" s="32">
        <v>45880</v>
      </c>
      <c r="BA252" s="1">
        <v>12370332</v>
      </c>
      <c r="BB252" s="2">
        <v>2226660</v>
      </c>
      <c r="BC252" s="5">
        <v>45880</v>
      </c>
      <c r="BD252" s="14">
        <v>45880</v>
      </c>
      <c r="BF252" s="5">
        <v>45881</v>
      </c>
      <c r="BG252" s="5">
        <v>45882</v>
      </c>
      <c r="BH252" s="1" t="s">
        <v>1995</v>
      </c>
      <c r="BI252" s="1" t="s">
        <v>273</v>
      </c>
      <c r="BM252" s="15" t="s">
        <v>1954</v>
      </c>
      <c r="BQ252" s="14">
        <v>45863</v>
      </c>
      <c r="BR252" s="5">
        <v>45876</v>
      </c>
    </row>
    <row r="253" spans="1:70" ht="18" customHeight="1" x14ac:dyDescent="0.3">
      <c r="A253" s="2">
        <v>253</v>
      </c>
      <c r="B253" s="2">
        <v>6944259</v>
      </c>
      <c r="C253" s="111">
        <v>45838</v>
      </c>
      <c r="D253" s="2">
        <v>139620</v>
      </c>
      <c r="E253" s="2" t="s">
        <v>840</v>
      </c>
      <c r="F253" s="8" t="s">
        <v>1382</v>
      </c>
      <c r="G253" s="8" t="s">
        <v>1383</v>
      </c>
      <c r="H253" s="8" t="s">
        <v>582</v>
      </c>
      <c r="I253" s="83">
        <v>50783</v>
      </c>
      <c r="J253" s="2" t="s">
        <v>1631</v>
      </c>
      <c r="K253" s="2" t="s">
        <v>126</v>
      </c>
      <c r="L253" s="2" t="s">
        <v>1632</v>
      </c>
      <c r="M253" s="78">
        <v>45857</v>
      </c>
      <c r="N253" s="56" t="s">
        <v>1996</v>
      </c>
      <c r="Q253" s="67">
        <f t="shared" si="26"/>
        <v>4</v>
      </c>
      <c r="R253" s="29">
        <f t="shared" si="21"/>
        <v>21</v>
      </c>
      <c r="T253" s="1"/>
      <c r="U253" s="1" t="s">
        <v>1712</v>
      </c>
      <c r="V253" s="1" t="s">
        <v>626</v>
      </c>
      <c r="W253" s="1" t="s">
        <v>627</v>
      </c>
      <c r="X253" s="2">
        <v>20255081686</v>
      </c>
      <c r="Y253" s="14">
        <v>45849</v>
      </c>
      <c r="Z253" s="14">
        <v>45854</v>
      </c>
      <c r="AA253" s="4">
        <v>45839</v>
      </c>
      <c r="AB253" s="4">
        <v>45857</v>
      </c>
      <c r="AC253" s="14">
        <v>45861</v>
      </c>
      <c r="AD253" s="2" t="s">
        <v>1714</v>
      </c>
      <c r="AE253" s="2"/>
      <c r="AF253" s="2">
        <v>4</v>
      </c>
      <c r="AG253" s="2">
        <v>7.07</v>
      </c>
      <c r="AH253" s="2"/>
      <c r="AI253" s="2" t="s">
        <v>180</v>
      </c>
      <c r="AJ253" s="2"/>
      <c r="AK253" s="4">
        <v>45852</v>
      </c>
      <c r="AL253" s="14">
        <v>45853</v>
      </c>
      <c r="AM253" s="4">
        <v>45854</v>
      </c>
      <c r="AN253" s="2"/>
      <c r="AO253" s="2">
        <v>3393594</v>
      </c>
      <c r="AP253" s="14">
        <v>45859</v>
      </c>
      <c r="AQ253" s="14">
        <v>45861</v>
      </c>
      <c r="AR253" s="15" t="s">
        <v>1927</v>
      </c>
      <c r="AS253" s="14">
        <v>45862</v>
      </c>
      <c r="AT253" s="44">
        <v>50916</v>
      </c>
      <c r="AU253" s="1" t="s">
        <v>74</v>
      </c>
      <c r="AV253" s="14">
        <v>45862</v>
      </c>
      <c r="AW253" s="14">
        <v>45863</v>
      </c>
      <c r="AY253" s="2">
        <v>3807096</v>
      </c>
      <c r="AZ253" s="32">
        <v>45880</v>
      </c>
      <c r="BA253" s="1">
        <v>12370332</v>
      </c>
      <c r="BB253" s="2">
        <v>2226660</v>
      </c>
      <c r="BC253" s="5">
        <v>45880</v>
      </c>
      <c r="BD253" s="14">
        <v>45880</v>
      </c>
      <c r="BF253" s="5">
        <v>45881</v>
      </c>
      <c r="BG253" s="5">
        <v>45882</v>
      </c>
      <c r="BH253" s="1" t="s">
        <v>1995</v>
      </c>
      <c r="BI253" s="1" t="s">
        <v>273</v>
      </c>
      <c r="BM253" s="15" t="s">
        <v>1955</v>
      </c>
      <c r="BQ253" s="14">
        <v>45863</v>
      </c>
      <c r="BR253" s="5">
        <v>45876</v>
      </c>
    </row>
    <row r="254" spans="1:70" ht="18" customHeight="1" x14ac:dyDescent="0.3">
      <c r="A254" s="2">
        <v>254</v>
      </c>
      <c r="B254" s="8" t="s">
        <v>1722</v>
      </c>
      <c r="C254" s="75" t="s">
        <v>1723</v>
      </c>
      <c r="D254" s="8" t="s">
        <v>1724</v>
      </c>
      <c r="E254" s="2" t="s">
        <v>840</v>
      </c>
      <c r="F254" s="8" t="s">
        <v>1725</v>
      </c>
      <c r="G254" s="8" t="s">
        <v>1726</v>
      </c>
      <c r="H254" s="8" t="s">
        <v>1727</v>
      </c>
      <c r="I254" s="83">
        <v>50786</v>
      </c>
      <c r="J254" s="2" t="s">
        <v>1631</v>
      </c>
      <c r="K254" s="2" t="s">
        <v>126</v>
      </c>
      <c r="L254" s="2" t="s">
        <v>1632</v>
      </c>
      <c r="M254" s="78">
        <v>45857</v>
      </c>
      <c r="N254" s="126" t="s">
        <v>2019</v>
      </c>
      <c r="Q254" s="67">
        <f t="shared" ref="Q254:Q259" si="27">AQ254-AB254</f>
        <v>4</v>
      </c>
      <c r="R254" s="29">
        <f t="shared" si="21"/>
        <v>31</v>
      </c>
      <c r="T254" s="1" t="s">
        <v>2013</v>
      </c>
      <c r="U254" s="8" t="s">
        <v>1728</v>
      </c>
      <c r="V254" s="1" t="s">
        <v>645</v>
      </c>
      <c r="W254" s="79" t="s">
        <v>426</v>
      </c>
      <c r="X254" s="2">
        <v>20255095768</v>
      </c>
      <c r="Y254" s="14">
        <v>45882</v>
      </c>
      <c r="Z254" s="14">
        <v>45889</v>
      </c>
      <c r="AA254" s="4">
        <v>45839</v>
      </c>
      <c r="AB254" s="4">
        <v>45857</v>
      </c>
      <c r="AC254" s="14">
        <v>45861</v>
      </c>
      <c r="AD254" s="2" t="s">
        <v>1729</v>
      </c>
      <c r="AE254" s="2"/>
      <c r="AF254" s="2">
        <v>15</v>
      </c>
      <c r="AG254" s="2">
        <v>24.25</v>
      </c>
      <c r="AH254" s="2"/>
      <c r="AI254" s="2" t="s">
        <v>180</v>
      </c>
      <c r="AJ254" s="2"/>
      <c r="AK254" s="4">
        <v>45852</v>
      </c>
      <c r="AL254" s="14">
        <v>45853</v>
      </c>
      <c r="AM254" s="4">
        <v>45854</v>
      </c>
      <c r="AN254" s="2"/>
      <c r="AO254" s="2">
        <v>3393602</v>
      </c>
      <c r="AP254" s="14">
        <v>45859</v>
      </c>
      <c r="AQ254" s="14">
        <v>45861</v>
      </c>
      <c r="AR254" s="15" t="s">
        <v>1941</v>
      </c>
      <c r="AS254" s="14">
        <v>45862</v>
      </c>
      <c r="AT254" s="44">
        <v>50917</v>
      </c>
      <c r="AU254" s="1" t="s">
        <v>74</v>
      </c>
      <c r="AV254" s="14">
        <v>45888</v>
      </c>
      <c r="AW254" s="14">
        <v>45888</v>
      </c>
      <c r="AY254" s="88">
        <v>4007589</v>
      </c>
      <c r="AZ254" s="32">
        <v>45890</v>
      </c>
      <c r="BA254" s="1" t="s">
        <v>2010</v>
      </c>
      <c r="BB254" s="2" t="s">
        <v>2011</v>
      </c>
      <c r="BC254" s="5">
        <v>45890</v>
      </c>
      <c r="BD254" s="14">
        <v>45891</v>
      </c>
      <c r="BF254" s="5">
        <v>45891</v>
      </c>
      <c r="BG254" s="5">
        <v>45892</v>
      </c>
      <c r="BH254" s="1" t="s">
        <v>2018</v>
      </c>
      <c r="BI254" s="1" t="s">
        <v>273</v>
      </c>
      <c r="BM254" s="15" t="s">
        <v>2012</v>
      </c>
      <c r="BQ254" s="14">
        <v>45888</v>
      </c>
      <c r="BR254" s="5">
        <v>45888</v>
      </c>
    </row>
    <row r="255" spans="1:70" ht="18" customHeight="1" x14ac:dyDescent="0.3">
      <c r="A255" s="2">
        <v>255</v>
      </c>
      <c r="B255" s="2">
        <v>6941503</v>
      </c>
      <c r="C255" s="111">
        <v>45831</v>
      </c>
      <c r="D255" s="2">
        <v>155775</v>
      </c>
      <c r="E255" s="2" t="s">
        <v>840</v>
      </c>
      <c r="F255" s="8" t="s">
        <v>219</v>
      </c>
      <c r="G255" s="8" t="s">
        <v>1361</v>
      </c>
      <c r="H255" s="8" t="s">
        <v>525</v>
      </c>
      <c r="I255" s="83">
        <v>50788</v>
      </c>
      <c r="J255" s="2" t="s">
        <v>1631</v>
      </c>
      <c r="K255" s="2" t="s">
        <v>126</v>
      </c>
      <c r="L255" s="2" t="s">
        <v>1632</v>
      </c>
      <c r="M255" s="78">
        <v>45857</v>
      </c>
      <c r="N255" s="56" t="s">
        <v>2061</v>
      </c>
      <c r="Q255" s="67">
        <f t="shared" si="27"/>
        <v>4</v>
      </c>
      <c r="R255" s="29">
        <f t="shared" si="21"/>
        <v>34</v>
      </c>
      <c r="T255" s="1"/>
      <c r="U255" s="1" t="s">
        <v>1635</v>
      </c>
      <c r="V255" s="2" t="s">
        <v>1245</v>
      </c>
      <c r="W255" s="64" t="s">
        <v>421</v>
      </c>
      <c r="X255" s="2">
        <v>20255081726</v>
      </c>
      <c r="Y255" s="14">
        <v>45849</v>
      </c>
      <c r="Z255" s="14">
        <v>45854</v>
      </c>
      <c r="AA255" s="4">
        <v>45839</v>
      </c>
      <c r="AB255" s="4">
        <v>45857</v>
      </c>
      <c r="AC255" s="14">
        <v>45861</v>
      </c>
      <c r="AD255" s="2" t="s">
        <v>1737</v>
      </c>
      <c r="AE255" s="2"/>
      <c r="AF255" s="2">
        <v>5</v>
      </c>
      <c r="AG255" s="2">
        <v>8.77</v>
      </c>
      <c r="AH255" s="2"/>
      <c r="AI255" s="2" t="s">
        <v>180</v>
      </c>
      <c r="AJ255" s="2"/>
      <c r="AK255" s="4">
        <v>45852</v>
      </c>
      <c r="AL255" s="14">
        <v>45853</v>
      </c>
      <c r="AM255" s="4">
        <v>45854</v>
      </c>
      <c r="AN255" s="2"/>
      <c r="AO255" s="2">
        <v>3397148</v>
      </c>
      <c r="AP255" s="14">
        <v>45859</v>
      </c>
      <c r="AQ255" s="14">
        <v>45861</v>
      </c>
      <c r="AR255" s="15" t="s">
        <v>1928</v>
      </c>
      <c r="AS255" s="14">
        <v>45864</v>
      </c>
      <c r="AT255" s="44">
        <v>50944</v>
      </c>
      <c r="AU255" s="1" t="s">
        <v>74</v>
      </c>
      <c r="AV255" s="14">
        <v>45864</v>
      </c>
      <c r="AW255" s="14">
        <v>45866</v>
      </c>
      <c r="AY255" s="2">
        <v>4084474</v>
      </c>
      <c r="AZ255" s="32">
        <v>45894</v>
      </c>
      <c r="BA255" s="1">
        <v>13692623</v>
      </c>
      <c r="BB255" s="2">
        <v>2464672</v>
      </c>
      <c r="BC255" s="5">
        <v>45894</v>
      </c>
      <c r="BD255" s="14">
        <v>45894</v>
      </c>
      <c r="BF255" s="5">
        <v>45895</v>
      </c>
      <c r="BG255" s="5">
        <v>45895</v>
      </c>
      <c r="BH255" s="1" t="s">
        <v>2060</v>
      </c>
      <c r="BI255" s="1" t="s">
        <v>273</v>
      </c>
      <c r="BM255" s="15" t="s">
        <v>2024</v>
      </c>
      <c r="BQ255" s="14">
        <v>45866</v>
      </c>
      <c r="BR255" s="5">
        <v>45866</v>
      </c>
    </row>
    <row r="256" spans="1:70" ht="18" customHeight="1" x14ac:dyDescent="0.3">
      <c r="A256" s="2">
        <v>256</v>
      </c>
      <c r="B256" s="8">
        <v>6882557</v>
      </c>
      <c r="C256" s="111">
        <v>45739</v>
      </c>
      <c r="D256" s="2">
        <v>155775</v>
      </c>
      <c r="E256" s="2" t="s">
        <v>840</v>
      </c>
      <c r="F256" s="8" t="s">
        <v>219</v>
      </c>
      <c r="G256" s="8" t="s">
        <v>1361</v>
      </c>
      <c r="H256" s="8" t="s">
        <v>525</v>
      </c>
      <c r="I256" s="83">
        <v>50836</v>
      </c>
      <c r="J256" s="2" t="s">
        <v>142</v>
      </c>
      <c r="K256" s="2" t="s">
        <v>126</v>
      </c>
      <c r="L256" s="2" t="s">
        <v>854</v>
      </c>
      <c r="M256" s="78">
        <v>45858</v>
      </c>
      <c r="N256" s="56" t="s">
        <v>2061</v>
      </c>
      <c r="Q256" s="67">
        <f t="shared" si="27"/>
        <v>3</v>
      </c>
      <c r="R256" s="29">
        <f t="shared" si="21"/>
        <v>34</v>
      </c>
      <c r="T256" s="1"/>
      <c r="U256" s="1" t="s">
        <v>1110</v>
      </c>
      <c r="V256" s="2" t="s">
        <v>1245</v>
      </c>
      <c r="W256" s="64" t="s">
        <v>421</v>
      </c>
      <c r="X256" s="2">
        <v>20255084839</v>
      </c>
      <c r="Y256" s="14">
        <v>45856</v>
      </c>
      <c r="Z256" s="14">
        <v>45861</v>
      </c>
      <c r="AA256" s="4">
        <v>45858</v>
      </c>
      <c r="AB256" s="4">
        <v>45858</v>
      </c>
      <c r="AC256" s="14">
        <v>45861</v>
      </c>
      <c r="AD256" s="2">
        <v>17617661324</v>
      </c>
      <c r="AE256" s="2" t="s">
        <v>1767</v>
      </c>
      <c r="AF256" s="2">
        <v>5</v>
      </c>
      <c r="AG256" s="2">
        <v>1462.5</v>
      </c>
      <c r="AH256" s="2"/>
      <c r="AI256" s="2" t="s">
        <v>180</v>
      </c>
      <c r="AJ256" s="2"/>
      <c r="AK256" s="4">
        <v>45855</v>
      </c>
      <c r="AL256" s="14">
        <v>45856</v>
      </c>
      <c r="AM256" s="14">
        <v>45856</v>
      </c>
      <c r="AN256" s="2"/>
      <c r="AO256" s="2">
        <v>3402678</v>
      </c>
      <c r="AP256" s="14">
        <v>45859</v>
      </c>
      <c r="AQ256" s="14">
        <v>45861</v>
      </c>
      <c r="AR256" s="15" t="s">
        <v>1937</v>
      </c>
      <c r="AS256" s="14">
        <v>45864</v>
      </c>
      <c r="AT256" s="44">
        <v>50942</v>
      </c>
      <c r="AU256" s="1" t="s">
        <v>74</v>
      </c>
      <c r="AV256" s="14">
        <v>45864</v>
      </c>
      <c r="AW256" s="14">
        <v>45866</v>
      </c>
      <c r="AY256" s="2">
        <v>4084217</v>
      </c>
      <c r="AZ256" s="32">
        <v>45894</v>
      </c>
      <c r="BA256" s="1">
        <v>13692623</v>
      </c>
      <c r="BB256" s="2">
        <v>2464672</v>
      </c>
      <c r="BC256" s="5">
        <v>45894</v>
      </c>
      <c r="BD256" s="14">
        <v>45894</v>
      </c>
      <c r="BF256" s="5">
        <v>45895</v>
      </c>
      <c r="BG256" s="5">
        <v>45895</v>
      </c>
      <c r="BH256" s="1" t="s">
        <v>2060</v>
      </c>
      <c r="BI256" s="1" t="s">
        <v>273</v>
      </c>
      <c r="BM256" s="15" t="s">
        <v>2022</v>
      </c>
      <c r="BQ256" s="14">
        <v>45866</v>
      </c>
      <c r="BR256" s="5">
        <v>45892</v>
      </c>
    </row>
    <row r="257" spans="1:70" ht="18" customHeight="1" x14ac:dyDescent="0.3">
      <c r="A257" s="2">
        <v>257</v>
      </c>
      <c r="B257" s="2">
        <v>6875240</v>
      </c>
      <c r="C257" s="111">
        <v>45736</v>
      </c>
      <c r="D257" s="2">
        <v>69810</v>
      </c>
      <c r="E257" s="2" t="s">
        <v>840</v>
      </c>
      <c r="F257" s="8" t="s">
        <v>224</v>
      </c>
      <c r="G257" s="8" t="s">
        <v>1775</v>
      </c>
      <c r="H257" s="8" t="s">
        <v>451</v>
      </c>
      <c r="I257" s="83">
        <v>50854</v>
      </c>
      <c r="J257" s="2" t="s">
        <v>142</v>
      </c>
      <c r="K257" s="2" t="s">
        <v>126</v>
      </c>
      <c r="L257" s="2" t="s">
        <v>854</v>
      </c>
      <c r="M257" s="78">
        <v>45860</v>
      </c>
      <c r="N257" s="56" t="s">
        <v>2061</v>
      </c>
      <c r="Q257" s="67">
        <f t="shared" si="27"/>
        <v>2</v>
      </c>
      <c r="R257" s="29">
        <f t="shared" si="21"/>
        <v>33</v>
      </c>
      <c r="T257" s="1"/>
      <c r="U257" s="1" t="s">
        <v>1776</v>
      </c>
      <c r="V257" s="2" t="s">
        <v>1245</v>
      </c>
      <c r="W257" s="64" t="s">
        <v>421</v>
      </c>
      <c r="X257" s="2" t="s">
        <v>1777</v>
      </c>
      <c r="Y257" s="14">
        <v>45854</v>
      </c>
      <c r="Z257" s="14">
        <v>45857</v>
      </c>
      <c r="AA257" s="4">
        <v>45860</v>
      </c>
      <c r="AB257" s="4">
        <v>45860</v>
      </c>
      <c r="AC257" s="14">
        <v>45862</v>
      </c>
      <c r="AD257" s="2" t="s">
        <v>1778</v>
      </c>
      <c r="AE257" s="2" t="s">
        <v>1779</v>
      </c>
      <c r="AF257" s="2">
        <v>2</v>
      </c>
      <c r="AG257" s="2">
        <v>585</v>
      </c>
      <c r="AH257" s="2"/>
      <c r="AI257" s="2" t="s">
        <v>629</v>
      </c>
      <c r="AJ257" s="2"/>
      <c r="AK257" s="4">
        <v>45859</v>
      </c>
      <c r="AL257" s="14">
        <v>45859</v>
      </c>
      <c r="AM257" s="14">
        <v>45859</v>
      </c>
      <c r="AN257" s="2"/>
      <c r="AO257" s="2">
        <v>3421578</v>
      </c>
      <c r="AP257" s="14">
        <v>45860</v>
      </c>
      <c r="AQ257" s="14">
        <v>45862</v>
      </c>
      <c r="AR257" s="15" t="s">
        <v>2017</v>
      </c>
      <c r="AS257" s="14">
        <v>45864</v>
      </c>
      <c r="AT257" s="44">
        <v>50950</v>
      </c>
      <c r="AU257" s="1" t="s">
        <v>74</v>
      </c>
      <c r="AV257" s="14">
        <v>45864</v>
      </c>
      <c r="AW257" s="14">
        <v>45866</v>
      </c>
      <c r="AY257" s="2">
        <v>4084218</v>
      </c>
      <c r="AZ257" s="32">
        <v>45894</v>
      </c>
      <c r="BA257" s="1" t="s">
        <v>2020</v>
      </c>
      <c r="BB257" s="2" t="s">
        <v>2021</v>
      </c>
      <c r="BC257" s="5">
        <v>45894</v>
      </c>
      <c r="BD257" s="14">
        <v>45894</v>
      </c>
      <c r="BF257" s="5">
        <v>45895</v>
      </c>
      <c r="BG257" s="5">
        <v>45895</v>
      </c>
      <c r="BH257" s="1" t="s">
        <v>2060</v>
      </c>
      <c r="BI257" s="1" t="s">
        <v>273</v>
      </c>
      <c r="BM257" s="15" t="s">
        <v>2023</v>
      </c>
      <c r="BQ257" s="14">
        <v>45866</v>
      </c>
      <c r="BR257" s="5">
        <v>45866</v>
      </c>
    </row>
    <row r="258" spans="1:70" ht="18" customHeight="1" x14ac:dyDescent="0.3">
      <c r="A258" s="2">
        <v>258</v>
      </c>
      <c r="B258" s="2">
        <v>6943747</v>
      </c>
      <c r="C258" s="111">
        <v>45833</v>
      </c>
      <c r="D258" s="2">
        <v>139620</v>
      </c>
      <c r="E258" s="2" t="s">
        <v>840</v>
      </c>
      <c r="F258" s="8" t="s">
        <v>1331</v>
      </c>
      <c r="G258" s="8" t="s">
        <v>1332</v>
      </c>
      <c r="H258" s="8" t="s">
        <v>582</v>
      </c>
      <c r="I258" s="83">
        <v>51175</v>
      </c>
      <c r="J258" s="2" t="s">
        <v>142</v>
      </c>
      <c r="K258" s="2" t="s">
        <v>126</v>
      </c>
      <c r="L258" s="2" t="s">
        <v>854</v>
      </c>
      <c r="M258" s="78">
        <v>45890</v>
      </c>
      <c r="N258" s="56" t="s">
        <v>2066</v>
      </c>
      <c r="Q258" s="67">
        <f t="shared" si="27"/>
        <v>2</v>
      </c>
      <c r="R258" s="29">
        <f t="shared" si="21"/>
        <v>7</v>
      </c>
      <c r="T258" s="1"/>
      <c r="U258" s="2" t="s">
        <v>2002</v>
      </c>
      <c r="V258" s="1" t="s">
        <v>645</v>
      </c>
      <c r="W258" s="79" t="s">
        <v>426</v>
      </c>
      <c r="X258" s="2">
        <v>20255095865</v>
      </c>
      <c r="Y258" s="14">
        <v>45790</v>
      </c>
      <c r="Z258" s="14">
        <v>45887</v>
      </c>
      <c r="AA258" s="14">
        <v>45890</v>
      </c>
      <c r="AB258" s="14">
        <v>45890</v>
      </c>
      <c r="AC258" s="14">
        <v>45892</v>
      </c>
      <c r="AD258" s="2">
        <v>23210591383</v>
      </c>
      <c r="AE258" s="2" t="s">
        <v>2003</v>
      </c>
      <c r="AF258" s="2">
        <v>4</v>
      </c>
      <c r="AG258" s="2">
        <v>1234</v>
      </c>
      <c r="AH258" s="2"/>
      <c r="AI258" s="2" t="s">
        <v>629</v>
      </c>
      <c r="AJ258" s="2"/>
      <c r="AK258" s="4">
        <v>45885</v>
      </c>
      <c r="AL258" s="14">
        <v>45885</v>
      </c>
      <c r="AM258" s="14">
        <v>45886</v>
      </c>
      <c r="AN258" s="2"/>
      <c r="AO258" s="2">
        <v>4033886</v>
      </c>
      <c r="AP258" s="14">
        <v>45891</v>
      </c>
      <c r="AQ258" s="14">
        <v>45892</v>
      </c>
      <c r="AR258" s="15" t="s">
        <v>2026</v>
      </c>
      <c r="AS258" s="14">
        <v>45891</v>
      </c>
      <c r="AT258" s="44">
        <v>51247</v>
      </c>
      <c r="AU258" s="1" t="s">
        <v>74</v>
      </c>
      <c r="AV258" s="14">
        <v>45891</v>
      </c>
      <c r="AW258" s="14">
        <v>45893</v>
      </c>
      <c r="AY258" s="2">
        <v>4108676</v>
      </c>
      <c r="AZ258" s="32">
        <v>45895</v>
      </c>
      <c r="BA258" s="1">
        <v>12272598</v>
      </c>
      <c r="BB258" s="2">
        <v>2209068</v>
      </c>
      <c r="BC258" s="5">
        <v>45895</v>
      </c>
      <c r="BD258" s="14">
        <v>45895</v>
      </c>
      <c r="BF258" s="5">
        <v>45897</v>
      </c>
      <c r="BG258" s="5">
        <v>45899</v>
      </c>
      <c r="BH258" s="1" t="s">
        <v>2065</v>
      </c>
      <c r="BI258" s="1" t="s">
        <v>273</v>
      </c>
      <c r="BQ258" s="14">
        <v>45893</v>
      </c>
      <c r="BR258" s="5">
        <v>45894</v>
      </c>
    </row>
    <row r="259" spans="1:70" ht="18" customHeight="1" x14ac:dyDescent="0.3">
      <c r="A259" s="2">
        <v>259</v>
      </c>
      <c r="B259" s="2">
        <v>6883212</v>
      </c>
      <c r="C259" s="111">
        <v>45737</v>
      </c>
      <c r="D259" s="2">
        <v>93465</v>
      </c>
      <c r="E259" s="2" t="s">
        <v>840</v>
      </c>
      <c r="F259" s="8" t="s">
        <v>219</v>
      </c>
      <c r="G259" s="8" t="s">
        <v>1361</v>
      </c>
      <c r="H259" s="8" t="s">
        <v>653</v>
      </c>
      <c r="I259" s="83">
        <v>51141</v>
      </c>
      <c r="J259" s="2" t="s">
        <v>1631</v>
      </c>
      <c r="K259" s="2" t="s">
        <v>126</v>
      </c>
      <c r="L259" s="2" t="s">
        <v>1632</v>
      </c>
      <c r="M259" s="78">
        <v>45886</v>
      </c>
      <c r="N259" s="56" t="s">
        <v>2073</v>
      </c>
      <c r="Q259" s="67">
        <f t="shared" si="27"/>
        <v>5</v>
      </c>
      <c r="R259" s="29">
        <f t="shared" si="21"/>
        <v>11</v>
      </c>
      <c r="T259" s="1"/>
      <c r="U259" s="1" t="s">
        <v>1089</v>
      </c>
      <c r="V259" s="1" t="s">
        <v>844</v>
      </c>
      <c r="W259" s="64" t="s">
        <v>380</v>
      </c>
      <c r="X259" s="2">
        <v>20255094894</v>
      </c>
      <c r="Y259" s="14">
        <v>45880</v>
      </c>
      <c r="Z259" s="14">
        <v>45887</v>
      </c>
      <c r="AA259" s="14">
        <v>45869</v>
      </c>
      <c r="AB259" s="14">
        <v>45886</v>
      </c>
      <c r="AC259" s="14">
        <v>45891</v>
      </c>
      <c r="AD259" s="2" t="s">
        <v>1971</v>
      </c>
      <c r="AE259" s="2" t="s">
        <v>1972</v>
      </c>
      <c r="AF259" s="2">
        <v>3</v>
      </c>
      <c r="AG259" s="2">
        <v>5.23</v>
      </c>
      <c r="AH259" s="2"/>
      <c r="AI259" s="2" t="s">
        <v>180</v>
      </c>
      <c r="AJ259" s="2"/>
      <c r="AK259" s="4">
        <v>45883</v>
      </c>
      <c r="AL259" s="14">
        <v>45882</v>
      </c>
      <c r="AM259" s="14">
        <v>45882</v>
      </c>
      <c r="AN259" s="2"/>
      <c r="AO259" s="2">
        <v>3951093</v>
      </c>
      <c r="AP259" s="14">
        <v>45887</v>
      </c>
      <c r="AQ259" s="14">
        <v>45891</v>
      </c>
      <c r="AS259" s="14">
        <v>45891</v>
      </c>
      <c r="AT259" s="44">
        <v>51197</v>
      </c>
      <c r="AV259" s="14">
        <v>45889</v>
      </c>
      <c r="AW259" s="14">
        <v>45889</v>
      </c>
      <c r="AY259" s="2">
        <v>4084516</v>
      </c>
      <c r="AZ259" s="32">
        <v>45894</v>
      </c>
      <c r="BA259" s="1">
        <v>8215574</v>
      </c>
      <c r="BB259" s="2">
        <v>1478803</v>
      </c>
      <c r="BC259" s="5">
        <v>45894</v>
      </c>
      <c r="BD259" s="14">
        <v>45894</v>
      </c>
      <c r="BF259" s="5">
        <v>45895</v>
      </c>
      <c r="BG259" s="5">
        <v>45902</v>
      </c>
      <c r="BH259" s="1" t="s">
        <v>2070</v>
      </c>
      <c r="BI259" s="1" t="s">
        <v>273</v>
      </c>
      <c r="BJ259" s="15" t="s">
        <v>2071</v>
      </c>
      <c r="BM259" s="15" t="s">
        <v>2072</v>
      </c>
      <c r="BQ259" s="14">
        <v>45889</v>
      </c>
      <c r="BR259" s="5">
        <v>45889</v>
      </c>
    </row>
    <row r="260" spans="1:70" ht="18" customHeight="1" x14ac:dyDescent="0.3">
      <c r="A260" s="2">
        <v>260</v>
      </c>
      <c r="B260" s="2">
        <v>6942842</v>
      </c>
      <c r="C260" s="111">
        <v>45835</v>
      </c>
      <c r="D260" s="2">
        <v>700</v>
      </c>
      <c r="E260" s="2" t="s">
        <v>840</v>
      </c>
      <c r="F260" s="2" t="s">
        <v>1649</v>
      </c>
      <c r="G260" s="2" t="s">
        <v>1648</v>
      </c>
      <c r="H260" s="2">
        <v>10</v>
      </c>
      <c r="I260" s="83">
        <v>50755</v>
      </c>
      <c r="J260" s="2" t="s">
        <v>142</v>
      </c>
      <c r="K260" s="2" t="s">
        <v>126</v>
      </c>
      <c r="L260" s="2" t="s">
        <v>854</v>
      </c>
      <c r="M260" s="78">
        <v>45851</v>
      </c>
      <c r="N260" s="66" t="s">
        <v>2132</v>
      </c>
      <c r="Q260" s="67">
        <f t="shared" ref="Q260:Q265" si="28">AQ260-AB260</f>
        <v>3</v>
      </c>
      <c r="R260" s="29">
        <f t="shared" si="21"/>
        <v>50</v>
      </c>
      <c r="T260" s="1">
        <v>11</v>
      </c>
      <c r="U260" s="1" t="s">
        <v>1677</v>
      </c>
      <c r="V260" s="2" t="s">
        <v>161</v>
      </c>
      <c r="W260" s="64" t="s">
        <v>454</v>
      </c>
      <c r="X260" s="2">
        <v>20255081016</v>
      </c>
      <c r="Y260" s="14">
        <v>45847</v>
      </c>
      <c r="Z260" s="14">
        <v>45852</v>
      </c>
      <c r="AA260" s="4">
        <v>45851</v>
      </c>
      <c r="AB260" s="4">
        <v>45851</v>
      </c>
      <c r="AC260" s="14">
        <v>45854</v>
      </c>
      <c r="AD260" s="2">
        <v>17617661114</v>
      </c>
      <c r="AE260" s="2" t="s">
        <v>1678</v>
      </c>
      <c r="AF260" s="2">
        <v>1</v>
      </c>
      <c r="AG260" s="2">
        <v>1.5</v>
      </c>
      <c r="AH260" s="2"/>
      <c r="AI260" s="2" t="s">
        <v>180</v>
      </c>
      <c r="AJ260" s="2"/>
      <c r="AK260" s="4">
        <v>45849</v>
      </c>
      <c r="AL260" s="14">
        <v>45850</v>
      </c>
      <c r="AM260" s="14">
        <v>45850</v>
      </c>
      <c r="AN260" s="2"/>
      <c r="AO260" s="2">
        <v>3244617</v>
      </c>
      <c r="AP260" s="14">
        <v>45852</v>
      </c>
      <c r="AQ260" s="14">
        <v>45854</v>
      </c>
      <c r="AR260" s="15" t="s">
        <v>1938</v>
      </c>
      <c r="AS260" s="14">
        <v>45855</v>
      </c>
      <c r="AT260" s="44">
        <v>50821</v>
      </c>
      <c r="AV260" s="14">
        <v>45855</v>
      </c>
      <c r="AW260" s="14">
        <v>45856</v>
      </c>
      <c r="AY260" s="2">
        <v>4225514</v>
      </c>
      <c r="AZ260" s="129">
        <v>45901</v>
      </c>
      <c r="BA260" s="1">
        <v>61530</v>
      </c>
      <c r="BB260" s="2">
        <v>27049</v>
      </c>
      <c r="BC260" s="130">
        <v>45901</v>
      </c>
      <c r="BD260" s="14">
        <v>45902</v>
      </c>
      <c r="BF260" s="5">
        <v>45903</v>
      </c>
      <c r="BG260" s="5">
        <v>45904</v>
      </c>
      <c r="BH260" s="1" t="s">
        <v>2131</v>
      </c>
      <c r="BI260" s="1" t="s">
        <v>273</v>
      </c>
      <c r="BM260" s="15" t="s">
        <v>2067</v>
      </c>
      <c r="BQ260" s="14" t="s">
        <v>127</v>
      </c>
      <c r="BR260" s="1" t="s">
        <v>127</v>
      </c>
    </row>
    <row r="261" spans="1:70" ht="18" customHeight="1" x14ac:dyDescent="0.3">
      <c r="A261" s="2">
        <v>261</v>
      </c>
      <c r="B261" s="2">
        <v>6956872</v>
      </c>
      <c r="C261" s="111">
        <v>45849</v>
      </c>
      <c r="D261" s="2">
        <v>252150</v>
      </c>
      <c r="E261" s="2" t="s">
        <v>840</v>
      </c>
      <c r="F261" s="7" t="s">
        <v>1856</v>
      </c>
      <c r="G261" s="8" t="s">
        <v>1186</v>
      </c>
      <c r="H261" s="8" t="s">
        <v>525</v>
      </c>
      <c r="I261" s="83">
        <v>50943</v>
      </c>
      <c r="J261" s="2" t="s">
        <v>142</v>
      </c>
      <c r="K261" s="2" t="s">
        <v>126</v>
      </c>
      <c r="L261" s="2" t="s">
        <v>854</v>
      </c>
      <c r="M261" s="78">
        <v>45865</v>
      </c>
      <c r="N261" s="56" t="s">
        <v>2133</v>
      </c>
      <c r="Q261" s="67">
        <f t="shared" si="28"/>
        <v>2</v>
      </c>
      <c r="R261" s="29">
        <f t="shared" si="21"/>
        <v>37</v>
      </c>
      <c r="T261" s="1">
        <v>1640</v>
      </c>
      <c r="U261" s="2" t="s">
        <v>1857</v>
      </c>
      <c r="V261" s="2" t="s">
        <v>161</v>
      </c>
      <c r="W261" s="64" t="s">
        <v>454</v>
      </c>
      <c r="X261" s="2">
        <v>20255087137</v>
      </c>
      <c r="Y261" s="14">
        <v>45862</v>
      </c>
      <c r="Z261" s="14">
        <v>45870</v>
      </c>
      <c r="AA261" s="4">
        <v>45865</v>
      </c>
      <c r="AB261" s="4">
        <v>45865</v>
      </c>
      <c r="AC261" s="14">
        <v>45867</v>
      </c>
      <c r="AD261" s="2" t="s">
        <v>1858</v>
      </c>
      <c r="AE261" s="2" t="s">
        <v>1859</v>
      </c>
      <c r="AF261" s="2">
        <v>4</v>
      </c>
      <c r="AG261" s="2">
        <v>866</v>
      </c>
      <c r="AH261" s="2"/>
      <c r="AI261" s="2" t="s">
        <v>180</v>
      </c>
      <c r="AJ261" s="2"/>
      <c r="AK261" s="4">
        <v>45864</v>
      </c>
      <c r="AL261" s="14">
        <v>45864</v>
      </c>
      <c r="AM261" s="14">
        <v>45866</v>
      </c>
      <c r="AN261" s="2"/>
      <c r="AO261" s="2">
        <v>3532704</v>
      </c>
      <c r="AP261" s="14">
        <v>45866</v>
      </c>
      <c r="AQ261" s="14">
        <v>45867</v>
      </c>
      <c r="AR261" s="121" t="s">
        <v>2068</v>
      </c>
      <c r="AS261" s="14">
        <v>45869</v>
      </c>
      <c r="AT261" s="44">
        <v>50998</v>
      </c>
      <c r="AV261" s="14">
        <v>45869</v>
      </c>
      <c r="AW261" s="14">
        <v>45869</v>
      </c>
      <c r="AY261" s="64">
        <v>4227128</v>
      </c>
      <c r="AZ261" s="32">
        <v>45901</v>
      </c>
      <c r="BA261" s="1">
        <v>22163985</v>
      </c>
      <c r="BB261" s="2">
        <v>3989517</v>
      </c>
      <c r="BC261" s="5">
        <v>45901</v>
      </c>
      <c r="BD261" s="14">
        <v>45902</v>
      </c>
      <c r="BF261" s="5">
        <v>45903</v>
      </c>
      <c r="BG261" s="5">
        <v>45904</v>
      </c>
      <c r="BH261" s="1" t="s">
        <v>2131</v>
      </c>
      <c r="BI261" s="1" t="s">
        <v>273</v>
      </c>
      <c r="BM261" s="15" t="s">
        <v>2062</v>
      </c>
      <c r="BQ261" s="14">
        <v>45869</v>
      </c>
      <c r="BR261" s="5">
        <v>45869</v>
      </c>
    </row>
    <row r="262" spans="1:70" ht="18" customHeight="1" x14ac:dyDescent="0.3">
      <c r="A262" s="2">
        <v>262</v>
      </c>
      <c r="B262" s="2">
        <v>6948857</v>
      </c>
      <c r="C262" s="111">
        <v>45838</v>
      </c>
      <c r="D262" s="2">
        <v>80688</v>
      </c>
      <c r="E262" s="2" t="s">
        <v>840</v>
      </c>
      <c r="F262" s="8" t="s">
        <v>1441</v>
      </c>
      <c r="G262" s="8" t="s">
        <v>1186</v>
      </c>
      <c r="H262" s="8" t="s">
        <v>423</v>
      </c>
      <c r="I262" s="83">
        <v>50857</v>
      </c>
      <c r="J262" s="2" t="s">
        <v>142</v>
      </c>
      <c r="K262" s="2" t="s">
        <v>126</v>
      </c>
      <c r="L262" s="2" t="s">
        <v>854</v>
      </c>
      <c r="M262" s="78">
        <v>45860</v>
      </c>
      <c r="N262" s="56" t="s">
        <v>2135</v>
      </c>
      <c r="Q262" s="67">
        <f t="shared" si="28"/>
        <v>3</v>
      </c>
      <c r="R262" s="29">
        <f t="shared" si="21"/>
        <v>41</v>
      </c>
      <c r="T262" s="1">
        <v>525</v>
      </c>
      <c r="U262" s="1" t="s">
        <v>1780</v>
      </c>
      <c r="V262" s="1" t="s">
        <v>2087</v>
      </c>
      <c r="W262" s="79" t="s">
        <v>948</v>
      </c>
      <c r="X262" s="2">
        <v>20255084398</v>
      </c>
      <c r="Y262" s="14">
        <v>45856</v>
      </c>
      <c r="Z262" s="14">
        <v>45861</v>
      </c>
      <c r="AA262" s="4">
        <v>45860</v>
      </c>
      <c r="AB262" s="4">
        <v>45860</v>
      </c>
      <c r="AC262" s="14">
        <v>45863</v>
      </c>
      <c r="AD262" s="2" t="s">
        <v>1781</v>
      </c>
      <c r="AE262" s="2" t="s">
        <v>1782</v>
      </c>
      <c r="AF262" s="2">
        <v>1</v>
      </c>
      <c r="AG262" s="2">
        <v>272</v>
      </c>
      <c r="AH262" s="2"/>
      <c r="AI262" s="2" t="s">
        <v>629</v>
      </c>
      <c r="AJ262" s="2"/>
      <c r="AK262" s="4">
        <v>45859</v>
      </c>
      <c r="AL262" s="14">
        <v>45859</v>
      </c>
      <c r="AM262" s="14">
        <v>45859</v>
      </c>
      <c r="AN262" s="2"/>
      <c r="AO262" s="2">
        <v>3439019</v>
      </c>
      <c r="AP262" s="14">
        <v>45861</v>
      </c>
      <c r="AQ262" s="14">
        <v>45863</v>
      </c>
      <c r="AR262" s="15" t="s">
        <v>2069</v>
      </c>
      <c r="AS262" s="14">
        <v>45864</v>
      </c>
      <c r="AT262" s="44">
        <v>50952</v>
      </c>
      <c r="AV262" s="14">
        <v>45864</v>
      </c>
      <c r="AW262" s="14">
        <v>45866</v>
      </c>
      <c r="AY262" s="132">
        <v>4225508</v>
      </c>
      <c r="AZ262" s="131">
        <v>45901</v>
      </c>
      <c r="BA262" s="1">
        <v>7092475</v>
      </c>
      <c r="BB262" s="2">
        <v>1276646</v>
      </c>
      <c r="BC262" s="130">
        <v>45901</v>
      </c>
      <c r="BD262" s="14">
        <v>45902</v>
      </c>
      <c r="BF262" s="5">
        <v>45903</v>
      </c>
      <c r="BG262" s="5">
        <v>45904</v>
      </c>
      <c r="BH262" s="1" t="s">
        <v>2134</v>
      </c>
      <c r="BI262" s="1" t="s">
        <v>282</v>
      </c>
      <c r="BQ262" s="14">
        <v>45866</v>
      </c>
      <c r="BR262" s="14">
        <v>45866</v>
      </c>
    </row>
    <row r="263" spans="1:70" ht="18" customHeight="1" x14ac:dyDescent="0.3">
      <c r="A263" s="2">
        <v>263</v>
      </c>
      <c r="B263" s="8" t="s">
        <v>1786</v>
      </c>
      <c r="C263" s="8" t="s">
        <v>1751</v>
      </c>
      <c r="D263" s="8" t="s">
        <v>1787</v>
      </c>
      <c r="E263" s="2" t="s">
        <v>840</v>
      </c>
      <c r="F263" s="8" t="s">
        <v>1788</v>
      </c>
      <c r="G263" s="8" t="s">
        <v>1186</v>
      </c>
      <c r="H263" s="8" t="s">
        <v>1789</v>
      </c>
      <c r="I263" s="83">
        <v>50859</v>
      </c>
      <c r="J263" s="2" t="s">
        <v>142</v>
      </c>
      <c r="K263" s="2" t="s">
        <v>126</v>
      </c>
      <c r="L263" s="2" t="s">
        <v>854</v>
      </c>
      <c r="M263" s="78">
        <v>45860</v>
      </c>
      <c r="N263" s="66" t="s">
        <v>2136</v>
      </c>
      <c r="O263" s="8"/>
      <c r="Q263" s="67">
        <f t="shared" si="28"/>
        <v>3</v>
      </c>
      <c r="R263" s="29">
        <f t="shared" si="21"/>
        <v>41</v>
      </c>
      <c r="T263" s="1">
        <v>1268</v>
      </c>
      <c r="U263" s="8" t="s">
        <v>1790</v>
      </c>
      <c r="V263" s="1" t="s">
        <v>2087</v>
      </c>
      <c r="W263" s="79" t="s">
        <v>948</v>
      </c>
      <c r="X263" s="2">
        <v>20255084397</v>
      </c>
      <c r="Y263" s="14">
        <v>45856</v>
      </c>
      <c r="Z263" s="14">
        <v>45861</v>
      </c>
      <c r="AA263" s="4">
        <v>45860</v>
      </c>
      <c r="AB263" s="4">
        <v>45860</v>
      </c>
      <c r="AC263" s="14">
        <v>45863</v>
      </c>
      <c r="AD263" s="2" t="s">
        <v>1781</v>
      </c>
      <c r="AE263" s="2" t="s">
        <v>1791</v>
      </c>
      <c r="AF263" s="2">
        <v>3</v>
      </c>
      <c r="AG263" s="2">
        <v>668</v>
      </c>
      <c r="AH263" s="2"/>
      <c r="AI263" s="2" t="s">
        <v>629</v>
      </c>
      <c r="AJ263" s="2"/>
      <c r="AK263" s="4">
        <v>45859</v>
      </c>
      <c r="AL263" s="14">
        <v>45859</v>
      </c>
      <c r="AM263" s="14">
        <v>45859</v>
      </c>
      <c r="AN263" s="2"/>
      <c r="AO263" s="2">
        <v>3438714</v>
      </c>
      <c r="AP263" s="14">
        <v>45861</v>
      </c>
      <c r="AQ263" s="14">
        <v>45863</v>
      </c>
      <c r="AR263" s="15" t="s">
        <v>2069</v>
      </c>
      <c r="AS263" s="14">
        <v>45864</v>
      </c>
      <c r="AT263" s="44">
        <v>50951</v>
      </c>
      <c r="AV263" s="14">
        <v>45864</v>
      </c>
      <c r="AW263" s="14">
        <v>45866</v>
      </c>
      <c r="AY263" s="64">
        <v>4225639</v>
      </c>
      <c r="AZ263" s="131">
        <v>45901</v>
      </c>
      <c r="BA263" s="1">
        <v>17140148</v>
      </c>
      <c r="BB263" s="2">
        <v>3085227</v>
      </c>
      <c r="BC263" s="130">
        <v>45901</v>
      </c>
      <c r="BD263" s="14">
        <v>45902</v>
      </c>
      <c r="BF263" s="5">
        <v>45903</v>
      </c>
      <c r="BG263" s="5">
        <v>45904</v>
      </c>
      <c r="BH263" s="1" t="s">
        <v>2134</v>
      </c>
      <c r="BI263" s="1" t="s">
        <v>282</v>
      </c>
      <c r="BM263" s="15" t="s">
        <v>2062</v>
      </c>
      <c r="BQ263" s="14">
        <v>45866</v>
      </c>
      <c r="BR263" s="14">
        <v>45866</v>
      </c>
    </row>
    <row r="264" spans="1:70" ht="18.75" customHeight="1" x14ac:dyDescent="0.3">
      <c r="A264" s="2">
        <v>264</v>
      </c>
      <c r="B264" s="2">
        <v>6956873</v>
      </c>
      <c r="C264" s="111">
        <v>45849</v>
      </c>
      <c r="D264" s="2">
        <v>57154</v>
      </c>
      <c r="E264" s="2" t="s">
        <v>840</v>
      </c>
      <c r="F264" s="8" t="s">
        <v>1441</v>
      </c>
      <c r="G264" s="8" t="s">
        <v>1186</v>
      </c>
      <c r="H264" s="8" t="s">
        <v>1747</v>
      </c>
      <c r="I264" s="83">
        <v>50872</v>
      </c>
      <c r="J264" s="2" t="s">
        <v>142</v>
      </c>
      <c r="K264" s="2" t="s">
        <v>126</v>
      </c>
      <c r="L264" s="2" t="s">
        <v>854</v>
      </c>
      <c r="M264" s="78">
        <v>45863</v>
      </c>
      <c r="N264" s="56" t="s">
        <v>2137</v>
      </c>
      <c r="O264" s="1">
        <v>3390</v>
      </c>
      <c r="Q264" s="67">
        <f t="shared" si="28"/>
        <v>3</v>
      </c>
      <c r="R264" s="29">
        <f t="shared" si="21"/>
        <v>37</v>
      </c>
      <c r="T264" s="1">
        <v>372</v>
      </c>
      <c r="U264" s="2" t="s">
        <v>2064</v>
      </c>
      <c r="V264" s="1" t="s">
        <v>2087</v>
      </c>
      <c r="W264" s="79" t="s">
        <v>948</v>
      </c>
      <c r="X264" s="2">
        <v>20255084836</v>
      </c>
      <c r="Y264" s="14">
        <v>45856</v>
      </c>
      <c r="Z264" s="14">
        <v>45861</v>
      </c>
      <c r="AA264" s="4">
        <v>45863</v>
      </c>
      <c r="AB264" s="4">
        <v>45864</v>
      </c>
      <c r="AC264" s="14">
        <v>45867</v>
      </c>
      <c r="AD264" s="2" t="s">
        <v>1796</v>
      </c>
      <c r="AE264" s="2" t="s">
        <v>1797</v>
      </c>
      <c r="AF264" s="2">
        <v>1</v>
      </c>
      <c r="AG264" s="2">
        <v>198</v>
      </c>
      <c r="AH264" s="2"/>
      <c r="AI264" s="2" t="s">
        <v>180</v>
      </c>
      <c r="AJ264" s="2"/>
      <c r="AK264" s="4">
        <v>45860</v>
      </c>
      <c r="AL264" s="2" t="s">
        <v>1793</v>
      </c>
      <c r="AM264" s="14">
        <v>45860</v>
      </c>
      <c r="AN264" s="2"/>
      <c r="AO264" s="2">
        <v>3508544</v>
      </c>
      <c r="AP264" s="14">
        <v>45864</v>
      </c>
      <c r="AQ264" s="14">
        <v>45867</v>
      </c>
      <c r="AR264" s="15" t="s">
        <v>1939</v>
      </c>
      <c r="AS264" s="14">
        <v>45869</v>
      </c>
      <c r="AT264" s="44">
        <v>51000</v>
      </c>
      <c r="AV264" s="14">
        <v>45869</v>
      </c>
      <c r="AW264" s="14">
        <v>45869</v>
      </c>
      <c r="AY264" s="64">
        <v>4225512</v>
      </c>
      <c r="AZ264" s="131">
        <v>45901</v>
      </c>
      <c r="BA264" s="1">
        <v>5023837</v>
      </c>
      <c r="BB264" s="2">
        <v>904291</v>
      </c>
      <c r="BC264" s="130">
        <v>45901</v>
      </c>
      <c r="BD264" s="14">
        <v>45902</v>
      </c>
      <c r="BF264" s="5">
        <v>45903</v>
      </c>
      <c r="BG264" s="5">
        <v>45904</v>
      </c>
      <c r="BH264" s="1" t="s">
        <v>2134</v>
      </c>
      <c r="BI264" s="1" t="s">
        <v>282</v>
      </c>
      <c r="BM264" s="15" t="s">
        <v>2062</v>
      </c>
      <c r="BQ264" s="14">
        <v>45869</v>
      </c>
      <c r="BR264" s="5">
        <v>45891</v>
      </c>
    </row>
    <row r="265" spans="1:70" ht="18" customHeight="1" x14ac:dyDescent="0.3">
      <c r="A265" s="2">
        <v>265</v>
      </c>
      <c r="B265" s="8" t="s">
        <v>1987</v>
      </c>
      <c r="C265" s="8" t="s">
        <v>1988</v>
      </c>
      <c r="D265" s="8" t="s">
        <v>1989</v>
      </c>
      <c r="E265" s="2" t="s">
        <v>840</v>
      </c>
      <c r="F265" s="8" t="s">
        <v>1990</v>
      </c>
      <c r="G265" s="8" t="s">
        <v>1991</v>
      </c>
      <c r="H265" s="8" t="s">
        <v>1992</v>
      </c>
      <c r="I265" s="83">
        <v>51144</v>
      </c>
      <c r="J265" s="2" t="s">
        <v>1631</v>
      </c>
      <c r="K265" s="2" t="s">
        <v>126</v>
      </c>
      <c r="L265" s="2" t="s">
        <v>1632</v>
      </c>
      <c r="M265" s="78">
        <v>45886</v>
      </c>
      <c r="N265" s="56" t="s">
        <v>2147</v>
      </c>
      <c r="Q265" s="67">
        <f t="shared" si="28"/>
        <v>5</v>
      </c>
      <c r="R265" s="29">
        <f t="shared" si="21"/>
        <v>14</v>
      </c>
      <c r="T265" s="1">
        <v>1021</v>
      </c>
      <c r="U265" s="8" t="s">
        <v>1994</v>
      </c>
      <c r="V265" s="1" t="s">
        <v>1959</v>
      </c>
      <c r="W265" s="1" t="s">
        <v>818</v>
      </c>
      <c r="X265" s="2">
        <v>20255094896</v>
      </c>
      <c r="Y265" s="14">
        <v>45880</v>
      </c>
      <c r="Z265" s="14">
        <v>45887</v>
      </c>
      <c r="AA265" s="14">
        <v>45869</v>
      </c>
      <c r="AB265" s="14">
        <v>45886</v>
      </c>
      <c r="AC265" s="14">
        <v>45891</v>
      </c>
      <c r="AD265" s="2" t="s">
        <v>1971</v>
      </c>
      <c r="AE265" s="2" t="s">
        <v>1993</v>
      </c>
      <c r="AF265" s="2">
        <v>5</v>
      </c>
      <c r="AG265" s="2">
        <v>8.77</v>
      </c>
      <c r="AH265" s="2"/>
      <c r="AI265" s="2" t="s">
        <v>180</v>
      </c>
      <c r="AJ265" s="2"/>
      <c r="AK265" s="4">
        <v>45883</v>
      </c>
      <c r="AL265" s="14">
        <v>45882</v>
      </c>
      <c r="AM265" s="14">
        <v>45882</v>
      </c>
      <c r="AN265" s="2"/>
      <c r="AO265" s="2">
        <v>3949602</v>
      </c>
      <c r="AP265" s="14">
        <v>45887</v>
      </c>
      <c r="AQ265" s="14">
        <v>45891</v>
      </c>
      <c r="AS265" s="14">
        <v>45891</v>
      </c>
      <c r="AT265" s="44">
        <v>51205</v>
      </c>
      <c r="AV265" s="14">
        <v>45889</v>
      </c>
      <c r="AW265" s="14">
        <v>45889</v>
      </c>
      <c r="AY265" s="2">
        <v>4084517</v>
      </c>
      <c r="AZ265" s="32">
        <v>45894</v>
      </c>
      <c r="BA265" s="1">
        <v>13796257</v>
      </c>
      <c r="BB265" s="2">
        <v>2483326</v>
      </c>
      <c r="BC265" s="5">
        <v>45894</v>
      </c>
      <c r="BD265" s="14">
        <v>45895</v>
      </c>
      <c r="BF265" s="5">
        <v>45901</v>
      </c>
      <c r="BG265" s="5">
        <v>45905</v>
      </c>
      <c r="BH265" s="1" t="s">
        <v>2146</v>
      </c>
      <c r="BI265" s="1" t="s">
        <v>273</v>
      </c>
      <c r="BM265" s="15" t="s">
        <v>2025</v>
      </c>
      <c r="BQ265" s="14">
        <v>45889</v>
      </c>
      <c r="BR265" s="5">
        <v>45892</v>
      </c>
    </row>
    <row r="266" spans="1:70" ht="18" customHeight="1" x14ac:dyDescent="0.3">
      <c r="A266" s="2">
        <v>266</v>
      </c>
      <c r="B266" s="2">
        <v>6941993</v>
      </c>
      <c r="C266" s="111">
        <v>45821</v>
      </c>
      <c r="D266" s="2">
        <v>50430</v>
      </c>
      <c r="E266" s="2" t="s">
        <v>678</v>
      </c>
      <c r="F266" s="8" t="s">
        <v>1441</v>
      </c>
      <c r="G266" s="8" t="s">
        <v>1186</v>
      </c>
      <c r="H266" s="8" t="s">
        <v>520</v>
      </c>
      <c r="I266" s="83">
        <v>50545</v>
      </c>
      <c r="J266" s="2" t="s">
        <v>142</v>
      </c>
      <c r="K266" s="2" t="s">
        <v>126</v>
      </c>
      <c r="L266" s="2" t="s">
        <v>854</v>
      </c>
      <c r="M266" s="78">
        <v>45832</v>
      </c>
      <c r="N266" s="56" t="s">
        <v>2186</v>
      </c>
      <c r="O266" s="1">
        <v>900</v>
      </c>
      <c r="Q266" s="67">
        <f t="shared" ref="Q266:Q271" si="29">AQ266-AB266</f>
        <v>3</v>
      </c>
      <c r="R266" s="29">
        <f t="shared" si="21"/>
        <v>76</v>
      </c>
      <c r="T266" s="1"/>
      <c r="U266" s="1" t="s">
        <v>1490</v>
      </c>
      <c r="V266" s="1" t="s">
        <v>844</v>
      </c>
      <c r="W266" s="2" t="s">
        <v>380</v>
      </c>
      <c r="X266" s="2">
        <v>20255072313</v>
      </c>
      <c r="Y266" s="14">
        <v>45828</v>
      </c>
      <c r="Z266" s="14">
        <v>45836</v>
      </c>
      <c r="AA266" s="4">
        <v>45832</v>
      </c>
      <c r="AB266" s="4">
        <v>45832</v>
      </c>
      <c r="AC266" s="14">
        <v>45835</v>
      </c>
      <c r="AD266" s="2" t="s">
        <v>1488</v>
      </c>
      <c r="AE266" s="2" t="s">
        <v>1491</v>
      </c>
      <c r="AF266" s="2">
        <v>1</v>
      </c>
      <c r="AG266" s="2">
        <v>178</v>
      </c>
      <c r="AH266" s="2"/>
      <c r="AI266" s="2" t="s">
        <v>180</v>
      </c>
      <c r="AJ266" s="2"/>
      <c r="AK266" s="4">
        <v>45832</v>
      </c>
      <c r="AL266" s="14">
        <v>45832</v>
      </c>
      <c r="AM266" s="4">
        <v>45832</v>
      </c>
      <c r="AN266" s="2"/>
      <c r="AO266" s="2">
        <v>2849896</v>
      </c>
      <c r="AP266" s="14">
        <v>45832</v>
      </c>
      <c r="AQ266" s="14">
        <v>45835</v>
      </c>
      <c r="AR266" s="15" t="s">
        <v>1923</v>
      </c>
      <c r="AS266" s="14">
        <v>45836</v>
      </c>
      <c r="AT266" s="44">
        <v>50591</v>
      </c>
      <c r="AV266" s="14">
        <v>45836</v>
      </c>
      <c r="AW266" s="14">
        <v>45838</v>
      </c>
      <c r="AY266" s="2">
        <v>4385011</v>
      </c>
      <c r="AZ266" s="32">
        <v>45909</v>
      </c>
      <c r="BA266" s="1">
        <v>4488270</v>
      </c>
      <c r="BB266" s="2">
        <v>807889</v>
      </c>
      <c r="BC266" s="5">
        <v>45909</v>
      </c>
      <c r="BD266" s="5">
        <v>45909</v>
      </c>
      <c r="BF266" s="5">
        <v>45910</v>
      </c>
      <c r="BG266" s="5">
        <v>45911</v>
      </c>
      <c r="BH266" s="1" t="s">
        <v>2185</v>
      </c>
      <c r="BI266" s="1" t="s">
        <v>273</v>
      </c>
      <c r="BQ266" s="14">
        <v>45838</v>
      </c>
      <c r="BR266" s="5">
        <v>45904</v>
      </c>
    </row>
    <row r="267" spans="1:70" ht="18" customHeight="1" x14ac:dyDescent="0.3">
      <c r="A267" s="2">
        <v>267</v>
      </c>
      <c r="B267" s="2">
        <v>6945028</v>
      </c>
      <c r="C267" s="111">
        <v>45835</v>
      </c>
      <c r="D267" s="2">
        <v>131118</v>
      </c>
      <c r="E267" s="2" t="s">
        <v>840</v>
      </c>
      <c r="F267" s="8" t="s">
        <v>1441</v>
      </c>
      <c r="G267" s="8" t="s">
        <v>1186</v>
      </c>
      <c r="H267" s="8" t="s">
        <v>1683</v>
      </c>
      <c r="I267" s="83">
        <v>50758</v>
      </c>
      <c r="J267" s="2" t="s">
        <v>142</v>
      </c>
      <c r="K267" s="2" t="s">
        <v>126</v>
      </c>
      <c r="L267" s="2" t="s">
        <v>854</v>
      </c>
      <c r="M267" s="78">
        <v>45854</v>
      </c>
      <c r="N267" s="56" t="s">
        <v>2187</v>
      </c>
      <c r="Q267" s="67">
        <f t="shared" si="29"/>
        <v>4</v>
      </c>
      <c r="R267" s="29">
        <f t="shared" si="21"/>
        <v>52</v>
      </c>
      <c r="T267" s="1"/>
      <c r="U267" s="1" t="s">
        <v>1685</v>
      </c>
      <c r="V267" s="1" t="s">
        <v>844</v>
      </c>
      <c r="W267" s="2" t="s">
        <v>380</v>
      </c>
      <c r="X267" s="2">
        <v>20255080477</v>
      </c>
      <c r="Y267" s="14">
        <v>45846</v>
      </c>
      <c r="Z267" s="14">
        <v>45850</v>
      </c>
      <c r="AA267" s="4">
        <v>45854</v>
      </c>
      <c r="AB267" s="4">
        <v>45855</v>
      </c>
      <c r="AC267" s="14">
        <v>45859</v>
      </c>
      <c r="AD267" s="2">
        <v>61841618835</v>
      </c>
      <c r="AE267" s="2" t="s">
        <v>1684</v>
      </c>
      <c r="AF267" s="2">
        <v>2</v>
      </c>
      <c r="AG267" s="2">
        <v>452</v>
      </c>
      <c r="AH267" s="2"/>
      <c r="AI267" s="2" t="s">
        <v>180</v>
      </c>
      <c r="AJ267" s="2"/>
      <c r="AK267" s="4">
        <v>45850</v>
      </c>
      <c r="AL267" s="14">
        <v>45850</v>
      </c>
      <c r="AM267" s="14">
        <v>45850</v>
      </c>
      <c r="AN267" s="2"/>
      <c r="AO267" s="2">
        <v>3331594</v>
      </c>
      <c r="AP267" s="14">
        <v>45856</v>
      </c>
      <c r="AQ267" s="14">
        <v>45859</v>
      </c>
      <c r="AR267" s="15" t="s">
        <v>1925</v>
      </c>
      <c r="AS267" s="14">
        <v>45859</v>
      </c>
      <c r="AT267" s="44">
        <v>50863</v>
      </c>
      <c r="AV267" s="14">
        <v>45860</v>
      </c>
      <c r="AW267" s="14">
        <v>45860</v>
      </c>
      <c r="AY267" s="2">
        <v>4384843</v>
      </c>
      <c r="AZ267" s="32">
        <v>45909</v>
      </c>
      <c r="BA267" s="1">
        <v>11669502</v>
      </c>
      <c r="BB267" s="2">
        <v>2100510</v>
      </c>
      <c r="BC267" s="5">
        <v>45909</v>
      </c>
      <c r="BD267" s="5">
        <v>45909</v>
      </c>
      <c r="BF267" s="5">
        <v>45910</v>
      </c>
      <c r="BG267" s="5">
        <v>45911</v>
      </c>
      <c r="BH267" s="1" t="s">
        <v>2185</v>
      </c>
      <c r="BI267" s="1" t="s">
        <v>273</v>
      </c>
      <c r="BQ267" s="14">
        <v>45860</v>
      </c>
      <c r="BR267" s="5">
        <v>45904</v>
      </c>
    </row>
    <row r="268" spans="1:70" ht="18" customHeight="1" x14ac:dyDescent="0.3">
      <c r="A268" s="2">
        <v>268</v>
      </c>
      <c r="B268" s="8" t="s">
        <v>1762</v>
      </c>
      <c r="C268" s="8" t="s">
        <v>1716</v>
      </c>
      <c r="D268" s="8" t="s">
        <v>1763</v>
      </c>
      <c r="E268" s="2" t="s">
        <v>840</v>
      </c>
      <c r="F268" s="8" t="s">
        <v>1753</v>
      </c>
      <c r="G268" s="8" t="s">
        <v>1186</v>
      </c>
      <c r="H268" s="8" t="s">
        <v>1764</v>
      </c>
      <c r="I268" s="83">
        <v>50834</v>
      </c>
      <c r="J268" s="2" t="s">
        <v>142</v>
      </c>
      <c r="K268" s="2" t="s">
        <v>126</v>
      </c>
      <c r="L268" s="2" t="s">
        <v>854</v>
      </c>
      <c r="M268" s="78">
        <v>45858</v>
      </c>
      <c r="N268" s="56" t="s">
        <v>2188</v>
      </c>
      <c r="Q268" s="67">
        <f t="shared" si="29"/>
        <v>3</v>
      </c>
      <c r="R268" s="29">
        <f t="shared" si="21"/>
        <v>50</v>
      </c>
      <c r="T268" s="1"/>
      <c r="U268" s="8" t="s">
        <v>1765</v>
      </c>
      <c r="V268" s="1" t="s">
        <v>844</v>
      </c>
      <c r="W268" s="2" t="s">
        <v>380</v>
      </c>
      <c r="X268" s="2">
        <v>20255083280</v>
      </c>
      <c r="Y268" s="14">
        <v>45853</v>
      </c>
      <c r="Z268" s="14">
        <v>45856</v>
      </c>
      <c r="AA268" s="4">
        <v>45858</v>
      </c>
      <c r="AB268" s="4">
        <v>45858</v>
      </c>
      <c r="AC268" s="14">
        <v>45861</v>
      </c>
      <c r="AD268" s="2">
        <v>23210582913</v>
      </c>
      <c r="AE268" s="2" t="s">
        <v>1766</v>
      </c>
      <c r="AF268" s="2">
        <v>4</v>
      </c>
      <c r="AG268" s="2">
        <v>691</v>
      </c>
      <c r="AH268" s="2"/>
      <c r="AI268" s="2" t="s">
        <v>629</v>
      </c>
      <c r="AJ268" s="2"/>
      <c r="AK268" s="4">
        <v>45854</v>
      </c>
      <c r="AL268" s="14">
        <v>45856</v>
      </c>
      <c r="AM268" s="14">
        <v>45856</v>
      </c>
      <c r="AN268" s="2"/>
      <c r="AO268" s="2">
        <v>3400367</v>
      </c>
      <c r="AP268" s="14">
        <v>45859</v>
      </c>
      <c r="AQ268" s="14">
        <v>45861</v>
      </c>
      <c r="AR268" s="15" t="s">
        <v>1937</v>
      </c>
      <c r="AS268" s="14">
        <v>45864</v>
      </c>
      <c r="AT268" s="44">
        <v>50949</v>
      </c>
      <c r="AV268" s="14">
        <v>45864</v>
      </c>
      <c r="AW268" s="14">
        <v>45866</v>
      </c>
      <c r="AY268" s="2">
        <v>4384971</v>
      </c>
      <c r="AZ268" s="32">
        <v>45909</v>
      </c>
      <c r="BA268" s="1">
        <v>17953080</v>
      </c>
      <c r="BB268" s="2">
        <v>3231554</v>
      </c>
      <c r="BC268" s="5">
        <v>45909</v>
      </c>
      <c r="BD268" s="5">
        <v>45909</v>
      </c>
      <c r="BF268" s="5">
        <v>45910</v>
      </c>
      <c r="BG268" s="5">
        <v>45911</v>
      </c>
      <c r="BH268" s="1" t="s">
        <v>2185</v>
      </c>
      <c r="BI268" s="1" t="s">
        <v>273</v>
      </c>
      <c r="BQ268" s="14">
        <v>45866</v>
      </c>
      <c r="BR268" s="5">
        <v>45904</v>
      </c>
    </row>
    <row r="269" spans="1:70" ht="18" customHeight="1" x14ac:dyDescent="0.3">
      <c r="A269" s="2">
        <v>269</v>
      </c>
      <c r="B269" s="8" t="s">
        <v>2053</v>
      </c>
      <c r="C269" s="8" t="s">
        <v>2054</v>
      </c>
      <c r="D269" s="8" t="s">
        <v>2055</v>
      </c>
      <c r="E269" s="2" t="s">
        <v>678</v>
      </c>
      <c r="F269" s="8" t="s">
        <v>2057</v>
      </c>
      <c r="G269" s="8" t="s">
        <v>2056</v>
      </c>
      <c r="H269" s="8" t="s">
        <v>2149</v>
      </c>
      <c r="I269" s="83">
        <v>51228</v>
      </c>
      <c r="J269" s="2" t="s">
        <v>1631</v>
      </c>
      <c r="K269" s="2" t="s">
        <v>126</v>
      </c>
      <c r="L269" s="2" t="s">
        <v>1632</v>
      </c>
      <c r="M269" s="78">
        <v>45899</v>
      </c>
      <c r="N269" s="56" t="s">
        <v>2189</v>
      </c>
      <c r="Q269" s="67">
        <f t="shared" si="29"/>
        <v>4</v>
      </c>
      <c r="R269" s="29">
        <f t="shared" si="21"/>
        <v>8</v>
      </c>
      <c r="T269" s="1"/>
      <c r="U269" s="8" t="s">
        <v>2058</v>
      </c>
      <c r="V269" s="1" t="s">
        <v>844</v>
      </c>
      <c r="W269" s="2" t="s">
        <v>380</v>
      </c>
      <c r="X269" s="2">
        <v>20255099586</v>
      </c>
      <c r="Y269" s="14">
        <v>45890</v>
      </c>
      <c r="Z269" s="14">
        <v>45897</v>
      </c>
      <c r="AA269" s="14">
        <v>45884</v>
      </c>
      <c r="AB269" s="14">
        <v>45899</v>
      </c>
      <c r="AC269" s="14">
        <v>45903</v>
      </c>
      <c r="AD269" s="2" t="s">
        <v>2059</v>
      </c>
      <c r="AE269" s="2"/>
      <c r="AF269" s="2">
        <v>8</v>
      </c>
      <c r="AG269" s="2">
        <v>10.86</v>
      </c>
      <c r="AH269" s="2"/>
      <c r="AI269" s="2" t="s">
        <v>180</v>
      </c>
      <c r="AJ269" s="2"/>
      <c r="AK269" s="4">
        <v>45895</v>
      </c>
      <c r="AL269" s="4">
        <v>45895</v>
      </c>
      <c r="AM269" s="14">
        <v>45896</v>
      </c>
      <c r="AN269" s="2"/>
      <c r="AO269" s="79">
        <v>4210059</v>
      </c>
      <c r="AP269" s="14">
        <v>45899</v>
      </c>
      <c r="AQ269" s="14">
        <v>45903</v>
      </c>
      <c r="AR269" s="15" t="s">
        <v>2145</v>
      </c>
      <c r="AS269" s="14">
        <v>45905</v>
      </c>
      <c r="AT269" s="44">
        <v>51323</v>
      </c>
      <c r="AV269" s="14">
        <v>45905</v>
      </c>
      <c r="AW269" s="14">
        <v>45905</v>
      </c>
      <c r="AY269" s="2">
        <v>4384598</v>
      </c>
      <c r="AZ269" s="32">
        <v>45909</v>
      </c>
      <c r="BA269" s="1">
        <v>18031667</v>
      </c>
      <c r="BB269" s="2">
        <v>3245700</v>
      </c>
      <c r="BC269" s="5">
        <v>45909</v>
      </c>
      <c r="BD269" s="5">
        <v>45909</v>
      </c>
      <c r="BF269" s="5">
        <v>45910</v>
      </c>
      <c r="BG269" s="5">
        <v>45911</v>
      </c>
      <c r="BH269" s="1" t="s">
        <v>2185</v>
      </c>
      <c r="BI269" s="1" t="s">
        <v>273</v>
      </c>
      <c r="BQ269" s="14">
        <v>45905</v>
      </c>
      <c r="BR269" s="5">
        <v>45905</v>
      </c>
    </row>
    <row r="270" spans="1:70" ht="18" customHeight="1" x14ac:dyDescent="0.3">
      <c r="A270" s="2">
        <v>270</v>
      </c>
      <c r="B270" s="8" t="s">
        <v>1980</v>
      </c>
      <c r="C270" s="8" t="s">
        <v>1981</v>
      </c>
      <c r="D270" s="8" t="s">
        <v>1982</v>
      </c>
      <c r="E270" s="2" t="s">
        <v>840</v>
      </c>
      <c r="F270" s="8" t="s">
        <v>1983</v>
      </c>
      <c r="G270" s="8" t="s">
        <v>1733</v>
      </c>
      <c r="H270" s="8" t="s">
        <v>1984</v>
      </c>
      <c r="I270" s="83">
        <v>51143</v>
      </c>
      <c r="J270" s="2" t="s">
        <v>1631</v>
      </c>
      <c r="K270" s="2" t="s">
        <v>126</v>
      </c>
      <c r="L270" s="2" t="s">
        <v>1632</v>
      </c>
      <c r="M270" s="78">
        <v>45887</v>
      </c>
      <c r="N270" s="56" t="s">
        <v>2196</v>
      </c>
      <c r="Q270" s="67">
        <f t="shared" si="29"/>
        <v>18</v>
      </c>
      <c r="R270" s="29">
        <f t="shared" si="21"/>
        <v>8</v>
      </c>
      <c r="T270" s="1"/>
      <c r="U270" s="8" t="s">
        <v>1985</v>
      </c>
      <c r="V270" s="1" t="s">
        <v>2087</v>
      </c>
      <c r="W270" s="79" t="s">
        <v>948</v>
      </c>
      <c r="X270" s="2">
        <v>20255094292</v>
      </c>
      <c r="Y270" s="14">
        <v>45880</v>
      </c>
      <c r="Z270" s="14">
        <v>45883</v>
      </c>
      <c r="AA270" s="14">
        <v>45864</v>
      </c>
      <c r="AB270" s="14">
        <v>45886</v>
      </c>
      <c r="AC270" s="14">
        <v>45904</v>
      </c>
      <c r="AD270" s="2" t="s">
        <v>1986</v>
      </c>
      <c r="AE270" s="2"/>
      <c r="AF270" s="2">
        <v>8</v>
      </c>
      <c r="AG270" s="2">
        <v>1968</v>
      </c>
      <c r="AH270" s="2"/>
      <c r="AI270" s="2" t="s">
        <v>180</v>
      </c>
      <c r="AJ270" s="2"/>
      <c r="AK270" s="4">
        <v>45883</v>
      </c>
      <c r="AL270" s="14">
        <v>45882</v>
      </c>
      <c r="AM270" s="14">
        <v>45882</v>
      </c>
      <c r="AN270" s="2"/>
      <c r="AO270" s="2">
        <v>3953135</v>
      </c>
      <c r="AP270" s="14">
        <v>45887</v>
      </c>
      <c r="AQ270" s="14">
        <v>45904</v>
      </c>
      <c r="AR270" s="9" t="s">
        <v>2138</v>
      </c>
      <c r="AS270" s="14"/>
      <c r="AT270" s="44">
        <v>51201</v>
      </c>
      <c r="AV270" s="14">
        <v>45889</v>
      </c>
      <c r="AW270" s="14">
        <v>45889</v>
      </c>
      <c r="AY270" s="1">
        <v>4407100</v>
      </c>
      <c r="AZ270" s="5">
        <v>45910</v>
      </c>
      <c r="BA270" s="2">
        <v>18485300</v>
      </c>
      <c r="BB270" s="2">
        <v>3327354</v>
      </c>
      <c r="BC270" s="5">
        <v>45910</v>
      </c>
      <c r="BD270" s="2" t="s">
        <v>2194</v>
      </c>
      <c r="BF270" s="5">
        <v>45911</v>
      </c>
      <c r="BG270" s="5">
        <v>45912</v>
      </c>
      <c r="BH270" s="1" t="s">
        <v>2195</v>
      </c>
      <c r="BI270" s="1" t="s">
        <v>282</v>
      </c>
      <c r="BQ270" s="14">
        <v>45889</v>
      </c>
      <c r="BR270" s="5">
        <v>45890</v>
      </c>
    </row>
    <row r="271" spans="1:70" ht="18" customHeight="1" x14ac:dyDescent="0.3">
      <c r="A271" s="2">
        <v>271</v>
      </c>
      <c r="B271" s="8" t="s">
        <v>2037</v>
      </c>
      <c r="C271" s="8" t="s">
        <v>2038</v>
      </c>
      <c r="D271" s="8" t="s">
        <v>2039</v>
      </c>
      <c r="E271" s="2" t="s">
        <v>678</v>
      </c>
      <c r="F271" s="8" t="s">
        <v>2041</v>
      </c>
      <c r="G271" s="8" t="s">
        <v>2042</v>
      </c>
      <c r="H271" s="8" t="s">
        <v>2043</v>
      </c>
      <c r="I271" s="83">
        <v>51223</v>
      </c>
      <c r="J271" s="2" t="s">
        <v>1631</v>
      </c>
      <c r="K271" s="2" t="s">
        <v>126</v>
      </c>
      <c r="L271" s="2" t="s">
        <v>1632</v>
      </c>
      <c r="M271" s="78">
        <v>45899</v>
      </c>
      <c r="N271" s="56" t="s">
        <v>2197</v>
      </c>
      <c r="Q271" s="67">
        <f t="shared" si="29"/>
        <v>4</v>
      </c>
      <c r="R271" s="29">
        <f t="shared" si="21"/>
        <v>9</v>
      </c>
      <c r="T271" s="1"/>
      <c r="U271" s="8" t="s">
        <v>2045</v>
      </c>
      <c r="V271" s="1" t="s">
        <v>2087</v>
      </c>
      <c r="W271" s="79" t="s">
        <v>948</v>
      </c>
      <c r="X271" s="2">
        <v>20255099608</v>
      </c>
      <c r="Y271" s="14">
        <v>45890</v>
      </c>
      <c r="Z271" s="14">
        <v>45897</v>
      </c>
      <c r="AA271" s="14">
        <v>45884</v>
      </c>
      <c r="AB271" s="14">
        <v>45899</v>
      </c>
      <c r="AC271" s="14">
        <v>45903</v>
      </c>
      <c r="AD271" s="2" t="s">
        <v>2044</v>
      </c>
      <c r="AE271" s="2"/>
      <c r="AF271" s="2">
        <v>2</v>
      </c>
      <c r="AG271" s="2">
        <v>0.64</v>
      </c>
      <c r="AH271" s="2"/>
      <c r="AI271" s="2" t="s">
        <v>180</v>
      </c>
      <c r="AJ271" s="2"/>
      <c r="AK271" s="4">
        <v>45895</v>
      </c>
      <c r="AL271" s="4">
        <v>45895</v>
      </c>
      <c r="AM271" s="14">
        <v>45896</v>
      </c>
      <c r="AN271" s="2"/>
      <c r="AO271" s="2">
        <v>4210056</v>
      </c>
      <c r="AP271" s="14">
        <v>45899</v>
      </c>
      <c r="AQ271" s="14">
        <v>45903</v>
      </c>
      <c r="AR271" s="15" t="s">
        <v>2141</v>
      </c>
      <c r="AS271" s="2"/>
      <c r="AT271" s="44">
        <v>51328</v>
      </c>
      <c r="AV271" s="14">
        <v>45905</v>
      </c>
      <c r="AW271" s="14">
        <v>45905</v>
      </c>
      <c r="AY271" s="2">
        <v>4406685</v>
      </c>
      <c r="AZ271" s="32">
        <v>45910</v>
      </c>
      <c r="BA271" s="1">
        <v>991015</v>
      </c>
      <c r="BB271" s="2">
        <v>178383</v>
      </c>
      <c r="BC271" s="5">
        <v>45910</v>
      </c>
      <c r="BD271" s="2" t="s">
        <v>2194</v>
      </c>
      <c r="BF271" s="5">
        <v>45911</v>
      </c>
      <c r="BG271" s="5">
        <v>45912</v>
      </c>
      <c r="BH271" s="1" t="s">
        <v>2195</v>
      </c>
      <c r="BI271" s="1" t="s">
        <v>273</v>
      </c>
      <c r="BQ271" s="14">
        <v>45905</v>
      </c>
      <c r="BR271" s="5">
        <v>45909</v>
      </c>
    </row>
    <row r="272" spans="1:70" ht="18" customHeight="1" x14ac:dyDescent="0.3">
      <c r="A272" s="2">
        <v>272</v>
      </c>
      <c r="B272" s="8" t="s">
        <v>1973</v>
      </c>
      <c r="C272" s="8" t="s">
        <v>1974</v>
      </c>
      <c r="D272" s="8" t="s">
        <v>1975</v>
      </c>
      <c r="E272" s="2" t="s">
        <v>840</v>
      </c>
      <c r="F272" s="8" t="s">
        <v>1976</v>
      </c>
      <c r="G272" s="8" t="s">
        <v>1406</v>
      </c>
      <c r="H272" s="8" t="s">
        <v>1977</v>
      </c>
      <c r="I272" s="83">
        <v>51142</v>
      </c>
      <c r="J272" s="2" t="s">
        <v>1631</v>
      </c>
      <c r="K272" s="2" t="s">
        <v>126</v>
      </c>
      <c r="L272" s="2" t="s">
        <v>1632</v>
      </c>
      <c r="M272" s="78">
        <v>45886</v>
      </c>
      <c r="N272" s="56" t="s">
        <v>2199</v>
      </c>
      <c r="Q272" s="67">
        <f t="shared" ref="Q272:Q277" si="30">AQ272-AB272</f>
        <v>5</v>
      </c>
      <c r="R272" s="29">
        <f t="shared" si="21"/>
        <v>21</v>
      </c>
      <c r="T272" s="1">
        <v>1532</v>
      </c>
      <c r="U272" s="8" t="s">
        <v>1978</v>
      </c>
      <c r="V272" s="2" t="s">
        <v>626</v>
      </c>
      <c r="W272" s="1" t="s">
        <v>627</v>
      </c>
      <c r="X272" s="2">
        <v>20255094897</v>
      </c>
      <c r="Y272" s="14">
        <v>45880</v>
      </c>
      <c r="Z272" s="14">
        <v>45887</v>
      </c>
      <c r="AA272" s="14">
        <v>45869</v>
      </c>
      <c r="AB272" s="14">
        <v>45886</v>
      </c>
      <c r="AC272" s="14">
        <v>45891</v>
      </c>
      <c r="AD272" s="2" t="s">
        <v>1971</v>
      </c>
      <c r="AE272" s="2" t="s">
        <v>1979</v>
      </c>
      <c r="AF272" s="2">
        <v>7</v>
      </c>
      <c r="AG272" s="2">
        <v>11.7</v>
      </c>
      <c r="AH272" s="2"/>
      <c r="AI272" s="2" t="s">
        <v>180</v>
      </c>
      <c r="AJ272" s="2"/>
      <c r="AK272" s="4">
        <v>45883</v>
      </c>
      <c r="AL272" s="14">
        <v>45882</v>
      </c>
      <c r="AM272" s="14">
        <v>45882</v>
      </c>
      <c r="AN272" s="2"/>
      <c r="AO272" s="2">
        <v>3951952</v>
      </c>
      <c r="AP272" s="14">
        <v>45887</v>
      </c>
      <c r="AQ272" s="14">
        <v>45891</v>
      </c>
      <c r="AS272" s="14">
        <v>45891</v>
      </c>
      <c r="AT272" s="44">
        <v>51198</v>
      </c>
      <c r="AV272" s="14">
        <v>45889</v>
      </c>
      <c r="AW272" s="14">
        <v>45889</v>
      </c>
      <c r="AY272" s="2">
        <v>4406747</v>
      </c>
      <c r="AZ272" s="32">
        <v>45910</v>
      </c>
      <c r="BA272" s="1">
        <v>20710300</v>
      </c>
      <c r="BB272" s="2">
        <v>3727854</v>
      </c>
      <c r="BC272" s="5">
        <v>45910</v>
      </c>
      <c r="BD272" s="2" t="s">
        <v>2181</v>
      </c>
      <c r="BF272" s="5">
        <v>45912</v>
      </c>
      <c r="BG272" s="5">
        <v>45912</v>
      </c>
      <c r="BH272" s="1" t="s">
        <v>2198</v>
      </c>
      <c r="BI272" s="1" t="s">
        <v>273</v>
      </c>
      <c r="BQ272" s="14">
        <v>45889</v>
      </c>
      <c r="BR272" s="5">
        <v>45909</v>
      </c>
    </row>
    <row r="273" spans="1:70" ht="18" customHeight="1" x14ac:dyDescent="0.3">
      <c r="A273" s="2">
        <v>273</v>
      </c>
      <c r="B273" s="8" t="s">
        <v>2027</v>
      </c>
      <c r="C273" s="8" t="s">
        <v>2028</v>
      </c>
      <c r="D273" s="8" t="s">
        <v>1623</v>
      </c>
      <c r="E273" s="2" t="s">
        <v>840</v>
      </c>
      <c r="F273" s="8" t="s">
        <v>2029</v>
      </c>
      <c r="G273" s="8" t="s">
        <v>2030</v>
      </c>
      <c r="H273" s="8" t="s">
        <v>1626</v>
      </c>
      <c r="I273" s="83">
        <v>51219</v>
      </c>
      <c r="J273" s="2" t="s">
        <v>1631</v>
      </c>
      <c r="K273" s="2" t="s">
        <v>126</v>
      </c>
      <c r="L273" s="2" t="s">
        <v>1632</v>
      </c>
      <c r="M273" s="78">
        <v>45899</v>
      </c>
      <c r="N273" s="56" t="s">
        <v>2200</v>
      </c>
      <c r="Q273" s="67">
        <f t="shared" si="30"/>
        <v>4</v>
      </c>
      <c r="R273" s="29">
        <f t="shared" si="21"/>
        <v>9</v>
      </c>
      <c r="T273" s="1">
        <v>766</v>
      </c>
      <c r="U273" s="8" t="s">
        <v>1978</v>
      </c>
      <c r="V273" s="2" t="s">
        <v>626</v>
      </c>
      <c r="W273" s="1" t="s">
        <v>627</v>
      </c>
      <c r="X273" s="2">
        <v>20255099606</v>
      </c>
      <c r="Y273" s="14">
        <v>45890</v>
      </c>
      <c r="Z273" s="14">
        <v>45897</v>
      </c>
      <c r="AA273" s="14">
        <v>45884</v>
      </c>
      <c r="AB273" s="14">
        <v>45899</v>
      </c>
      <c r="AC273" s="14">
        <v>45903</v>
      </c>
      <c r="AD273" s="2" t="s">
        <v>2031</v>
      </c>
      <c r="AE273" s="2"/>
      <c r="AF273" s="2">
        <v>4</v>
      </c>
      <c r="AG273" s="2">
        <v>6</v>
      </c>
      <c r="AH273" s="2"/>
      <c r="AI273" s="2" t="s">
        <v>180</v>
      </c>
      <c r="AJ273" s="2"/>
      <c r="AK273" s="4">
        <v>45895</v>
      </c>
      <c r="AL273" s="4">
        <v>45895</v>
      </c>
      <c r="AM273" s="14">
        <v>45897</v>
      </c>
      <c r="AN273" s="2"/>
      <c r="AO273" s="79">
        <v>4210050</v>
      </c>
      <c r="AP273" s="14">
        <v>45899</v>
      </c>
      <c r="AQ273" s="14">
        <v>45903</v>
      </c>
      <c r="AR273" s="15" t="s">
        <v>2139</v>
      </c>
      <c r="AS273" s="2"/>
      <c r="AT273" s="44">
        <v>51324</v>
      </c>
      <c r="AV273" s="14">
        <v>45905</v>
      </c>
      <c r="AW273" s="14">
        <v>45905</v>
      </c>
      <c r="AY273" s="2">
        <v>4406684</v>
      </c>
      <c r="AZ273" s="32">
        <v>45910</v>
      </c>
      <c r="BA273" s="1">
        <v>10355150</v>
      </c>
      <c r="BB273" s="2">
        <v>1863927</v>
      </c>
      <c r="BC273" s="5">
        <v>45910</v>
      </c>
      <c r="BD273" s="2" t="s">
        <v>2181</v>
      </c>
      <c r="BF273" s="5">
        <v>45912</v>
      </c>
      <c r="BG273" s="5">
        <v>45912</v>
      </c>
      <c r="BH273" s="1" t="s">
        <v>2198</v>
      </c>
      <c r="BI273" s="1" t="s">
        <v>273</v>
      </c>
      <c r="BQ273" s="14">
        <v>45540</v>
      </c>
      <c r="BR273" s="5">
        <v>45909</v>
      </c>
    </row>
    <row r="274" spans="1:70" ht="18" customHeight="1" x14ac:dyDescent="0.3">
      <c r="A274" s="2">
        <v>274</v>
      </c>
      <c r="B274" s="2">
        <v>6975856</v>
      </c>
      <c r="C274" s="111">
        <v>45874</v>
      </c>
      <c r="D274" s="2">
        <v>144274</v>
      </c>
      <c r="E274" s="2" t="s">
        <v>678</v>
      </c>
      <c r="F274" s="8" t="s">
        <v>2032</v>
      </c>
      <c r="G274" s="8" t="s">
        <v>2033</v>
      </c>
      <c r="H274" s="8" t="s">
        <v>2034</v>
      </c>
      <c r="I274" s="83">
        <v>51222</v>
      </c>
      <c r="J274" s="2" t="s">
        <v>1631</v>
      </c>
      <c r="K274" s="2" t="s">
        <v>126</v>
      </c>
      <c r="L274" s="2" t="s">
        <v>1632</v>
      </c>
      <c r="M274" s="78">
        <v>45899</v>
      </c>
      <c r="N274" s="56" t="s">
        <v>2202</v>
      </c>
      <c r="Q274" s="67">
        <f t="shared" si="30"/>
        <v>4</v>
      </c>
      <c r="R274" s="29">
        <f t="shared" si="21"/>
        <v>10</v>
      </c>
      <c r="T274" s="1">
        <v>950</v>
      </c>
      <c r="U274" s="1" t="s">
        <v>2035</v>
      </c>
      <c r="V274" s="1" t="s">
        <v>645</v>
      </c>
      <c r="W274" s="79" t="s">
        <v>426</v>
      </c>
      <c r="X274" s="2">
        <v>20255099613</v>
      </c>
      <c r="Y274" s="14">
        <v>45890</v>
      </c>
      <c r="Z274" s="14">
        <v>45897</v>
      </c>
      <c r="AA274" s="14">
        <v>45884</v>
      </c>
      <c r="AB274" s="14">
        <v>45899</v>
      </c>
      <c r="AC274" s="14">
        <v>45903</v>
      </c>
      <c r="AD274" s="2" t="s">
        <v>2036</v>
      </c>
      <c r="AE274" s="2"/>
      <c r="AF274" s="2">
        <v>5</v>
      </c>
      <c r="AG274" s="2">
        <v>7.39</v>
      </c>
      <c r="AH274" s="2"/>
      <c r="AI274" s="2" t="s">
        <v>180</v>
      </c>
      <c r="AJ274" s="2"/>
      <c r="AK274" s="4">
        <v>45895</v>
      </c>
      <c r="AL274" s="4">
        <v>45895</v>
      </c>
      <c r="AM274" s="14">
        <v>45896</v>
      </c>
      <c r="AN274" s="2"/>
      <c r="AO274" s="2">
        <v>4210053</v>
      </c>
      <c r="AP274" s="14">
        <v>45899</v>
      </c>
      <c r="AQ274" s="14">
        <v>45903</v>
      </c>
      <c r="AR274" s="15" t="s">
        <v>2140</v>
      </c>
      <c r="AS274" s="2"/>
      <c r="AT274" s="44">
        <v>51326</v>
      </c>
      <c r="AV274" s="14">
        <v>45905</v>
      </c>
      <c r="AW274" s="14">
        <v>45905</v>
      </c>
      <c r="AY274" s="2">
        <v>4406683</v>
      </c>
      <c r="AZ274" s="32">
        <v>45910</v>
      </c>
      <c r="BA274" s="1">
        <v>12840386</v>
      </c>
      <c r="BB274" s="2">
        <v>2311269</v>
      </c>
      <c r="BC274" s="5">
        <v>45910</v>
      </c>
      <c r="BD274" s="2" t="s">
        <v>2181</v>
      </c>
      <c r="BF274" s="5">
        <v>45912</v>
      </c>
      <c r="BG274" s="5">
        <v>45913</v>
      </c>
      <c r="BH274" s="1" t="s">
        <v>2201</v>
      </c>
      <c r="BI274" s="1" t="s">
        <v>273</v>
      </c>
      <c r="BQ274" s="14">
        <v>45905</v>
      </c>
      <c r="BR274" s="5">
        <v>45909</v>
      </c>
    </row>
    <row r="275" spans="1:70" ht="18" customHeight="1" x14ac:dyDescent="0.3">
      <c r="A275" s="2">
        <v>275</v>
      </c>
      <c r="B275" s="2">
        <v>6975080</v>
      </c>
      <c r="C275" s="111">
        <v>45874</v>
      </c>
      <c r="D275" s="2">
        <v>116350</v>
      </c>
      <c r="E275" s="2" t="s">
        <v>678</v>
      </c>
      <c r="F275" s="8" t="s">
        <v>2040</v>
      </c>
      <c r="G275" s="8" t="s">
        <v>1775</v>
      </c>
      <c r="H275" s="8" t="s">
        <v>749</v>
      </c>
      <c r="I275" s="83">
        <v>51224</v>
      </c>
      <c r="J275" s="2" t="s">
        <v>1631</v>
      </c>
      <c r="K275" s="2" t="s">
        <v>126</v>
      </c>
      <c r="L275" s="2" t="s">
        <v>1632</v>
      </c>
      <c r="M275" s="78">
        <v>45899</v>
      </c>
      <c r="N275" s="56" t="s">
        <v>2204</v>
      </c>
      <c r="Q275" s="67">
        <f t="shared" si="30"/>
        <v>4</v>
      </c>
      <c r="R275" s="29">
        <f t="shared" si="21"/>
        <v>10</v>
      </c>
      <c r="T275" s="1" t="s">
        <v>2184</v>
      </c>
      <c r="U275" s="1" t="s">
        <v>2047</v>
      </c>
      <c r="V275" s="2" t="s">
        <v>239</v>
      </c>
      <c r="W275" s="2" t="s">
        <v>454</v>
      </c>
      <c r="X275" s="2">
        <v>20255099610</v>
      </c>
      <c r="Y275" s="14">
        <v>45890</v>
      </c>
      <c r="Z275" s="14">
        <v>45897</v>
      </c>
      <c r="AA275" s="14">
        <v>45884</v>
      </c>
      <c r="AB275" s="14">
        <v>45899</v>
      </c>
      <c r="AC275" s="14">
        <v>45903</v>
      </c>
      <c r="AD275" s="2" t="s">
        <v>2046</v>
      </c>
      <c r="AE275" s="2"/>
      <c r="AF275" s="2">
        <v>4</v>
      </c>
      <c r="AG275" s="2">
        <v>5.97</v>
      </c>
      <c r="AH275" s="2"/>
      <c r="AI275" s="2" t="s">
        <v>180</v>
      </c>
      <c r="AJ275" s="2"/>
      <c r="AK275" s="4">
        <v>45895</v>
      </c>
      <c r="AL275" s="4">
        <v>45895</v>
      </c>
      <c r="AM275" s="14">
        <v>45896</v>
      </c>
      <c r="AN275" s="2"/>
      <c r="AO275" s="2">
        <v>4210048</v>
      </c>
      <c r="AP275" s="14">
        <v>45899</v>
      </c>
      <c r="AQ275" s="14">
        <v>45903</v>
      </c>
      <c r="AR275" s="15" t="s">
        <v>2142</v>
      </c>
      <c r="AS275" s="2"/>
      <c r="AT275" s="44">
        <v>51329</v>
      </c>
      <c r="AV275" s="14">
        <v>45905</v>
      </c>
      <c r="AW275" s="14">
        <v>45905</v>
      </c>
      <c r="AY275" s="2">
        <v>4415550</v>
      </c>
      <c r="AZ275" s="32">
        <v>45910</v>
      </c>
      <c r="BA275" s="1" t="s">
        <v>2159</v>
      </c>
      <c r="BB275" s="2">
        <v>1863927</v>
      </c>
      <c r="BC275" s="5">
        <v>45910</v>
      </c>
      <c r="BD275" s="2" t="s">
        <v>2181</v>
      </c>
      <c r="BF275" s="5">
        <v>45912</v>
      </c>
      <c r="BG275" s="5">
        <v>45913</v>
      </c>
      <c r="BH275" s="1" t="s">
        <v>2203</v>
      </c>
      <c r="BI275" s="1" t="s">
        <v>273</v>
      </c>
      <c r="BM275" s="15" t="s">
        <v>2160</v>
      </c>
      <c r="BQ275" s="14">
        <v>45905</v>
      </c>
      <c r="BR275" s="5">
        <v>45910</v>
      </c>
    </row>
    <row r="276" spans="1:70" ht="18" customHeight="1" x14ac:dyDescent="0.3">
      <c r="A276" s="2">
        <v>276</v>
      </c>
      <c r="B276" s="2">
        <v>6975846</v>
      </c>
      <c r="C276" s="111">
        <v>45873</v>
      </c>
      <c r="D276" s="2">
        <v>116350</v>
      </c>
      <c r="E276" s="2" t="s">
        <v>678</v>
      </c>
      <c r="F276" s="8" t="s">
        <v>2040</v>
      </c>
      <c r="G276" s="8" t="s">
        <v>1775</v>
      </c>
      <c r="H276" s="8" t="s">
        <v>749</v>
      </c>
      <c r="I276" s="83">
        <v>51226</v>
      </c>
      <c r="J276" s="2" t="s">
        <v>1631</v>
      </c>
      <c r="K276" s="2" t="s">
        <v>126</v>
      </c>
      <c r="L276" s="2" t="s">
        <v>1632</v>
      </c>
      <c r="M276" s="78">
        <v>45899</v>
      </c>
      <c r="N276" s="56" t="s">
        <v>2206</v>
      </c>
      <c r="Q276" s="67">
        <f t="shared" si="30"/>
        <v>4</v>
      </c>
      <c r="R276" s="29">
        <f t="shared" si="21"/>
        <v>10</v>
      </c>
      <c r="T276" s="1">
        <v>766</v>
      </c>
      <c r="U276" s="1" t="s">
        <v>2049</v>
      </c>
      <c r="V276" s="2" t="s">
        <v>161</v>
      </c>
      <c r="W276" s="2" t="s">
        <v>454</v>
      </c>
      <c r="X276" s="2">
        <v>20255099594</v>
      </c>
      <c r="Y276" s="14">
        <v>45890</v>
      </c>
      <c r="Z276" s="14">
        <v>45897</v>
      </c>
      <c r="AA276" s="14">
        <v>45884</v>
      </c>
      <c r="AB276" s="14">
        <v>45899</v>
      </c>
      <c r="AC276" s="14">
        <v>45903</v>
      </c>
      <c r="AD276" s="2" t="s">
        <v>2048</v>
      </c>
      <c r="AE276" s="2"/>
      <c r="AF276" s="2">
        <v>4</v>
      </c>
      <c r="AG276" s="2">
        <v>5.97</v>
      </c>
      <c r="AH276" s="2"/>
      <c r="AI276" s="2" t="s">
        <v>180</v>
      </c>
      <c r="AJ276" s="2"/>
      <c r="AK276" s="4">
        <v>45895</v>
      </c>
      <c r="AL276" s="4">
        <v>45895</v>
      </c>
      <c r="AM276" s="14">
        <v>45896</v>
      </c>
      <c r="AN276" s="2"/>
      <c r="AO276" s="2">
        <v>4210051</v>
      </c>
      <c r="AP276" s="14">
        <v>45899</v>
      </c>
      <c r="AQ276" s="14">
        <v>45903</v>
      </c>
      <c r="AR276" s="15" t="s">
        <v>2143</v>
      </c>
      <c r="AS276" s="2"/>
      <c r="AT276" s="44">
        <v>51330</v>
      </c>
      <c r="AV276" s="14">
        <v>45905</v>
      </c>
      <c r="AW276" s="14">
        <v>45905</v>
      </c>
      <c r="AY276" s="2">
        <v>4415546</v>
      </c>
      <c r="AZ276" s="32">
        <v>45910</v>
      </c>
      <c r="BA276" s="1">
        <v>10355150</v>
      </c>
      <c r="BB276" s="2">
        <v>1863927</v>
      </c>
      <c r="BC276" s="5">
        <v>45910</v>
      </c>
      <c r="BD276" s="2" t="s">
        <v>2181</v>
      </c>
      <c r="BF276" s="5">
        <v>45912</v>
      </c>
      <c r="BG276" s="5">
        <v>45913</v>
      </c>
      <c r="BH276" s="1" t="s">
        <v>2205</v>
      </c>
      <c r="BI276" s="1" t="s">
        <v>273</v>
      </c>
      <c r="BM276" s="15" t="s">
        <v>2160</v>
      </c>
      <c r="BQ276" s="14">
        <v>45905</v>
      </c>
      <c r="BR276" s="5">
        <v>45910</v>
      </c>
    </row>
    <row r="277" spans="1:70" ht="18" customHeight="1" x14ac:dyDescent="0.3">
      <c r="A277" s="2">
        <v>277</v>
      </c>
      <c r="B277" s="2">
        <v>6975847</v>
      </c>
      <c r="C277" s="111">
        <v>45869</v>
      </c>
      <c r="D277" s="2">
        <v>23270</v>
      </c>
      <c r="E277" s="2" t="s">
        <v>678</v>
      </c>
      <c r="F277" s="8" t="s">
        <v>2050</v>
      </c>
      <c r="G277" s="8" t="s">
        <v>2000</v>
      </c>
      <c r="H277" s="8" t="s">
        <v>770</v>
      </c>
      <c r="I277" s="83">
        <v>51227</v>
      </c>
      <c r="J277" s="2" t="s">
        <v>1631</v>
      </c>
      <c r="K277" s="2" t="s">
        <v>126</v>
      </c>
      <c r="L277" s="2" t="s">
        <v>1632</v>
      </c>
      <c r="M277" s="78">
        <v>45899</v>
      </c>
      <c r="N277" s="56" t="s">
        <v>2207</v>
      </c>
      <c r="Q277" s="67">
        <f t="shared" si="30"/>
        <v>4</v>
      </c>
      <c r="R277" s="29">
        <f t="shared" si="21"/>
        <v>10</v>
      </c>
      <c r="T277" s="1" t="s">
        <v>511</v>
      </c>
      <c r="U277" s="1" t="s">
        <v>2052</v>
      </c>
      <c r="V277" s="2" t="s">
        <v>161</v>
      </c>
      <c r="W277" s="2" t="s">
        <v>454</v>
      </c>
      <c r="X277" s="2">
        <v>20255099605</v>
      </c>
      <c r="Y277" s="14">
        <v>45890</v>
      </c>
      <c r="Z277" s="14">
        <v>45897</v>
      </c>
      <c r="AA277" s="14">
        <v>45884</v>
      </c>
      <c r="AB277" s="14">
        <v>45899</v>
      </c>
      <c r="AC277" s="14">
        <v>45903</v>
      </c>
      <c r="AD277" s="2" t="s">
        <v>2051</v>
      </c>
      <c r="AE277" s="2"/>
      <c r="AF277" s="2">
        <v>1</v>
      </c>
      <c r="AG277" s="2">
        <v>1.22</v>
      </c>
      <c r="AH277" s="2"/>
      <c r="AI277" s="2" t="s">
        <v>180</v>
      </c>
      <c r="AJ277" s="2"/>
      <c r="AK277" s="4">
        <v>45895</v>
      </c>
      <c r="AL277" s="4">
        <v>45895</v>
      </c>
      <c r="AM277" s="14">
        <v>45897</v>
      </c>
      <c r="AN277" s="2"/>
      <c r="AO277" s="2">
        <v>4210055</v>
      </c>
      <c r="AP277" s="14">
        <v>45899</v>
      </c>
      <c r="AQ277" s="14">
        <v>45903</v>
      </c>
      <c r="AR277" s="15" t="s">
        <v>2144</v>
      </c>
      <c r="AS277" s="2"/>
      <c r="AT277" s="44">
        <v>51331</v>
      </c>
      <c r="AV277" s="14">
        <v>45905</v>
      </c>
      <c r="AW277" s="14">
        <v>45905</v>
      </c>
      <c r="AY277" s="2">
        <v>4415539</v>
      </c>
      <c r="AZ277" s="32">
        <v>45910</v>
      </c>
      <c r="BA277" s="1" t="s">
        <v>2158</v>
      </c>
      <c r="BB277" s="2">
        <v>372785</v>
      </c>
      <c r="BC277" s="5">
        <v>45910</v>
      </c>
      <c r="BD277" s="2" t="s">
        <v>2181</v>
      </c>
      <c r="BF277" s="5">
        <v>45912</v>
      </c>
      <c r="BG277" s="5">
        <v>45913</v>
      </c>
      <c r="BH277" s="1" t="s">
        <v>2205</v>
      </c>
      <c r="BI277" s="1" t="s">
        <v>273</v>
      </c>
      <c r="BM277" s="15" t="s">
        <v>2160</v>
      </c>
      <c r="BQ277" s="14">
        <v>45905</v>
      </c>
      <c r="BR277" s="5">
        <v>45910</v>
      </c>
    </row>
    <row r="278" spans="1:70" ht="18" customHeight="1" x14ac:dyDescent="0.3">
      <c r="A278" s="2">
        <v>278</v>
      </c>
      <c r="B278" s="2">
        <v>250720676</v>
      </c>
      <c r="C278" s="111">
        <v>45874</v>
      </c>
      <c r="D278" s="2">
        <v>46902.720000000001</v>
      </c>
      <c r="E278" s="2" t="s">
        <v>677</v>
      </c>
      <c r="F278" s="2" t="s">
        <v>1816</v>
      </c>
      <c r="G278" s="2" t="s">
        <v>1815</v>
      </c>
      <c r="H278" s="2">
        <v>1</v>
      </c>
      <c r="I278" s="83">
        <v>51112</v>
      </c>
      <c r="J278" s="2" t="s">
        <v>142</v>
      </c>
      <c r="K278" s="2" t="s">
        <v>126</v>
      </c>
      <c r="L278" s="2" t="s">
        <v>854</v>
      </c>
      <c r="M278" s="78">
        <v>45881</v>
      </c>
      <c r="N278" s="56" t="s">
        <v>2255</v>
      </c>
      <c r="Q278" s="67">
        <f t="shared" ref="Q278:Q283" si="31">AQ278-AB278</f>
        <v>1</v>
      </c>
      <c r="R278" s="29">
        <f t="shared" si="21"/>
        <v>35</v>
      </c>
      <c r="T278" s="1">
        <v>307</v>
      </c>
      <c r="U278" s="1" t="s">
        <v>1829</v>
      </c>
      <c r="V278" s="2" t="s">
        <v>755</v>
      </c>
      <c r="W278" s="1" t="s">
        <v>827</v>
      </c>
      <c r="X278" s="2" t="s">
        <v>1961</v>
      </c>
      <c r="Y278" s="14">
        <v>45875</v>
      </c>
      <c r="Z278" s="14">
        <v>45880</v>
      </c>
      <c r="AA278" s="14">
        <v>45881</v>
      </c>
      <c r="AB278" s="14">
        <v>45881</v>
      </c>
      <c r="AC278" s="14">
        <v>45882</v>
      </c>
      <c r="AD278" s="2" t="s">
        <v>1962</v>
      </c>
      <c r="AE278" s="2">
        <v>4840725566</v>
      </c>
      <c r="AF278" s="2">
        <v>1</v>
      </c>
      <c r="AG278" s="2">
        <v>2</v>
      </c>
      <c r="AH278" s="2"/>
      <c r="AI278" s="2" t="s">
        <v>179</v>
      </c>
      <c r="AJ278" s="2"/>
      <c r="AK278" s="4">
        <v>45879</v>
      </c>
      <c r="AL278" s="14">
        <v>45880</v>
      </c>
      <c r="AM278" s="14">
        <v>45880</v>
      </c>
      <c r="AN278" s="2"/>
      <c r="AO278" s="2">
        <v>3834887</v>
      </c>
      <c r="AP278" s="14">
        <v>45881</v>
      </c>
      <c r="AQ278" s="14">
        <v>45882</v>
      </c>
      <c r="AR278" s="15" t="s">
        <v>2248</v>
      </c>
      <c r="AS278" s="14">
        <v>45881</v>
      </c>
      <c r="AT278" s="44">
        <v>51132</v>
      </c>
      <c r="AV278" s="14">
        <v>45881</v>
      </c>
      <c r="AW278" s="14">
        <v>45882</v>
      </c>
      <c r="AY278" s="2">
        <v>3939542</v>
      </c>
      <c r="AZ278" s="32">
        <v>45887</v>
      </c>
      <c r="BA278" s="1">
        <v>4155581</v>
      </c>
      <c r="BB278" s="2">
        <v>748005</v>
      </c>
      <c r="BC278" s="5">
        <v>45887</v>
      </c>
      <c r="BD278" s="14">
        <v>45888</v>
      </c>
      <c r="BF278" s="5">
        <v>45890</v>
      </c>
      <c r="BG278" s="5">
        <v>45917</v>
      </c>
      <c r="BH278" s="1" t="s">
        <v>2254</v>
      </c>
      <c r="BI278" s="1" t="s">
        <v>273</v>
      </c>
      <c r="BQ278" s="14">
        <v>45882</v>
      </c>
      <c r="BR278" s="5">
        <v>45882</v>
      </c>
    </row>
    <row r="279" spans="1:70" ht="18" customHeight="1" x14ac:dyDescent="0.3">
      <c r="A279" s="2">
        <v>279</v>
      </c>
      <c r="B279" s="2">
        <v>250814217</v>
      </c>
      <c r="C279" s="111">
        <v>45902</v>
      </c>
      <c r="D279" s="2">
        <v>140708.16</v>
      </c>
      <c r="E279" s="2" t="s">
        <v>677</v>
      </c>
      <c r="F279" s="2" t="s">
        <v>1816</v>
      </c>
      <c r="G279" s="2" t="s">
        <v>1815</v>
      </c>
      <c r="H279" s="2">
        <v>3</v>
      </c>
      <c r="I279" s="83">
        <v>51348</v>
      </c>
      <c r="J279" s="2" t="s">
        <v>142</v>
      </c>
      <c r="K279" s="2" t="s">
        <v>126</v>
      </c>
      <c r="L279" s="2" t="s">
        <v>854</v>
      </c>
      <c r="M279" s="78">
        <v>45909</v>
      </c>
      <c r="N279" s="56" t="s">
        <v>2256</v>
      </c>
      <c r="Q279" s="67">
        <f t="shared" si="31"/>
        <v>3</v>
      </c>
      <c r="R279" s="29">
        <f t="shared" si="21"/>
        <v>5</v>
      </c>
      <c r="T279" s="1"/>
      <c r="U279" s="1" t="s">
        <v>1199</v>
      </c>
      <c r="V279" s="2" t="s">
        <v>755</v>
      </c>
      <c r="W279" s="1" t="s">
        <v>827</v>
      </c>
      <c r="X279" s="2" t="s">
        <v>2156</v>
      </c>
      <c r="Y279" s="14">
        <v>45904</v>
      </c>
      <c r="Z279" s="14">
        <v>45909</v>
      </c>
      <c r="AA279" s="14">
        <v>45909</v>
      </c>
      <c r="AB279" s="14">
        <v>45909</v>
      </c>
      <c r="AC279" s="14">
        <v>45912</v>
      </c>
      <c r="AD279" s="2">
        <v>60750607491</v>
      </c>
      <c r="AE279" s="2">
        <v>4840729745</v>
      </c>
      <c r="AF279" s="2">
        <v>3</v>
      </c>
      <c r="AG279" s="2">
        <v>9</v>
      </c>
      <c r="AH279" s="2"/>
      <c r="AI279" s="2" t="s">
        <v>179</v>
      </c>
      <c r="AJ279" s="2"/>
      <c r="AK279" s="4">
        <v>45908</v>
      </c>
      <c r="AL279" s="14">
        <v>45909</v>
      </c>
      <c r="AM279" s="14">
        <v>45909</v>
      </c>
      <c r="AN279" s="2"/>
      <c r="AO279" s="1">
        <v>4409401</v>
      </c>
      <c r="AP279" s="14">
        <v>45910</v>
      </c>
      <c r="AQ279" s="14">
        <v>45912</v>
      </c>
      <c r="AR279" s="15" t="s">
        <v>2157</v>
      </c>
      <c r="AS279" s="14">
        <v>45912</v>
      </c>
      <c r="AT279" s="44">
        <v>51372</v>
      </c>
      <c r="AV279" s="14">
        <v>45910</v>
      </c>
      <c r="AW279" s="14">
        <v>45911</v>
      </c>
      <c r="AY279" s="2">
        <v>4505916</v>
      </c>
      <c r="AZ279" s="32">
        <v>45915</v>
      </c>
      <c r="BA279" s="1">
        <v>12523026</v>
      </c>
      <c r="BB279" s="2">
        <v>2254145</v>
      </c>
      <c r="BC279" s="5">
        <v>45915</v>
      </c>
      <c r="BD279" s="14">
        <v>45915</v>
      </c>
      <c r="BF279" s="5">
        <v>45916</v>
      </c>
      <c r="BG279" s="5">
        <v>45917</v>
      </c>
      <c r="BH279" s="1" t="s">
        <v>2254</v>
      </c>
      <c r="BI279" s="1" t="s">
        <v>273</v>
      </c>
      <c r="BM279" s="15" t="s">
        <v>2257</v>
      </c>
      <c r="BQ279" s="14">
        <v>45911</v>
      </c>
      <c r="BR279" s="5">
        <v>45911</v>
      </c>
    </row>
    <row r="280" spans="1:70" ht="18" customHeight="1" x14ac:dyDescent="0.3">
      <c r="A280" s="2">
        <v>280</v>
      </c>
      <c r="B280" s="2" t="s">
        <v>2155</v>
      </c>
      <c r="C280" s="111">
        <v>45891</v>
      </c>
      <c r="D280" s="2">
        <v>38220</v>
      </c>
      <c r="E280" s="2" t="s">
        <v>677</v>
      </c>
      <c r="F280" s="2" t="s">
        <v>345</v>
      </c>
      <c r="G280" s="2" t="s">
        <v>346</v>
      </c>
      <c r="H280" s="2">
        <v>84</v>
      </c>
      <c r="I280" s="83">
        <v>51346</v>
      </c>
      <c r="J280" s="2" t="s">
        <v>142</v>
      </c>
      <c r="K280" s="2" t="s">
        <v>126</v>
      </c>
      <c r="L280" s="2" t="s">
        <v>854</v>
      </c>
      <c r="M280" s="78">
        <v>45909</v>
      </c>
      <c r="N280" s="56" t="s">
        <v>2259</v>
      </c>
      <c r="Q280" s="67">
        <f t="shared" si="31"/>
        <v>2</v>
      </c>
      <c r="R280" s="29">
        <f t="shared" si="21"/>
        <v>6</v>
      </c>
      <c r="T280" s="1"/>
      <c r="U280" s="8" t="s">
        <v>2154</v>
      </c>
      <c r="V280" s="2" t="s">
        <v>335</v>
      </c>
      <c r="W280" s="1" t="s">
        <v>163</v>
      </c>
      <c r="X280" s="2" t="s">
        <v>2183</v>
      </c>
      <c r="Y280" s="2" t="s">
        <v>2181</v>
      </c>
      <c r="Z280" s="14">
        <v>45915</v>
      </c>
      <c r="AA280" s="14">
        <v>45909</v>
      </c>
      <c r="AB280" s="14">
        <v>45909</v>
      </c>
      <c r="AC280" s="14">
        <v>45911</v>
      </c>
      <c r="AD280" s="2">
        <v>15705797676</v>
      </c>
      <c r="AE280" s="2">
        <v>412657283</v>
      </c>
      <c r="AF280" s="2">
        <v>1</v>
      </c>
      <c r="AG280" s="2">
        <v>11</v>
      </c>
      <c r="AH280" s="2"/>
      <c r="AI280" s="2" t="s">
        <v>179</v>
      </c>
      <c r="AJ280" s="2"/>
      <c r="AK280" s="4">
        <v>45907</v>
      </c>
      <c r="AL280" s="14">
        <v>45909</v>
      </c>
      <c r="AM280" s="14">
        <v>45909</v>
      </c>
      <c r="AN280" s="2"/>
      <c r="AO280" s="2">
        <v>4397800</v>
      </c>
      <c r="AP280" s="14">
        <v>45909</v>
      </c>
      <c r="AQ280" s="14">
        <v>45911</v>
      </c>
      <c r="AR280" s="15" t="s">
        <v>2157</v>
      </c>
      <c r="AS280" s="4">
        <v>45911</v>
      </c>
      <c r="AT280" s="44">
        <v>51378</v>
      </c>
      <c r="AV280" s="4">
        <v>45911</v>
      </c>
      <c r="AW280" s="14">
        <v>45912</v>
      </c>
      <c r="AY280" s="2">
        <v>4506467</v>
      </c>
      <c r="AZ280" s="32">
        <v>45915</v>
      </c>
      <c r="BA280" s="1">
        <v>3401580</v>
      </c>
      <c r="BB280" s="2">
        <v>612284</v>
      </c>
      <c r="BC280" s="5">
        <v>45915</v>
      </c>
      <c r="BD280" s="14">
        <v>45915</v>
      </c>
      <c r="BF280" s="5">
        <v>45916</v>
      </c>
      <c r="BG280" s="5">
        <v>45917</v>
      </c>
      <c r="BH280" s="1" t="s">
        <v>2258</v>
      </c>
      <c r="BI280" s="1" t="s">
        <v>273</v>
      </c>
      <c r="BQ280" s="14">
        <v>45911</v>
      </c>
      <c r="BR280" s="5">
        <v>45912</v>
      </c>
    </row>
    <row r="281" spans="1:70" ht="18" customHeight="1" x14ac:dyDescent="0.3">
      <c r="A281" s="2">
        <v>281</v>
      </c>
      <c r="B281" s="2" t="s">
        <v>2150</v>
      </c>
      <c r="C281" s="111">
        <v>45891</v>
      </c>
      <c r="D281" s="2">
        <v>18200</v>
      </c>
      <c r="E281" s="2" t="s">
        <v>677</v>
      </c>
      <c r="F281" s="2" t="s">
        <v>345</v>
      </c>
      <c r="G281" s="2" t="s">
        <v>346</v>
      </c>
      <c r="H281" s="2">
        <v>40</v>
      </c>
      <c r="I281" s="83">
        <v>51344</v>
      </c>
      <c r="J281" s="2" t="s">
        <v>142</v>
      </c>
      <c r="K281" s="2" t="s">
        <v>126</v>
      </c>
      <c r="L281" s="2" t="s">
        <v>854</v>
      </c>
      <c r="M281" s="78">
        <v>45909</v>
      </c>
      <c r="N281" s="56" t="s">
        <v>2268</v>
      </c>
      <c r="Q281" s="67">
        <f t="shared" si="31"/>
        <v>2</v>
      </c>
      <c r="R281" s="29">
        <f t="shared" si="21"/>
        <v>7</v>
      </c>
      <c r="T281" s="1"/>
      <c r="U281" s="1" t="s">
        <v>2151</v>
      </c>
      <c r="V281" s="2" t="s">
        <v>204</v>
      </c>
      <c r="W281" s="1" t="s">
        <v>203</v>
      </c>
      <c r="X281" s="2" t="s">
        <v>2182</v>
      </c>
      <c r="Y281" s="14">
        <v>45911</v>
      </c>
      <c r="Z281" s="14">
        <v>45915</v>
      </c>
      <c r="AA281" s="14">
        <v>45909</v>
      </c>
      <c r="AB281" s="14">
        <v>45909</v>
      </c>
      <c r="AC281" s="14">
        <v>45911</v>
      </c>
      <c r="AD281" s="2">
        <v>15705797676</v>
      </c>
      <c r="AE281" s="2">
        <v>412657219</v>
      </c>
      <c r="AF281" s="2">
        <v>1</v>
      </c>
      <c r="AG281" s="2">
        <v>5.5</v>
      </c>
      <c r="AH281" s="2"/>
      <c r="AI281" s="2" t="s">
        <v>179</v>
      </c>
      <c r="AJ281" s="2"/>
      <c r="AK281" s="4">
        <v>45907</v>
      </c>
      <c r="AL281" s="14">
        <v>45909</v>
      </c>
      <c r="AM281" s="14">
        <v>45909</v>
      </c>
      <c r="AN281" s="2"/>
      <c r="AO281" s="2">
        <v>4398981</v>
      </c>
      <c r="AP281" s="14">
        <v>45909</v>
      </c>
      <c r="AQ281" s="14">
        <v>45911</v>
      </c>
      <c r="AR281" s="15" t="s">
        <v>2260</v>
      </c>
      <c r="AS281" s="4">
        <v>45911</v>
      </c>
      <c r="AT281" s="44">
        <v>51375</v>
      </c>
      <c r="AV281" s="14">
        <v>45911</v>
      </c>
      <c r="AW281" s="4">
        <v>45911</v>
      </c>
      <c r="AY281" s="2">
        <v>4505918</v>
      </c>
      <c r="AZ281" s="32">
        <v>45915</v>
      </c>
      <c r="BA281" s="1">
        <v>1619800</v>
      </c>
      <c r="BB281" s="2">
        <v>291564</v>
      </c>
      <c r="BC281" s="5">
        <v>45915</v>
      </c>
      <c r="BD281" s="14">
        <v>45915</v>
      </c>
      <c r="BF281" s="5">
        <v>45916</v>
      </c>
      <c r="BG281" s="5">
        <v>45918</v>
      </c>
      <c r="BH281" s="1" t="s">
        <v>1082</v>
      </c>
      <c r="BI281" s="1" t="s">
        <v>273</v>
      </c>
      <c r="BQ281" s="14">
        <v>45911</v>
      </c>
      <c r="BR281" s="14">
        <v>45911</v>
      </c>
    </row>
    <row r="282" spans="1:70" ht="18" customHeight="1" x14ac:dyDescent="0.3">
      <c r="A282" s="2">
        <v>282</v>
      </c>
      <c r="B282" s="8" t="s">
        <v>2081</v>
      </c>
      <c r="C282" s="8" t="s">
        <v>2082</v>
      </c>
      <c r="D282" s="8" t="s">
        <v>2083</v>
      </c>
      <c r="E282" s="2" t="s">
        <v>678</v>
      </c>
      <c r="F282" s="8" t="s">
        <v>2084</v>
      </c>
      <c r="G282" s="8" t="s">
        <v>2085</v>
      </c>
      <c r="H282" s="8" t="s">
        <v>2086</v>
      </c>
      <c r="I282" s="83">
        <v>51312</v>
      </c>
      <c r="J282" s="2" t="s">
        <v>1631</v>
      </c>
      <c r="K282" s="2" t="s">
        <v>126</v>
      </c>
      <c r="L282" s="2" t="s">
        <v>1632</v>
      </c>
      <c r="M282" s="78">
        <v>45909</v>
      </c>
      <c r="N282" s="56" t="s">
        <v>2275</v>
      </c>
      <c r="Q282" s="67">
        <f t="shared" si="31"/>
        <v>5</v>
      </c>
      <c r="R282" s="29">
        <f t="shared" si="21"/>
        <v>5</v>
      </c>
      <c r="T282" s="1"/>
      <c r="U282" s="8" t="s">
        <v>2088</v>
      </c>
      <c r="V282" s="1" t="s">
        <v>645</v>
      </c>
      <c r="W282" s="79" t="s">
        <v>426</v>
      </c>
      <c r="X282" s="2">
        <v>20255103710</v>
      </c>
      <c r="Y282" s="14">
        <v>45901</v>
      </c>
      <c r="Z282" s="14">
        <v>45906</v>
      </c>
      <c r="AA282" s="14">
        <v>45889</v>
      </c>
      <c r="AB282" s="3">
        <v>45910</v>
      </c>
      <c r="AC282" s="14">
        <v>45915</v>
      </c>
      <c r="AD282" s="2" t="s">
        <v>2148</v>
      </c>
      <c r="AE282" s="2" t="s">
        <v>2089</v>
      </c>
      <c r="AF282" s="2">
        <v>2</v>
      </c>
      <c r="AG282" s="2">
        <v>1.54</v>
      </c>
      <c r="AH282" s="2"/>
      <c r="AI282" s="2" t="s">
        <v>180</v>
      </c>
      <c r="AJ282" s="2"/>
      <c r="AK282" s="4">
        <v>45903</v>
      </c>
      <c r="AL282" s="14">
        <v>45904</v>
      </c>
      <c r="AM282" s="14">
        <v>45905</v>
      </c>
      <c r="AN282" s="2"/>
      <c r="AO282" s="1">
        <v>4439329</v>
      </c>
      <c r="AP282" s="14">
        <v>45911</v>
      </c>
      <c r="AQ282" s="14">
        <v>45915</v>
      </c>
      <c r="AR282" s="15" t="s">
        <v>2246</v>
      </c>
      <c r="AS282" s="14">
        <v>45915</v>
      </c>
      <c r="AT282" s="44">
        <v>51400</v>
      </c>
      <c r="AV282" s="14">
        <v>45913</v>
      </c>
      <c r="AW282" s="14">
        <v>45915</v>
      </c>
      <c r="AY282" s="2">
        <v>4551239</v>
      </c>
      <c r="AZ282" s="32">
        <v>45917</v>
      </c>
      <c r="BA282" s="1">
        <v>2071030</v>
      </c>
      <c r="BB282" s="2">
        <v>372785</v>
      </c>
      <c r="BC282" s="5">
        <v>45917</v>
      </c>
      <c r="BD282" s="14">
        <v>45917</v>
      </c>
      <c r="BF282" s="5">
        <v>45918</v>
      </c>
      <c r="BG282" s="5">
        <v>45920</v>
      </c>
      <c r="BH282" s="1" t="s">
        <v>2274</v>
      </c>
      <c r="BI282" s="1" t="s">
        <v>273</v>
      </c>
      <c r="BQ282" s="14">
        <v>45915</v>
      </c>
      <c r="BR282" s="5">
        <v>45916</v>
      </c>
    </row>
    <row r="283" spans="1:70" ht="18" customHeight="1" x14ac:dyDescent="0.3">
      <c r="A283" s="2">
        <v>283</v>
      </c>
      <c r="B283" s="8" t="s">
        <v>2090</v>
      </c>
      <c r="C283" s="8" t="s">
        <v>2091</v>
      </c>
      <c r="D283" s="8" t="s">
        <v>2092</v>
      </c>
      <c r="E283" s="2" t="s">
        <v>678</v>
      </c>
      <c r="F283" s="8" t="s">
        <v>2093</v>
      </c>
      <c r="G283" s="8" t="s">
        <v>2094</v>
      </c>
      <c r="H283" s="8" t="s">
        <v>2095</v>
      </c>
      <c r="I283" s="83">
        <v>51314</v>
      </c>
      <c r="J283" s="2" t="s">
        <v>1631</v>
      </c>
      <c r="K283" s="2" t="s">
        <v>126</v>
      </c>
      <c r="L283" s="2" t="s">
        <v>1632</v>
      </c>
      <c r="M283" s="78">
        <v>45909</v>
      </c>
      <c r="N283" s="56" t="s">
        <v>2275</v>
      </c>
      <c r="Q283" s="67">
        <f t="shared" si="31"/>
        <v>5</v>
      </c>
      <c r="R283" s="29">
        <f t="shared" si="21"/>
        <v>5</v>
      </c>
      <c r="T283" s="1"/>
      <c r="U283" s="8" t="s">
        <v>2096</v>
      </c>
      <c r="V283" s="1" t="s">
        <v>645</v>
      </c>
      <c r="W283" s="79" t="s">
        <v>426</v>
      </c>
      <c r="X283" s="2">
        <v>20255103758</v>
      </c>
      <c r="Y283" s="14">
        <v>45901</v>
      </c>
      <c r="Z283" s="14">
        <v>45906</v>
      </c>
      <c r="AA283" s="14">
        <v>45889</v>
      </c>
      <c r="AB283" s="3">
        <v>45910</v>
      </c>
      <c r="AC283" s="14">
        <v>45915</v>
      </c>
      <c r="AD283" s="2" t="s">
        <v>2148</v>
      </c>
      <c r="AE283" s="2" t="s">
        <v>2097</v>
      </c>
      <c r="AF283" s="2">
        <v>3</v>
      </c>
      <c r="AG283" s="2">
        <v>2.63</v>
      </c>
      <c r="AH283" s="2"/>
      <c r="AI283" s="2" t="s">
        <v>180</v>
      </c>
      <c r="AJ283" s="2"/>
      <c r="AK283" s="4">
        <v>45903</v>
      </c>
      <c r="AL283" s="14">
        <v>45904</v>
      </c>
      <c r="AM283" s="14">
        <v>45905</v>
      </c>
      <c r="AN283" s="2"/>
      <c r="AO283" s="1">
        <v>4435962</v>
      </c>
      <c r="AP283" s="14">
        <v>45911</v>
      </c>
      <c r="AQ283" s="14">
        <v>45915</v>
      </c>
      <c r="AR283" s="15" t="s">
        <v>2247</v>
      </c>
      <c r="AS283" s="14">
        <v>45915</v>
      </c>
      <c r="AT283" s="44">
        <v>51401</v>
      </c>
      <c r="AV283" s="14">
        <v>45913</v>
      </c>
      <c r="AW283" s="14">
        <v>45915</v>
      </c>
      <c r="AY283" s="2">
        <v>4551240</v>
      </c>
      <c r="AZ283" s="32">
        <v>45917</v>
      </c>
      <c r="BA283" s="1">
        <v>4400516</v>
      </c>
      <c r="BB283" s="2">
        <v>792093</v>
      </c>
      <c r="BC283" s="5">
        <v>45917</v>
      </c>
      <c r="BD283" s="14">
        <v>45917</v>
      </c>
      <c r="BF283" s="5">
        <v>45918</v>
      </c>
      <c r="BG283" s="5">
        <v>45920</v>
      </c>
      <c r="BH283" s="1" t="s">
        <v>2274</v>
      </c>
      <c r="BI283" s="1" t="s">
        <v>273</v>
      </c>
      <c r="BQ283" s="14">
        <v>45915</v>
      </c>
      <c r="BR283" s="5">
        <v>45916</v>
      </c>
    </row>
    <row r="284" spans="1:70" ht="18" customHeight="1" x14ac:dyDescent="0.3">
      <c r="A284" s="2">
        <v>284</v>
      </c>
      <c r="B284" s="8" t="s">
        <v>2098</v>
      </c>
      <c r="C284" s="8" t="s">
        <v>2099</v>
      </c>
      <c r="D284" s="8" t="s">
        <v>2100</v>
      </c>
      <c r="E284" s="2" t="s">
        <v>678</v>
      </c>
      <c r="F284" s="8" t="s">
        <v>2102</v>
      </c>
      <c r="G284" s="8" t="s">
        <v>2101</v>
      </c>
      <c r="H284" s="8" t="s">
        <v>2103</v>
      </c>
      <c r="I284" s="83">
        <v>51315</v>
      </c>
      <c r="J284" s="2" t="s">
        <v>1631</v>
      </c>
      <c r="K284" s="2" t="s">
        <v>126</v>
      </c>
      <c r="L284" s="2" t="s">
        <v>1632</v>
      </c>
      <c r="M284" s="78">
        <v>45909</v>
      </c>
      <c r="N284" s="56" t="s">
        <v>2284</v>
      </c>
      <c r="Q284" s="67">
        <f t="shared" ref="Q284:Q292" si="32">AQ284-AB284</f>
        <v>5</v>
      </c>
      <c r="R284" s="29">
        <f t="shared" si="21"/>
        <v>5</v>
      </c>
      <c r="T284" s="1">
        <v>603</v>
      </c>
      <c r="U284" s="8" t="s">
        <v>2104</v>
      </c>
      <c r="V284" s="2" t="s">
        <v>626</v>
      </c>
      <c r="W284" s="1" t="s">
        <v>627</v>
      </c>
      <c r="X284" s="2">
        <v>20255103705</v>
      </c>
      <c r="Y284" s="14">
        <v>45901</v>
      </c>
      <c r="Z284" s="14">
        <v>45906</v>
      </c>
      <c r="AA284" s="14">
        <v>45889</v>
      </c>
      <c r="AB284" s="3">
        <v>45910</v>
      </c>
      <c r="AC284" s="14">
        <v>45915</v>
      </c>
      <c r="AD284" s="2" t="s">
        <v>2148</v>
      </c>
      <c r="AE284" s="2" t="s">
        <v>2105</v>
      </c>
      <c r="AF284" s="2">
        <v>5</v>
      </c>
      <c r="AG284" s="2">
        <v>2.58</v>
      </c>
      <c r="AH284" s="2"/>
      <c r="AI284" s="2" t="s">
        <v>180</v>
      </c>
      <c r="AJ284" s="2"/>
      <c r="AK284" s="4">
        <v>45903</v>
      </c>
      <c r="AL284" s="14">
        <v>45904</v>
      </c>
      <c r="AM284" s="14">
        <v>45905</v>
      </c>
      <c r="AN284" s="2"/>
      <c r="AO284" s="1">
        <v>4442410</v>
      </c>
      <c r="AP284" s="14">
        <v>45911</v>
      </c>
      <c r="AQ284" s="14">
        <v>45915</v>
      </c>
      <c r="AR284" s="15" t="s">
        <v>2251</v>
      </c>
      <c r="AS284" s="14">
        <v>45915</v>
      </c>
      <c r="AT284" s="44">
        <v>51403</v>
      </c>
      <c r="AV284" s="14">
        <v>45913</v>
      </c>
      <c r="AW284" s="14">
        <v>45915</v>
      </c>
      <c r="AY284" s="2">
        <v>4564649</v>
      </c>
      <c r="AZ284" s="32">
        <v>45917</v>
      </c>
      <c r="BA284" s="1">
        <v>4075310</v>
      </c>
      <c r="BB284" s="2">
        <v>733556</v>
      </c>
      <c r="BC284" s="5">
        <v>45917</v>
      </c>
      <c r="BD284" s="14">
        <v>45919</v>
      </c>
      <c r="BF284" s="5">
        <v>45919</v>
      </c>
      <c r="BG284" s="5">
        <v>45920</v>
      </c>
      <c r="BH284" s="1" t="s">
        <v>2285</v>
      </c>
      <c r="BI284" s="1" t="s">
        <v>273</v>
      </c>
      <c r="BQ284" s="14">
        <v>45915</v>
      </c>
      <c r="BR284" s="5">
        <v>45917</v>
      </c>
    </row>
    <row r="285" spans="1:70" ht="18" customHeight="1" x14ac:dyDescent="0.3">
      <c r="A285" s="2">
        <v>285</v>
      </c>
      <c r="B285" s="8" t="s">
        <v>2106</v>
      </c>
      <c r="C285" s="8" t="s">
        <v>2107</v>
      </c>
      <c r="D285" s="8" t="s">
        <v>2108</v>
      </c>
      <c r="E285" s="2" t="s">
        <v>678</v>
      </c>
      <c r="F285" s="8" t="s">
        <v>2109</v>
      </c>
      <c r="G285" s="8" t="s">
        <v>2110</v>
      </c>
      <c r="H285" s="8" t="s">
        <v>2111</v>
      </c>
      <c r="I285" s="83">
        <v>51317</v>
      </c>
      <c r="J285" s="2" t="s">
        <v>1631</v>
      </c>
      <c r="K285" s="2" t="s">
        <v>126</v>
      </c>
      <c r="L285" s="2" t="s">
        <v>1632</v>
      </c>
      <c r="M285" s="78">
        <v>45909</v>
      </c>
      <c r="N285" s="56" t="s">
        <v>2282</v>
      </c>
      <c r="Q285" s="67">
        <f t="shared" si="32"/>
        <v>5</v>
      </c>
      <c r="R285" s="29">
        <f t="shared" si="21"/>
        <v>5</v>
      </c>
      <c r="T285" s="1" t="s">
        <v>2271</v>
      </c>
      <c r="U285" s="8" t="s">
        <v>2112</v>
      </c>
      <c r="V285" s="2" t="s">
        <v>626</v>
      </c>
      <c r="W285" s="1" t="s">
        <v>627</v>
      </c>
      <c r="X285" s="2">
        <v>20255103686</v>
      </c>
      <c r="Y285" s="14">
        <v>45901</v>
      </c>
      <c r="Z285" s="14">
        <v>45906</v>
      </c>
      <c r="AA285" s="14">
        <v>45889</v>
      </c>
      <c r="AB285" s="3">
        <v>45910</v>
      </c>
      <c r="AC285" s="14">
        <v>45915</v>
      </c>
      <c r="AD285" s="2" t="s">
        <v>2148</v>
      </c>
      <c r="AE285" s="2" t="s">
        <v>2113</v>
      </c>
      <c r="AF285" s="2">
        <v>6</v>
      </c>
      <c r="AG285" s="2">
        <v>8.9700000000000006</v>
      </c>
      <c r="AH285" s="2"/>
      <c r="AI285" s="2" t="s">
        <v>180</v>
      </c>
      <c r="AJ285" s="2"/>
      <c r="AK285" s="4">
        <v>45903</v>
      </c>
      <c r="AL285" s="14">
        <v>45904</v>
      </c>
      <c r="AM285" s="14">
        <v>45905</v>
      </c>
      <c r="AN285" s="2"/>
      <c r="AO285" s="1">
        <v>4439335</v>
      </c>
      <c r="AP285" s="14">
        <v>45911</v>
      </c>
      <c r="AQ285" s="14">
        <v>45915</v>
      </c>
      <c r="AR285" s="15" t="s">
        <v>2245</v>
      </c>
      <c r="AS285" s="14">
        <v>45915</v>
      </c>
      <c r="AT285" s="44">
        <v>51404</v>
      </c>
      <c r="AV285" s="14">
        <v>45913</v>
      </c>
      <c r="AW285" s="14">
        <v>45915</v>
      </c>
      <c r="AY285" s="2">
        <v>4564644</v>
      </c>
      <c r="AZ285" s="32">
        <v>45917</v>
      </c>
      <c r="BA285" s="1">
        <v>15532725</v>
      </c>
      <c r="BB285" s="2">
        <v>2795891</v>
      </c>
      <c r="BC285" s="5">
        <v>45917</v>
      </c>
      <c r="BD285" s="14">
        <v>45919</v>
      </c>
      <c r="BF285" s="5">
        <v>45919</v>
      </c>
      <c r="BG285" s="5">
        <v>45920</v>
      </c>
      <c r="BH285" s="8" t="s">
        <v>2283</v>
      </c>
      <c r="BI285" s="1" t="s">
        <v>273</v>
      </c>
      <c r="BQ285" s="14">
        <v>45915</v>
      </c>
      <c r="BR285" s="5">
        <v>45917</v>
      </c>
    </row>
    <row r="286" spans="1:70" ht="18" customHeight="1" x14ac:dyDescent="0.3">
      <c r="A286" s="2">
        <v>286</v>
      </c>
      <c r="B286" s="8" t="s">
        <v>2114</v>
      </c>
      <c r="C286" s="8" t="s">
        <v>2115</v>
      </c>
      <c r="D286" s="8" t="s">
        <v>2108</v>
      </c>
      <c r="E286" s="2" t="s">
        <v>678</v>
      </c>
      <c r="F286" s="8" t="s">
        <v>2116</v>
      </c>
      <c r="G286" s="8" t="s">
        <v>2117</v>
      </c>
      <c r="H286" s="8" t="s">
        <v>2111</v>
      </c>
      <c r="I286" s="83">
        <v>51318</v>
      </c>
      <c r="J286" s="2" t="s">
        <v>1631</v>
      </c>
      <c r="K286" s="2" t="s">
        <v>126</v>
      </c>
      <c r="L286" s="2" t="s">
        <v>1632</v>
      </c>
      <c r="M286" s="78">
        <v>45909</v>
      </c>
      <c r="N286" s="56" t="s">
        <v>2286</v>
      </c>
      <c r="Q286" s="67">
        <f t="shared" si="32"/>
        <v>5</v>
      </c>
      <c r="R286" s="29">
        <f t="shared" ref="R286:R349" si="33">BG286-AC286</f>
        <v>5</v>
      </c>
      <c r="T286" s="1" t="s">
        <v>2271</v>
      </c>
      <c r="U286" s="8" t="s">
        <v>2112</v>
      </c>
      <c r="V286" s="2" t="s">
        <v>626</v>
      </c>
      <c r="W286" s="1" t="s">
        <v>627</v>
      </c>
      <c r="X286" s="2">
        <v>20255103697</v>
      </c>
      <c r="Y286" s="14">
        <v>45901</v>
      </c>
      <c r="Z286" s="14">
        <v>45906</v>
      </c>
      <c r="AA286" s="14">
        <v>45889</v>
      </c>
      <c r="AB286" s="3">
        <v>45910</v>
      </c>
      <c r="AC286" s="14">
        <v>45915</v>
      </c>
      <c r="AD286" s="2" t="s">
        <v>2148</v>
      </c>
      <c r="AE286" s="2" t="s">
        <v>2118</v>
      </c>
      <c r="AF286" s="2">
        <v>6</v>
      </c>
      <c r="AG286" s="2">
        <v>8.9700000000000006</v>
      </c>
      <c r="AH286" s="2"/>
      <c r="AI286" s="2" t="s">
        <v>180</v>
      </c>
      <c r="AJ286" s="2"/>
      <c r="AK286" s="4">
        <v>45903</v>
      </c>
      <c r="AL286" s="14">
        <v>45904</v>
      </c>
      <c r="AM286" s="14">
        <v>45905</v>
      </c>
      <c r="AN286" s="2"/>
      <c r="AO286" s="1">
        <v>4437011</v>
      </c>
      <c r="AP286" s="14">
        <v>45911</v>
      </c>
      <c r="AQ286" s="14">
        <v>45915</v>
      </c>
      <c r="AR286" s="15" t="s">
        <v>2252</v>
      </c>
      <c r="AS286" s="14">
        <v>45915</v>
      </c>
      <c r="AT286" s="44">
        <v>51405</v>
      </c>
      <c r="AV286" s="14">
        <v>45913</v>
      </c>
      <c r="AW286" s="14">
        <v>45915</v>
      </c>
      <c r="AY286" s="2">
        <v>4565315</v>
      </c>
      <c r="AZ286" s="32">
        <v>45917</v>
      </c>
      <c r="BA286" s="1">
        <v>15532725</v>
      </c>
      <c r="BB286" s="2">
        <v>2795891</v>
      </c>
      <c r="BC286" s="5">
        <v>45917</v>
      </c>
      <c r="BD286" s="14">
        <v>45919</v>
      </c>
      <c r="BF286" s="5">
        <v>45919</v>
      </c>
      <c r="BG286" s="5">
        <v>45920</v>
      </c>
      <c r="BH286" s="1" t="s">
        <v>2285</v>
      </c>
      <c r="BI286" s="1" t="s">
        <v>273</v>
      </c>
      <c r="BQ286" s="14">
        <v>45915</v>
      </c>
      <c r="BR286" s="5">
        <v>45917</v>
      </c>
    </row>
    <row r="287" spans="1:70" ht="18" customHeight="1" x14ac:dyDescent="0.3">
      <c r="A287" s="2">
        <v>287</v>
      </c>
      <c r="B287" s="8" t="s">
        <v>2119</v>
      </c>
      <c r="C287" s="8" t="s">
        <v>2115</v>
      </c>
      <c r="D287" s="8" t="s">
        <v>2108</v>
      </c>
      <c r="E287" s="2" t="s">
        <v>678</v>
      </c>
      <c r="F287" s="8" t="s">
        <v>2120</v>
      </c>
      <c r="G287" s="8" t="s">
        <v>2121</v>
      </c>
      <c r="H287" s="8" t="s">
        <v>2111</v>
      </c>
      <c r="I287" s="83">
        <v>51320</v>
      </c>
      <c r="J287" s="2" t="s">
        <v>1631</v>
      </c>
      <c r="K287" s="2" t="s">
        <v>126</v>
      </c>
      <c r="L287" s="2" t="s">
        <v>1632</v>
      </c>
      <c r="M287" s="78">
        <v>45909</v>
      </c>
      <c r="N287" s="56" t="s">
        <v>2281</v>
      </c>
      <c r="Q287" s="67">
        <f t="shared" si="32"/>
        <v>5</v>
      </c>
      <c r="R287" s="29">
        <f t="shared" si="33"/>
        <v>5</v>
      </c>
      <c r="T287" s="1" t="s">
        <v>2271</v>
      </c>
      <c r="U287" s="8" t="s">
        <v>2112</v>
      </c>
      <c r="V287" s="2" t="s">
        <v>626</v>
      </c>
      <c r="W287" s="1" t="s">
        <v>627</v>
      </c>
      <c r="X287" s="2">
        <v>20255103702</v>
      </c>
      <c r="Y287" s="14">
        <v>45901</v>
      </c>
      <c r="Z287" s="14">
        <v>45906</v>
      </c>
      <c r="AA287" s="14">
        <v>45889</v>
      </c>
      <c r="AB287" s="3">
        <v>45910</v>
      </c>
      <c r="AC287" s="14">
        <v>45915</v>
      </c>
      <c r="AD287" s="2" t="s">
        <v>2148</v>
      </c>
      <c r="AE287" s="2" t="s">
        <v>2122</v>
      </c>
      <c r="AF287" s="2">
        <v>6</v>
      </c>
      <c r="AG287" s="2">
        <v>9.5299999999999994</v>
      </c>
      <c r="AH287" s="2"/>
      <c r="AI287" s="2" t="s">
        <v>180</v>
      </c>
      <c r="AJ287" s="2"/>
      <c r="AK287" s="4">
        <v>45903</v>
      </c>
      <c r="AL287" s="14">
        <v>45904</v>
      </c>
      <c r="AM287" s="14">
        <v>45905</v>
      </c>
      <c r="AN287" s="2"/>
      <c r="AO287" s="1">
        <v>4439338</v>
      </c>
      <c r="AP287" s="14">
        <v>45911</v>
      </c>
      <c r="AQ287" s="14">
        <v>45915</v>
      </c>
      <c r="AR287" s="15" t="s">
        <v>2249</v>
      </c>
      <c r="AS287" s="14">
        <v>45915</v>
      </c>
      <c r="AT287" s="44">
        <v>51406</v>
      </c>
      <c r="AV287" s="14">
        <v>45913</v>
      </c>
      <c r="AW287" s="14">
        <v>45915</v>
      </c>
      <c r="AY287" s="2">
        <v>4565317</v>
      </c>
      <c r="AZ287" s="32">
        <v>45917</v>
      </c>
      <c r="BA287" s="1">
        <v>15532725</v>
      </c>
      <c r="BB287" s="2">
        <v>2795891</v>
      </c>
      <c r="BC287" s="5">
        <v>45917</v>
      </c>
      <c r="BD287" s="14">
        <v>45919</v>
      </c>
      <c r="BF287" s="5">
        <v>45919</v>
      </c>
      <c r="BG287" s="5">
        <v>45920</v>
      </c>
      <c r="BH287" s="1" t="s">
        <v>2280</v>
      </c>
      <c r="BI287" s="1" t="s">
        <v>273</v>
      </c>
      <c r="BQ287" s="14">
        <v>45915</v>
      </c>
      <c r="BR287" s="5">
        <v>45917</v>
      </c>
    </row>
    <row r="288" spans="1:70" ht="18" customHeight="1" x14ac:dyDescent="0.3">
      <c r="A288" s="2">
        <v>288</v>
      </c>
      <c r="B288" s="8" t="s">
        <v>2123</v>
      </c>
      <c r="C288" s="8" t="s">
        <v>2124</v>
      </c>
      <c r="D288" s="8" t="s">
        <v>2125</v>
      </c>
      <c r="E288" s="2" t="s">
        <v>678</v>
      </c>
      <c r="F288" s="8" t="s">
        <v>2126</v>
      </c>
      <c r="G288" s="8" t="s">
        <v>2127</v>
      </c>
      <c r="H288" s="8" t="s">
        <v>2128</v>
      </c>
      <c r="I288" s="83">
        <v>51321</v>
      </c>
      <c r="J288" s="2" t="s">
        <v>1631</v>
      </c>
      <c r="K288" s="2" t="s">
        <v>126</v>
      </c>
      <c r="L288" s="2" t="s">
        <v>1632</v>
      </c>
      <c r="M288" s="78">
        <v>45909</v>
      </c>
      <c r="N288" s="56" t="s">
        <v>2288</v>
      </c>
      <c r="Q288" s="67">
        <f t="shared" si="32"/>
        <v>5</v>
      </c>
      <c r="R288" s="29">
        <f t="shared" si="33"/>
        <v>5</v>
      </c>
      <c r="T288" s="1" t="s">
        <v>2272</v>
      </c>
      <c r="U288" s="8" t="s">
        <v>2129</v>
      </c>
      <c r="V288" s="2" t="s">
        <v>626</v>
      </c>
      <c r="W288" s="1" t="s">
        <v>627</v>
      </c>
      <c r="X288" s="2">
        <v>20255103763</v>
      </c>
      <c r="Y288" s="14">
        <v>45901</v>
      </c>
      <c r="Z288" s="14">
        <v>45906</v>
      </c>
      <c r="AA288" s="14">
        <v>45889</v>
      </c>
      <c r="AB288" s="3">
        <v>45910</v>
      </c>
      <c r="AC288" s="14">
        <v>45915</v>
      </c>
      <c r="AD288" s="2" t="s">
        <v>2148</v>
      </c>
      <c r="AE288" s="2" t="s">
        <v>2130</v>
      </c>
      <c r="AF288" s="2">
        <v>11</v>
      </c>
      <c r="AG288" s="2">
        <v>15.14</v>
      </c>
      <c r="AH288" s="2"/>
      <c r="AI288" s="2" t="s">
        <v>180</v>
      </c>
      <c r="AJ288" s="2"/>
      <c r="AK288" s="4">
        <v>45903</v>
      </c>
      <c r="AL288" s="14">
        <v>45904</v>
      </c>
      <c r="AM288" s="14">
        <v>45905</v>
      </c>
      <c r="AN288" s="2"/>
      <c r="AO288" s="1">
        <v>4439333</v>
      </c>
      <c r="AP288" s="14">
        <v>45911</v>
      </c>
      <c r="AQ288" s="14">
        <v>45915</v>
      </c>
      <c r="AR288" s="15" t="s">
        <v>2250</v>
      </c>
      <c r="AS288" s="14">
        <v>45915</v>
      </c>
      <c r="AT288" s="44">
        <v>51408</v>
      </c>
      <c r="AV288" s="14">
        <v>45913</v>
      </c>
      <c r="AW288" s="14">
        <v>45915</v>
      </c>
      <c r="AY288" s="2">
        <v>4565423</v>
      </c>
      <c r="AZ288" s="32">
        <v>45917</v>
      </c>
      <c r="BA288" s="1">
        <v>24775375</v>
      </c>
      <c r="BB288" s="2">
        <v>4459568</v>
      </c>
      <c r="BC288" s="5">
        <v>45917</v>
      </c>
      <c r="BD288" s="14">
        <v>45919</v>
      </c>
      <c r="BF288" s="5">
        <v>45919</v>
      </c>
      <c r="BG288" s="5">
        <v>45920</v>
      </c>
      <c r="BH288" s="1" t="s">
        <v>2287</v>
      </c>
      <c r="BI288" s="1" t="s">
        <v>273</v>
      </c>
      <c r="BQ288" s="14">
        <v>45915</v>
      </c>
      <c r="BR288" s="5">
        <v>45917</v>
      </c>
    </row>
    <row r="289" spans="1:70" ht="18" customHeight="1" x14ac:dyDescent="0.3">
      <c r="A289" s="2">
        <v>289</v>
      </c>
      <c r="B289" s="2" t="s">
        <v>2152</v>
      </c>
      <c r="C289" s="111">
        <v>45891</v>
      </c>
      <c r="D289" s="2">
        <v>45500</v>
      </c>
      <c r="E289" s="2" t="s">
        <v>677</v>
      </c>
      <c r="F289" s="2" t="s">
        <v>345</v>
      </c>
      <c r="G289" s="2" t="s">
        <v>346</v>
      </c>
      <c r="H289" s="2">
        <v>100</v>
      </c>
      <c r="I289" s="83">
        <v>51345</v>
      </c>
      <c r="J289" s="2" t="s">
        <v>142</v>
      </c>
      <c r="K289" s="2" t="s">
        <v>126</v>
      </c>
      <c r="L289" s="2" t="s">
        <v>854</v>
      </c>
      <c r="M289" s="78">
        <v>45909</v>
      </c>
      <c r="N289" s="56" t="s">
        <v>2330</v>
      </c>
      <c r="Q289" s="67">
        <f t="shared" si="32"/>
        <v>2</v>
      </c>
      <c r="R289" s="29">
        <f t="shared" si="33"/>
        <v>13</v>
      </c>
      <c r="T289" s="1" t="s">
        <v>2314</v>
      </c>
      <c r="U289" s="1" t="s">
        <v>2153</v>
      </c>
      <c r="V289" s="2" t="s">
        <v>204</v>
      </c>
      <c r="W289" s="1" t="s">
        <v>203</v>
      </c>
      <c r="X289" s="2" t="s">
        <v>2261</v>
      </c>
      <c r="Y289" s="14">
        <v>45917</v>
      </c>
      <c r="Z289" s="14">
        <v>45922</v>
      </c>
      <c r="AA289" s="14">
        <v>45909</v>
      </c>
      <c r="AB289" s="14">
        <v>45909</v>
      </c>
      <c r="AC289" s="14">
        <v>45911</v>
      </c>
      <c r="AD289" s="2">
        <v>15705797676</v>
      </c>
      <c r="AE289" s="2">
        <v>412657220</v>
      </c>
      <c r="AF289" s="2">
        <v>2</v>
      </c>
      <c r="AG289" s="2">
        <v>9</v>
      </c>
      <c r="AH289" s="2"/>
      <c r="AI289" s="2" t="s">
        <v>179</v>
      </c>
      <c r="AJ289" s="2"/>
      <c r="AK289" s="4">
        <v>45907</v>
      </c>
      <c r="AL289" s="14">
        <v>45909</v>
      </c>
      <c r="AM289" s="14">
        <v>45909</v>
      </c>
      <c r="AN289" s="2"/>
      <c r="AO289" s="2">
        <v>4397957</v>
      </c>
      <c r="AP289" s="14">
        <v>45909</v>
      </c>
      <c r="AQ289" s="14">
        <v>45911</v>
      </c>
      <c r="AR289" s="15" t="s">
        <v>2157</v>
      </c>
      <c r="AS289" s="14">
        <v>45918</v>
      </c>
      <c r="AT289" s="44">
        <v>51461</v>
      </c>
      <c r="AV289" s="14">
        <v>45918</v>
      </c>
      <c r="AW289" s="14">
        <v>45918</v>
      </c>
      <c r="AY289" s="2">
        <v>4596482</v>
      </c>
      <c r="AZ289" s="32">
        <v>45919</v>
      </c>
      <c r="BA289" s="1">
        <v>4042675</v>
      </c>
      <c r="BB289" s="2">
        <v>727682</v>
      </c>
      <c r="BC289" s="5">
        <v>45919</v>
      </c>
      <c r="BD289" s="14">
        <v>45922</v>
      </c>
      <c r="BF289" s="5">
        <v>45923</v>
      </c>
      <c r="BG289" s="5">
        <v>45924</v>
      </c>
      <c r="BH289" s="1" t="s">
        <v>1082</v>
      </c>
      <c r="BI289" s="1" t="s">
        <v>273</v>
      </c>
      <c r="BQ289" s="14">
        <v>45918</v>
      </c>
      <c r="BR289" s="5">
        <v>45918</v>
      </c>
    </row>
    <row r="290" spans="1:70" ht="18" customHeight="1" x14ac:dyDescent="0.3">
      <c r="A290" s="2">
        <v>290</v>
      </c>
      <c r="B290" s="8" t="s">
        <v>2161</v>
      </c>
      <c r="C290" s="8" t="s">
        <v>2162</v>
      </c>
      <c r="D290" s="8" t="s">
        <v>2163</v>
      </c>
      <c r="E290" s="2" t="s">
        <v>678</v>
      </c>
      <c r="F290" s="8" t="s">
        <v>225</v>
      </c>
      <c r="G290" s="8" t="s">
        <v>2164</v>
      </c>
      <c r="H290" s="8" t="s">
        <v>2165</v>
      </c>
      <c r="I290" s="83">
        <v>51363</v>
      </c>
      <c r="J290" s="2" t="s">
        <v>1631</v>
      </c>
      <c r="K290" s="2" t="s">
        <v>126</v>
      </c>
      <c r="L290" s="2" t="s">
        <v>1632</v>
      </c>
      <c r="M290" s="78">
        <v>45916</v>
      </c>
      <c r="N290" s="56" t="s">
        <v>2332</v>
      </c>
      <c r="Q290" s="67">
        <f t="shared" si="32"/>
        <v>2</v>
      </c>
      <c r="R290" s="29">
        <f t="shared" si="33"/>
        <v>6</v>
      </c>
      <c r="T290" s="1">
        <v>1010</v>
      </c>
      <c r="U290" s="8" t="s">
        <v>2166</v>
      </c>
      <c r="V290" s="2" t="s">
        <v>384</v>
      </c>
      <c r="W290" s="2" t="s">
        <v>421</v>
      </c>
      <c r="X290" s="2">
        <v>20255107092</v>
      </c>
      <c r="Y290" s="14">
        <v>45909</v>
      </c>
      <c r="Z290" s="14">
        <v>45912</v>
      </c>
      <c r="AA290" s="14">
        <v>45903</v>
      </c>
      <c r="AB290" s="14">
        <v>45916</v>
      </c>
      <c r="AC290" s="14">
        <v>45918</v>
      </c>
      <c r="AD290" s="2">
        <v>76030156957</v>
      </c>
      <c r="AE290" s="2"/>
      <c r="AF290" s="2">
        <v>6</v>
      </c>
      <c r="AG290" s="2">
        <v>9.3000000000000007</v>
      </c>
      <c r="AH290" s="2"/>
      <c r="AI290" s="2" t="s">
        <v>629</v>
      </c>
      <c r="AJ290" s="2"/>
      <c r="AK290" s="14">
        <v>45910</v>
      </c>
      <c r="AL290" s="14">
        <v>45910</v>
      </c>
      <c r="AM290" s="14">
        <v>45911</v>
      </c>
      <c r="AN290" s="2"/>
      <c r="AO290" s="2">
        <v>4537792</v>
      </c>
      <c r="AP290" s="14">
        <v>45916</v>
      </c>
      <c r="AQ290" s="14">
        <v>45918</v>
      </c>
      <c r="AR290" s="15" t="s">
        <v>2290</v>
      </c>
      <c r="AS290" s="14">
        <v>45919</v>
      </c>
      <c r="AT290" s="44">
        <v>51467</v>
      </c>
      <c r="AV290" s="14">
        <v>45919</v>
      </c>
      <c r="AW290" s="14">
        <v>45919</v>
      </c>
      <c r="AY290" s="2">
        <v>4643688</v>
      </c>
      <c r="AZ290" s="32">
        <v>45922</v>
      </c>
      <c r="BA290" s="1">
        <v>13656067</v>
      </c>
      <c r="BB290" s="2">
        <v>2458092</v>
      </c>
      <c r="BC290" s="5">
        <v>45922</v>
      </c>
      <c r="BD290" s="14">
        <v>45923</v>
      </c>
      <c r="BF290" s="5">
        <v>45923</v>
      </c>
      <c r="BG290" s="5">
        <v>45924</v>
      </c>
      <c r="BH290" s="1" t="s">
        <v>2331</v>
      </c>
      <c r="BI290" s="1" t="s">
        <v>273</v>
      </c>
      <c r="BQ290" s="14">
        <v>45919</v>
      </c>
      <c r="BR290" s="5">
        <v>45919</v>
      </c>
    </row>
    <row r="291" spans="1:70" ht="18" customHeight="1" x14ac:dyDescent="0.3">
      <c r="A291" s="2">
        <v>291</v>
      </c>
      <c r="B291" s="8" t="s">
        <v>2167</v>
      </c>
      <c r="C291" s="8" t="s">
        <v>2168</v>
      </c>
      <c r="D291" s="8" t="s">
        <v>2169</v>
      </c>
      <c r="E291" s="2" t="s">
        <v>678</v>
      </c>
      <c r="F291" s="8" t="s">
        <v>2170</v>
      </c>
      <c r="G291" s="8" t="s">
        <v>2171</v>
      </c>
      <c r="H291" s="8" t="s">
        <v>2172</v>
      </c>
      <c r="I291" s="83">
        <v>51364</v>
      </c>
      <c r="J291" s="2" t="s">
        <v>1631</v>
      </c>
      <c r="K291" s="2" t="s">
        <v>126</v>
      </c>
      <c r="L291" s="2" t="s">
        <v>1632</v>
      </c>
      <c r="M291" s="78">
        <v>45916</v>
      </c>
      <c r="N291" s="56" t="s">
        <v>2333</v>
      </c>
      <c r="Q291" s="67">
        <f t="shared" si="32"/>
        <v>2</v>
      </c>
      <c r="R291" s="29">
        <f t="shared" si="33"/>
        <v>6</v>
      </c>
      <c r="T291" s="1" t="s">
        <v>2318</v>
      </c>
      <c r="U291" s="8" t="s">
        <v>2166</v>
      </c>
      <c r="V291" s="2" t="s">
        <v>384</v>
      </c>
      <c r="W291" s="2" t="s">
        <v>421</v>
      </c>
      <c r="X291" s="2">
        <v>20255107085</v>
      </c>
      <c r="Y291" s="14">
        <v>45909</v>
      </c>
      <c r="Z291" s="14">
        <v>45912</v>
      </c>
      <c r="AA291" s="14">
        <v>45903</v>
      </c>
      <c r="AB291" s="14">
        <v>45916</v>
      </c>
      <c r="AC291" s="14">
        <v>45918</v>
      </c>
      <c r="AD291" s="2">
        <v>76030156964</v>
      </c>
      <c r="AE291" s="2"/>
      <c r="AF291" s="2">
        <v>6</v>
      </c>
      <c r="AG291" s="2">
        <v>9.07</v>
      </c>
      <c r="AH291" s="2"/>
      <c r="AI291" s="2" t="s">
        <v>629</v>
      </c>
      <c r="AJ291" s="2"/>
      <c r="AK291" s="14">
        <v>45910</v>
      </c>
      <c r="AL291" s="14">
        <v>45910</v>
      </c>
      <c r="AM291" s="14">
        <v>45911</v>
      </c>
      <c r="AN291" s="2"/>
      <c r="AO291" s="2">
        <v>4537790</v>
      </c>
      <c r="AP291" s="14">
        <v>45916</v>
      </c>
      <c r="AQ291" s="14">
        <v>45918</v>
      </c>
      <c r="AR291" s="15" t="s">
        <v>2289</v>
      </c>
      <c r="AS291" s="14">
        <v>45919</v>
      </c>
      <c r="AT291" s="44">
        <v>51469</v>
      </c>
      <c r="AV291" s="14">
        <v>45919</v>
      </c>
      <c r="AW291" s="14">
        <v>45919</v>
      </c>
      <c r="AY291" s="2">
        <v>4643690</v>
      </c>
      <c r="AZ291" s="32">
        <v>45922</v>
      </c>
      <c r="BA291" s="1">
        <v>13932879</v>
      </c>
      <c r="BB291" s="2">
        <v>2507918</v>
      </c>
      <c r="BC291" s="5">
        <v>45922</v>
      </c>
      <c r="BD291" s="14">
        <v>45923</v>
      </c>
      <c r="BF291" s="5">
        <v>45923</v>
      </c>
      <c r="BG291" s="5">
        <v>45924</v>
      </c>
      <c r="BH291" s="1" t="s">
        <v>2331</v>
      </c>
      <c r="BI291" s="1" t="s">
        <v>273</v>
      </c>
      <c r="BQ291" s="14">
        <v>45919</v>
      </c>
      <c r="BR291" s="5">
        <v>45919</v>
      </c>
    </row>
    <row r="292" spans="1:70" ht="18" customHeight="1" x14ac:dyDescent="0.3">
      <c r="A292" s="2">
        <v>292</v>
      </c>
      <c r="B292" s="2">
        <v>6933617</v>
      </c>
      <c r="C292" s="111">
        <v>45830</v>
      </c>
      <c r="D292" s="2">
        <v>103850</v>
      </c>
      <c r="E292" s="2" t="s">
        <v>678</v>
      </c>
      <c r="F292" s="8" t="s">
        <v>219</v>
      </c>
      <c r="G292" s="8" t="s">
        <v>2190</v>
      </c>
      <c r="H292" s="8" t="s">
        <v>749</v>
      </c>
      <c r="I292" s="83">
        <v>51393</v>
      </c>
      <c r="J292" s="2" t="s">
        <v>142</v>
      </c>
      <c r="K292" s="2" t="s">
        <v>126</v>
      </c>
      <c r="L292" s="2" t="s">
        <v>854</v>
      </c>
      <c r="M292" s="134">
        <v>45915</v>
      </c>
      <c r="N292" s="56" t="s">
        <v>2333</v>
      </c>
      <c r="Q292" s="67">
        <f t="shared" si="32"/>
        <v>2</v>
      </c>
      <c r="R292" s="29">
        <f t="shared" si="33"/>
        <v>7</v>
      </c>
      <c r="T292" s="1">
        <v>683</v>
      </c>
      <c r="U292" s="8" t="s">
        <v>2191</v>
      </c>
      <c r="V292" s="2" t="s">
        <v>384</v>
      </c>
      <c r="W292" s="2" t="s">
        <v>421</v>
      </c>
      <c r="X292" s="2" t="s">
        <v>2192</v>
      </c>
      <c r="Y292" s="14">
        <v>45911</v>
      </c>
      <c r="Z292" s="14">
        <v>45915</v>
      </c>
      <c r="AA292" s="14">
        <v>45915</v>
      </c>
      <c r="AB292" s="14">
        <v>45915</v>
      </c>
      <c r="AC292" s="14">
        <v>45917</v>
      </c>
      <c r="AD292" s="2">
        <v>15709659543</v>
      </c>
      <c r="AE292" s="2" t="s">
        <v>2193</v>
      </c>
      <c r="AF292" s="2">
        <v>4</v>
      </c>
      <c r="AG292" s="2">
        <v>1033</v>
      </c>
      <c r="AH292" s="2"/>
      <c r="AI292" s="2" t="s">
        <v>629</v>
      </c>
      <c r="AJ292" s="2"/>
      <c r="AK292" s="14">
        <v>45912</v>
      </c>
      <c r="AL292" s="14">
        <v>45912</v>
      </c>
      <c r="AM292" s="14">
        <v>45912</v>
      </c>
      <c r="AN292" s="2"/>
      <c r="AO292" s="2">
        <v>4520135</v>
      </c>
      <c r="AP292" s="14">
        <v>45915</v>
      </c>
      <c r="AQ292" s="14">
        <v>45917</v>
      </c>
      <c r="AR292" s="15" t="s">
        <v>2278</v>
      </c>
      <c r="AS292" s="14">
        <v>45918</v>
      </c>
      <c r="AT292" s="44">
        <v>51464</v>
      </c>
      <c r="AV292" s="14">
        <v>45918</v>
      </c>
      <c r="AW292" s="14">
        <v>45918</v>
      </c>
      <c r="AY292" s="2">
        <v>4642370</v>
      </c>
      <c r="AZ292" s="32">
        <v>45922</v>
      </c>
      <c r="BA292" s="1" t="s">
        <v>2277</v>
      </c>
      <c r="BB292" s="2">
        <v>1660873</v>
      </c>
      <c r="BC292" s="5">
        <v>45922</v>
      </c>
      <c r="BD292" s="14">
        <v>45923</v>
      </c>
      <c r="BF292" s="5">
        <v>45923</v>
      </c>
      <c r="BG292" s="5">
        <v>45924</v>
      </c>
      <c r="BH292" s="1" t="s">
        <v>2331</v>
      </c>
      <c r="BI292" s="1" t="s">
        <v>273</v>
      </c>
      <c r="BQ292" s="14">
        <v>45918</v>
      </c>
      <c r="BR292" s="5">
        <v>45919</v>
      </c>
    </row>
    <row r="293" spans="1:70" ht="18" customHeight="1" x14ac:dyDescent="0.3">
      <c r="A293" s="2">
        <v>293</v>
      </c>
      <c r="B293" s="2" t="s">
        <v>2212</v>
      </c>
      <c r="C293" s="111">
        <v>45902</v>
      </c>
      <c r="D293" s="2">
        <v>47775</v>
      </c>
      <c r="E293" s="2" t="s">
        <v>677</v>
      </c>
      <c r="F293" s="2" t="s">
        <v>345</v>
      </c>
      <c r="G293" s="2" t="s">
        <v>346</v>
      </c>
      <c r="H293" s="2">
        <v>105</v>
      </c>
      <c r="I293" s="83">
        <v>51426</v>
      </c>
      <c r="J293" s="2" t="s">
        <v>142</v>
      </c>
      <c r="K293" s="2" t="s">
        <v>126</v>
      </c>
      <c r="L293" s="2" t="s">
        <v>854</v>
      </c>
      <c r="M293" s="134">
        <v>45917</v>
      </c>
      <c r="N293" s="56" t="s">
        <v>2340</v>
      </c>
      <c r="Q293" s="67">
        <f t="shared" ref="Q293:Q300" si="34">AQ293-AB293</f>
        <v>2</v>
      </c>
      <c r="R293" s="29">
        <f t="shared" si="33"/>
        <v>6</v>
      </c>
      <c r="T293" s="1"/>
      <c r="U293" s="1" t="s">
        <v>2213</v>
      </c>
      <c r="V293" s="2" t="s">
        <v>755</v>
      </c>
      <c r="W293" s="1" t="s">
        <v>827</v>
      </c>
      <c r="X293" s="2" t="s">
        <v>2263</v>
      </c>
      <c r="Y293" s="14">
        <v>45917</v>
      </c>
      <c r="Z293" s="14">
        <v>45922</v>
      </c>
      <c r="AA293" s="14">
        <v>45917</v>
      </c>
      <c r="AB293" s="14">
        <v>45917</v>
      </c>
      <c r="AC293" s="14">
        <v>45919</v>
      </c>
      <c r="AD293" s="2">
        <v>15705797632</v>
      </c>
      <c r="AE293" s="2">
        <v>412657308</v>
      </c>
      <c r="AF293" s="2">
        <v>1</v>
      </c>
      <c r="AG293" s="2">
        <v>18</v>
      </c>
      <c r="AH293" s="2"/>
      <c r="AI293" s="2" t="s">
        <v>179</v>
      </c>
      <c r="AJ293" s="2"/>
      <c r="AK293" s="14">
        <v>45916</v>
      </c>
      <c r="AL293" s="14">
        <v>45916</v>
      </c>
      <c r="AM293" s="14">
        <v>45916</v>
      </c>
      <c r="AN293" s="2"/>
      <c r="AO293" s="2">
        <v>4567678</v>
      </c>
      <c r="AP293" s="14">
        <v>45917</v>
      </c>
      <c r="AQ293" s="14">
        <v>45919</v>
      </c>
      <c r="AR293" s="15" t="s">
        <v>2273</v>
      </c>
      <c r="AS293" s="14">
        <v>45920</v>
      </c>
      <c r="AT293" s="44">
        <v>51481</v>
      </c>
      <c r="AV293" s="14">
        <v>45920</v>
      </c>
      <c r="AW293" s="14">
        <v>45921</v>
      </c>
      <c r="AY293" s="2">
        <v>4668198</v>
      </c>
      <c r="AZ293" s="32">
        <v>45923</v>
      </c>
      <c r="BA293" s="1">
        <v>4244809</v>
      </c>
      <c r="BB293" s="2">
        <v>764066</v>
      </c>
      <c r="BC293" s="5">
        <v>45923</v>
      </c>
      <c r="BD293" s="14">
        <v>45923</v>
      </c>
      <c r="BF293" s="5">
        <v>45924</v>
      </c>
      <c r="BG293" s="5">
        <v>45925</v>
      </c>
      <c r="BH293" s="1" t="s">
        <v>2339</v>
      </c>
      <c r="BI293" s="1" t="s">
        <v>282</v>
      </c>
      <c r="BQ293" s="14">
        <v>45921</v>
      </c>
      <c r="BR293" s="5">
        <v>45922</v>
      </c>
    </row>
    <row r="294" spans="1:70" ht="18" customHeight="1" x14ac:dyDescent="0.3">
      <c r="A294" s="2">
        <v>294</v>
      </c>
      <c r="B294" s="2" t="s">
        <v>2214</v>
      </c>
      <c r="C294" s="111">
        <v>45902</v>
      </c>
      <c r="D294" s="2">
        <v>23660</v>
      </c>
      <c r="E294" s="2" t="s">
        <v>677</v>
      </c>
      <c r="F294" s="2" t="s">
        <v>345</v>
      </c>
      <c r="G294" s="2" t="s">
        <v>346</v>
      </c>
      <c r="H294" s="2">
        <v>52</v>
      </c>
      <c r="I294" s="83">
        <v>51429</v>
      </c>
      <c r="J294" s="2" t="s">
        <v>142</v>
      </c>
      <c r="K294" s="2" t="s">
        <v>126</v>
      </c>
      <c r="L294" s="2" t="s">
        <v>854</v>
      </c>
      <c r="M294" s="134">
        <v>45917</v>
      </c>
      <c r="N294" s="56" t="s">
        <v>2341</v>
      </c>
      <c r="Q294" s="67">
        <f t="shared" si="34"/>
        <v>2</v>
      </c>
      <c r="R294" s="29">
        <f t="shared" si="33"/>
        <v>6</v>
      </c>
      <c r="T294" s="1"/>
      <c r="U294" s="1" t="s">
        <v>2215</v>
      </c>
      <c r="V294" s="2" t="s">
        <v>755</v>
      </c>
      <c r="W294" s="1" t="s">
        <v>827</v>
      </c>
      <c r="X294" s="2" t="s">
        <v>2262</v>
      </c>
      <c r="Y294" s="14">
        <v>45917</v>
      </c>
      <c r="Z294" s="14">
        <v>45922</v>
      </c>
      <c r="AA294" s="14">
        <v>45917</v>
      </c>
      <c r="AB294" s="14">
        <v>45917</v>
      </c>
      <c r="AC294" s="14">
        <v>45919</v>
      </c>
      <c r="AD294" s="2">
        <v>15705797632</v>
      </c>
      <c r="AE294" s="2">
        <v>412657309</v>
      </c>
      <c r="AF294" s="2">
        <v>1</v>
      </c>
      <c r="AG294" s="2">
        <v>7</v>
      </c>
      <c r="AH294" s="2"/>
      <c r="AI294" s="2" t="s">
        <v>179</v>
      </c>
      <c r="AJ294" s="2"/>
      <c r="AK294" s="14">
        <v>45916</v>
      </c>
      <c r="AL294" s="14">
        <v>45916</v>
      </c>
      <c r="AM294" s="14">
        <v>45916</v>
      </c>
      <c r="AN294" s="2"/>
      <c r="AO294" s="2">
        <v>4566555</v>
      </c>
      <c r="AP294" s="14">
        <v>45917</v>
      </c>
      <c r="AQ294" s="14">
        <v>45919</v>
      </c>
      <c r="AR294" s="15" t="s">
        <v>2273</v>
      </c>
      <c r="AS294" s="14">
        <v>45920</v>
      </c>
      <c r="AT294" s="44">
        <v>51482</v>
      </c>
      <c r="AV294" s="14">
        <v>45920</v>
      </c>
      <c r="AW294" s="14">
        <v>45921</v>
      </c>
      <c r="AY294" s="2">
        <v>4667789</v>
      </c>
      <c r="AZ294" s="32">
        <v>45923</v>
      </c>
      <c r="BA294" s="1">
        <v>2102191</v>
      </c>
      <c r="BB294" s="2">
        <v>378394</v>
      </c>
      <c r="BC294" s="5">
        <v>45923</v>
      </c>
      <c r="BD294" s="14">
        <v>45923</v>
      </c>
      <c r="BF294" s="5">
        <v>45924</v>
      </c>
      <c r="BG294" s="5">
        <v>45925</v>
      </c>
      <c r="BH294" s="1" t="s">
        <v>2339</v>
      </c>
      <c r="BI294" s="1" t="s">
        <v>282</v>
      </c>
      <c r="BQ294" s="14">
        <v>45921</v>
      </c>
      <c r="BR294" s="5">
        <v>45922</v>
      </c>
    </row>
    <row r="295" spans="1:70" ht="18" customHeight="1" x14ac:dyDescent="0.3">
      <c r="A295" s="2">
        <v>295</v>
      </c>
      <c r="B295" s="2" t="s">
        <v>2216</v>
      </c>
      <c r="C295" s="111">
        <v>45902</v>
      </c>
      <c r="D295" s="2">
        <v>2275</v>
      </c>
      <c r="E295" s="2" t="s">
        <v>677</v>
      </c>
      <c r="F295" s="2" t="s">
        <v>345</v>
      </c>
      <c r="G295" s="2" t="s">
        <v>346</v>
      </c>
      <c r="H295" s="2">
        <v>5</v>
      </c>
      <c r="I295" s="83">
        <v>51430</v>
      </c>
      <c r="J295" s="2" t="s">
        <v>142</v>
      </c>
      <c r="K295" s="2" t="s">
        <v>126</v>
      </c>
      <c r="L295" s="2" t="s">
        <v>854</v>
      </c>
      <c r="M295" s="134">
        <v>45917</v>
      </c>
      <c r="N295" s="56" t="s">
        <v>2341</v>
      </c>
      <c r="Q295" s="67">
        <f t="shared" si="34"/>
        <v>2</v>
      </c>
      <c r="R295" s="29">
        <f t="shared" si="33"/>
        <v>6</v>
      </c>
      <c r="T295" s="1"/>
      <c r="U295" s="1" t="s">
        <v>2217</v>
      </c>
      <c r="V295" s="2" t="s">
        <v>755</v>
      </c>
      <c r="W295" s="1" t="s">
        <v>827</v>
      </c>
      <c r="X295" s="2" t="s">
        <v>2264</v>
      </c>
      <c r="Y295" s="14">
        <v>45917</v>
      </c>
      <c r="Z295" s="14">
        <v>45922</v>
      </c>
      <c r="AA295" s="14">
        <v>45917</v>
      </c>
      <c r="AB295" s="14">
        <v>45917</v>
      </c>
      <c r="AC295" s="14">
        <v>45919</v>
      </c>
      <c r="AD295" s="2">
        <v>15705797632</v>
      </c>
      <c r="AE295" s="2">
        <v>412657310</v>
      </c>
      <c r="AF295" s="2">
        <v>1</v>
      </c>
      <c r="AG295" s="2">
        <v>1.5</v>
      </c>
      <c r="AH295" s="2"/>
      <c r="AI295" s="2" t="s">
        <v>179</v>
      </c>
      <c r="AJ295" s="2"/>
      <c r="AK295" s="14">
        <v>45916</v>
      </c>
      <c r="AL295" s="14">
        <v>45916</v>
      </c>
      <c r="AM295" s="14">
        <v>45916</v>
      </c>
      <c r="AN295" s="2"/>
      <c r="AO295" s="2">
        <v>4566358</v>
      </c>
      <c r="AP295" s="14">
        <v>45917</v>
      </c>
      <c r="AQ295" s="14">
        <v>45919</v>
      </c>
      <c r="AR295" s="15" t="s">
        <v>2273</v>
      </c>
      <c r="AS295" s="14">
        <v>45920</v>
      </c>
      <c r="AT295" s="44">
        <v>51483</v>
      </c>
      <c r="AV295" s="14">
        <v>45920</v>
      </c>
      <c r="AW295" s="14">
        <v>45922</v>
      </c>
      <c r="AY295" s="2">
        <v>4668200</v>
      </c>
      <c r="AZ295" s="32">
        <v>45923</v>
      </c>
      <c r="BA295" s="1">
        <v>202134</v>
      </c>
      <c r="BB295" s="2">
        <v>36384</v>
      </c>
      <c r="BC295" s="5">
        <v>45923</v>
      </c>
      <c r="BD295" s="14">
        <v>45923</v>
      </c>
      <c r="BF295" s="5">
        <v>45924</v>
      </c>
      <c r="BG295" s="5">
        <v>45925</v>
      </c>
      <c r="BH295" s="1" t="s">
        <v>2339</v>
      </c>
      <c r="BI295" s="1" t="s">
        <v>282</v>
      </c>
      <c r="BQ295" s="14">
        <v>45922</v>
      </c>
      <c r="BR295" s="5">
        <v>45922</v>
      </c>
    </row>
    <row r="296" spans="1:70" ht="18" customHeight="1" x14ac:dyDescent="0.3">
      <c r="A296" s="2">
        <v>296</v>
      </c>
      <c r="B296" s="2" t="s">
        <v>2218</v>
      </c>
      <c r="C296" s="111">
        <v>45902</v>
      </c>
      <c r="D296" s="2">
        <v>4550</v>
      </c>
      <c r="E296" s="2" t="s">
        <v>677</v>
      </c>
      <c r="F296" s="2" t="s">
        <v>345</v>
      </c>
      <c r="G296" s="2" t="s">
        <v>346</v>
      </c>
      <c r="H296" s="2">
        <v>10</v>
      </c>
      <c r="I296" s="83">
        <v>51431</v>
      </c>
      <c r="J296" s="2" t="s">
        <v>142</v>
      </c>
      <c r="K296" s="2" t="s">
        <v>126</v>
      </c>
      <c r="L296" s="2" t="s">
        <v>854</v>
      </c>
      <c r="M296" s="134">
        <v>45917</v>
      </c>
      <c r="N296" s="56" t="s">
        <v>2341</v>
      </c>
      <c r="Q296" s="67">
        <f t="shared" si="34"/>
        <v>2</v>
      </c>
      <c r="R296" s="29">
        <f t="shared" si="33"/>
        <v>6</v>
      </c>
      <c r="T296" s="1"/>
      <c r="U296" s="1" t="s">
        <v>2219</v>
      </c>
      <c r="V296" s="2" t="s">
        <v>755</v>
      </c>
      <c r="W296" s="1" t="s">
        <v>827</v>
      </c>
      <c r="X296" s="2" t="s">
        <v>2265</v>
      </c>
      <c r="Y296" s="14">
        <v>45917</v>
      </c>
      <c r="Z296" s="14">
        <v>45922</v>
      </c>
      <c r="AA296" s="14">
        <v>45917</v>
      </c>
      <c r="AB296" s="14">
        <v>45917</v>
      </c>
      <c r="AC296" s="14">
        <v>45919</v>
      </c>
      <c r="AD296" s="2">
        <v>15705797632</v>
      </c>
      <c r="AE296" s="2">
        <v>412657311</v>
      </c>
      <c r="AF296" s="2">
        <v>1</v>
      </c>
      <c r="AG296" s="2">
        <v>2</v>
      </c>
      <c r="AH296" s="2"/>
      <c r="AI296" s="2" t="s">
        <v>179</v>
      </c>
      <c r="AJ296" s="2"/>
      <c r="AK296" s="14">
        <v>45916</v>
      </c>
      <c r="AL296" s="14">
        <v>45916</v>
      </c>
      <c r="AM296" s="14">
        <v>45916</v>
      </c>
      <c r="AN296" s="2"/>
      <c r="AO296" s="2">
        <v>4566348</v>
      </c>
      <c r="AP296" s="14">
        <v>45917</v>
      </c>
      <c r="AQ296" s="14">
        <v>45919</v>
      </c>
      <c r="AR296" s="15" t="s">
        <v>2273</v>
      </c>
      <c r="AS296" s="14">
        <v>45920</v>
      </c>
      <c r="AT296" s="44">
        <v>51484</v>
      </c>
      <c r="AV296" s="14">
        <v>45920</v>
      </c>
      <c r="AW296" s="14">
        <v>45921</v>
      </c>
      <c r="AY296" s="2">
        <v>4669245</v>
      </c>
      <c r="AZ296" s="32">
        <v>45923</v>
      </c>
      <c r="BA296" s="1">
        <v>404268</v>
      </c>
      <c r="BB296" s="2">
        <v>72768</v>
      </c>
      <c r="BC296" s="5">
        <v>45923</v>
      </c>
      <c r="BD296" s="14">
        <v>45923</v>
      </c>
      <c r="BF296" s="5">
        <v>45924</v>
      </c>
      <c r="BG296" s="5">
        <v>45925</v>
      </c>
      <c r="BH296" s="1" t="s">
        <v>2339</v>
      </c>
      <c r="BI296" s="1" t="s">
        <v>282</v>
      </c>
      <c r="BQ296" s="14">
        <v>45921</v>
      </c>
      <c r="BR296" s="5">
        <v>45922</v>
      </c>
    </row>
    <row r="297" spans="1:70" ht="18" customHeight="1" x14ac:dyDescent="0.3">
      <c r="A297" s="2">
        <v>297</v>
      </c>
      <c r="B297" s="2">
        <v>250908739</v>
      </c>
      <c r="C297" s="111">
        <v>45916</v>
      </c>
      <c r="D297" s="2">
        <v>36345.72</v>
      </c>
      <c r="E297" s="2" t="s">
        <v>677</v>
      </c>
      <c r="F297" s="135" t="s">
        <v>1483</v>
      </c>
      <c r="G297" s="2" t="s">
        <v>417</v>
      </c>
      <c r="H297" s="2">
        <v>2</v>
      </c>
      <c r="I297" s="83">
        <v>51451</v>
      </c>
      <c r="J297" s="2" t="s">
        <v>142</v>
      </c>
      <c r="K297" s="2" t="s">
        <v>126</v>
      </c>
      <c r="L297" s="2" t="s">
        <v>854</v>
      </c>
      <c r="M297" s="134">
        <v>45919</v>
      </c>
      <c r="N297" s="56" t="s">
        <v>2342</v>
      </c>
      <c r="Q297" s="67">
        <f t="shared" si="34"/>
        <v>3</v>
      </c>
      <c r="R297" s="29">
        <f t="shared" si="33"/>
        <v>3</v>
      </c>
      <c r="T297" s="1"/>
      <c r="U297" s="1" t="s">
        <v>2253</v>
      </c>
      <c r="V297" s="2" t="s">
        <v>755</v>
      </c>
      <c r="W297" s="1" t="s">
        <v>827</v>
      </c>
      <c r="X297" s="2" t="s">
        <v>2266</v>
      </c>
      <c r="Y297" s="14">
        <v>45917</v>
      </c>
      <c r="Z297" s="14">
        <v>45920</v>
      </c>
      <c r="AA297" s="14">
        <v>45919</v>
      </c>
      <c r="AB297" s="14">
        <v>45919</v>
      </c>
      <c r="AC297" s="14">
        <v>45922</v>
      </c>
      <c r="AD297" s="2">
        <v>60750615600</v>
      </c>
      <c r="AE297" s="2">
        <v>4840732468</v>
      </c>
      <c r="AF297" s="2">
        <v>2</v>
      </c>
      <c r="AG297" s="2">
        <v>12.5</v>
      </c>
      <c r="AH297" s="2"/>
      <c r="AI297" s="2" t="s">
        <v>179</v>
      </c>
      <c r="AJ297" s="2"/>
      <c r="AK297" s="14">
        <v>45917</v>
      </c>
      <c r="AL297" s="14">
        <v>45917</v>
      </c>
      <c r="AM297" s="14">
        <v>45918</v>
      </c>
      <c r="AN297" s="2"/>
      <c r="AO297" s="2">
        <v>4601391</v>
      </c>
      <c r="AP297" s="14">
        <v>45919</v>
      </c>
      <c r="AQ297" s="14">
        <v>45922</v>
      </c>
      <c r="AS297" s="14">
        <v>45922</v>
      </c>
      <c r="AT297" s="44">
        <v>51491</v>
      </c>
      <c r="AV297" s="14">
        <v>45922</v>
      </c>
      <c r="AW297" s="14">
        <v>45922</v>
      </c>
      <c r="AY297" s="2">
        <v>4673452</v>
      </c>
      <c r="AZ297" s="32">
        <v>45923</v>
      </c>
      <c r="BA297" s="1">
        <v>3229317</v>
      </c>
      <c r="BB297" s="2">
        <v>581277</v>
      </c>
      <c r="BC297" s="5">
        <v>45923</v>
      </c>
      <c r="BD297" s="14">
        <v>45923</v>
      </c>
      <c r="BF297" s="5">
        <v>45924</v>
      </c>
      <c r="BG297" s="5">
        <v>45925</v>
      </c>
      <c r="BH297" s="1" t="s">
        <v>2339</v>
      </c>
      <c r="BI297" s="1" t="s">
        <v>282</v>
      </c>
      <c r="BQ297" s="14">
        <v>45922</v>
      </c>
      <c r="BR297" s="14">
        <v>45922</v>
      </c>
    </row>
    <row r="298" spans="1:70" ht="18" customHeight="1" x14ac:dyDescent="0.3">
      <c r="A298" s="2">
        <v>298</v>
      </c>
      <c r="B298" s="2">
        <v>250908743</v>
      </c>
      <c r="C298" s="111">
        <v>45916</v>
      </c>
      <c r="D298" s="2">
        <v>36345.72</v>
      </c>
      <c r="E298" s="2" t="s">
        <v>677</v>
      </c>
      <c r="F298" s="135" t="s">
        <v>1483</v>
      </c>
      <c r="G298" s="2" t="s">
        <v>417</v>
      </c>
      <c r="H298" s="2">
        <v>2</v>
      </c>
      <c r="I298" s="83">
        <v>51454</v>
      </c>
      <c r="J298" s="2" t="s">
        <v>142</v>
      </c>
      <c r="K298" s="2" t="s">
        <v>126</v>
      </c>
      <c r="L298" s="2" t="s">
        <v>854</v>
      </c>
      <c r="M298" s="134">
        <v>45919</v>
      </c>
      <c r="N298" s="56" t="s">
        <v>2342</v>
      </c>
      <c r="Q298" s="67">
        <f t="shared" si="34"/>
        <v>3</v>
      </c>
      <c r="R298" s="29">
        <f t="shared" si="33"/>
        <v>3</v>
      </c>
      <c r="T298" s="1"/>
      <c r="U298" s="1" t="s">
        <v>2219</v>
      </c>
      <c r="V298" s="2" t="s">
        <v>755</v>
      </c>
      <c r="W298" s="1" t="s">
        <v>827</v>
      </c>
      <c r="X298" s="2" t="s">
        <v>2267</v>
      </c>
      <c r="Y298" s="14">
        <v>45917</v>
      </c>
      <c r="Z298" s="14">
        <v>45920</v>
      </c>
      <c r="AA298" s="14">
        <v>45919</v>
      </c>
      <c r="AB298" s="14">
        <v>45919</v>
      </c>
      <c r="AC298" s="14">
        <v>45922</v>
      </c>
      <c r="AD298" s="2">
        <v>60750615600</v>
      </c>
      <c r="AE298" s="2">
        <v>4840732469</v>
      </c>
      <c r="AF298" s="2">
        <v>2</v>
      </c>
      <c r="AG298" s="2">
        <v>12.5</v>
      </c>
      <c r="AH298" s="2"/>
      <c r="AI298" s="2" t="s">
        <v>179</v>
      </c>
      <c r="AJ298" s="2"/>
      <c r="AK298" s="14">
        <v>45917</v>
      </c>
      <c r="AL298" s="14">
        <v>45917</v>
      </c>
      <c r="AM298" s="14">
        <v>45918</v>
      </c>
      <c r="AN298" s="2"/>
      <c r="AO298" s="2">
        <v>4601396</v>
      </c>
      <c r="AP298" s="14">
        <v>45919</v>
      </c>
      <c r="AQ298" s="14">
        <v>45922</v>
      </c>
      <c r="AS298" s="14">
        <v>45922</v>
      </c>
      <c r="AT298" s="44">
        <v>51492</v>
      </c>
      <c r="AV298" s="14">
        <v>45922</v>
      </c>
      <c r="AW298" s="14">
        <v>45922</v>
      </c>
      <c r="AY298" s="2">
        <v>4670845</v>
      </c>
      <c r="AZ298" s="32">
        <v>45923</v>
      </c>
      <c r="BA298" s="1">
        <v>3229317</v>
      </c>
      <c r="BB298" s="2">
        <v>581277</v>
      </c>
      <c r="BC298" s="5">
        <v>45923</v>
      </c>
      <c r="BD298" s="14">
        <v>45923</v>
      </c>
      <c r="BF298" s="5">
        <v>45924</v>
      </c>
      <c r="BG298" s="5">
        <v>45925</v>
      </c>
      <c r="BH298" s="1" t="s">
        <v>2339</v>
      </c>
      <c r="BI298" s="1" t="s">
        <v>282</v>
      </c>
      <c r="BQ298" s="14">
        <v>45922</v>
      </c>
      <c r="BR298" s="14">
        <v>45922</v>
      </c>
    </row>
    <row r="299" spans="1:70" ht="18" customHeight="1" x14ac:dyDescent="0.3">
      <c r="A299" s="2">
        <v>299</v>
      </c>
      <c r="B299" s="2">
        <v>6999055</v>
      </c>
      <c r="C299" s="111">
        <v>45908</v>
      </c>
      <c r="D299" s="2">
        <v>114235</v>
      </c>
      <c r="E299" s="2" t="s">
        <v>840</v>
      </c>
      <c r="F299" s="8" t="s">
        <v>642</v>
      </c>
      <c r="G299" s="8" t="s">
        <v>1798</v>
      </c>
      <c r="H299" s="8" t="s">
        <v>1058</v>
      </c>
      <c r="I299" s="83">
        <v>51435</v>
      </c>
      <c r="J299" s="2" t="s">
        <v>142</v>
      </c>
      <c r="K299" s="2" t="s">
        <v>126</v>
      </c>
      <c r="L299" s="2" t="s">
        <v>854</v>
      </c>
      <c r="M299" s="134">
        <v>45918</v>
      </c>
      <c r="N299" s="56" t="s">
        <v>2344</v>
      </c>
      <c r="Q299" s="67">
        <f t="shared" si="34"/>
        <v>2</v>
      </c>
      <c r="R299" s="29">
        <f t="shared" si="33"/>
        <v>5</v>
      </c>
      <c r="T299" s="1"/>
      <c r="U299" s="8" t="s">
        <v>2220</v>
      </c>
      <c r="V299" s="1" t="s">
        <v>645</v>
      </c>
      <c r="W299" s="79" t="s">
        <v>426</v>
      </c>
      <c r="X299" s="2">
        <v>20255108847</v>
      </c>
      <c r="Y299" s="14">
        <v>45912</v>
      </c>
      <c r="Z299" s="14">
        <v>45918</v>
      </c>
      <c r="AA299" s="14">
        <v>45918</v>
      </c>
      <c r="AB299" s="14">
        <v>45918</v>
      </c>
      <c r="AC299" s="14">
        <v>45920</v>
      </c>
      <c r="AD299" s="2">
        <v>17615153622</v>
      </c>
      <c r="AE299" s="2" t="s">
        <v>2221</v>
      </c>
      <c r="AF299" s="2">
        <v>4</v>
      </c>
      <c r="AG299" s="2">
        <v>1079</v>
      </c>
      <c r="AH299" s="2"/>
      <c r="AI299" s="2" t="s">
        <v>180</v>
      </c>
      <c r="AJ299" s="2"/>
      <c r="AK299" s="14">
        <v>45916</v>
      </c>
      <c r="AL299" s="14">
        <v>45916</v>
      </c>
      <c r="AM299" s="14">
        <v>45916</v>
      </c>
      <c r="AN299" s="2"/>
      <c r="AO299" s="2">
        <v>4587228</v>
      </c>
      <c r="AP299" s="14">
        <v>45918</v>
      </c>
      <c r="AQ299" s="14">
        <v>45920</v>
      </c>
      <c r="AR299" s="15" t="s">
        <v>2276</v>
      </c>
      <c r="AS299" s="14">
        <v>45922</v>
      </c>
      <c r="AT299" s="44">
        <v>51485</v>
      </c>
      <c r="AV299" s="14">
        <v>45920</v>
      </c>
      <c r="AW299" s="14">
        <v>45922</v>
      </c>
      <c r="AY299" s="2">
        <v>4670379</v>
      </c>
      <c r="AZ299" s="32">
        <v>45923</v>
      </c>
      <c r="BA299" s="1">
        <v>10149780</v>
      </c>
      <c r="BB299" s="2">
        <v>1826960</v>
      </c>
      <c r="BC299" s="5">
        <v>45923</v>
      </c>
      <c r="BD299" s="14">
        <v>45923</v>
      </c>
      <c r="BF299" s="5">
        <v>45924</v>
      </c>
      <c r="BG299" s="5">
        <v>45925</v>
      </c>
      <c r="BH299" s="1" t="s">
        <v>2343</v>
      </c>
      <c r="BI299" s="1" t="s">
        <v>273</v>
      </c>
      <c r="BQ299" s="14">
        <v>45922</v>
      </c>
      <c r="BR299" s="14">
        <v>45922</v>
      </c>
    </row>
    <row r="300" spans="1:70" ht="18" customHeight="1" x14ac:dyDescent="0.3">
      <c r="A300" s="2">
        <v>300</v>
      </c>
      <c r="B300" s="8" t="s">
        <v>2228</v>
      </c>
      <c r="C300" s="8" t="s">
        <v>2229</v>
      </c>
      <c r="D300" s="8" t="s">
        <v>2230</v>
      </c>
      <c r="E300" s="2" t="s">
        <v>840</v>
      </c>
      <c r="F300" s="135" t="s">
        <v>2231</v>
      </c>
      <c r="G300" s="8" t="s">
        <v>2232</v>
      </c>
      <c r="H300" s="8" t="s">
        <v>2233</v>
      </c>
      <c r="I300" s="83">
        <v>51438</v>
      </c>
      <c r="J300" s="2" t="s">
        <v>1631</v>
      </c>
      <c r="K300" s="2" t="s">
        <v>126</v>
      </c>
      <c r="L300" s="2" t="s">
        <v>1632</v>
      </c>
      <c r="M300" s="134">
        <v>45918</v>
      </c>
      <c r="N300" s="56" t="s">
        <v>2344</v>
      </c>
      <c r="Q300" s="67">
        <f t="shared" si="34"/>
        <v>4</v>
      </c>
      <c r="R300" s="29">
        <f t="shared" si="33"/>
        <v>3</v>
      </c>
      <c r="T300" s="1" t="s">
        <v>2335</v>
      </c>
      <c r="U300" s="8" t="s">
        <v>2234</v>
      </c>
      <c r="V300" s="1" t="s">
        <v>645</v>
      </c>
      <c r="W300" s="79" t="s">
        <v>426</v>
      </c>
      <c r="X300" s="2">
        <v>20255108224</v>
      </c>
      <c r="Y300" s="14">
        <v>45911</v>
      </c>
      <c r="Z300" s="14">
        <v>45917</v>
      </c>
      <c r="AA300" s="14">
        <v>45901</v>
      </c>
      <c r="AB300" s="14">
        <v>45918</v>
      </c>
      <c r="AC300" s="14">
        <v>45922</v>
      </c>
      <c r="AD300" s="2" t="s">
        <v>2235</v>
      </c>
      <c r="AE300" s="2"/>
      <c r="AF300" s="2">
        <v>6</v>
      </c>
      <c r="AG300" s="2">
        <v>6.03</v>
      </c>
      <c r="AH300" s="2"/>
      <c r="AI300" s="2" t="s">
        <v>180</v>
      </c>
      <c r="AJ300" s="2"/>
      <c r="AK300" s="14">
        <v>45915</v>
      </c>
      <c r="AL300" s="14">
        <v>45916</v>
      </c>
      <c r="AM300" s="14">
        <v>45917</v>
      </c>
      <c r="AN300" s="2"/>
      <c r="AO300" s="2">
        <v>4585411</v>
      </c>
      <c r="AP300" s="14">
        <v>45918</v>
      </c>
      <c r="AQ300" s="14">
        <v>45922</v>
      </c>
      <c r="AR300" s="15" t="s">
        <v>2316</v>
      </c>
      <c r="AS300" s="14">
        <v>45922</v>
      </c>
      <c r="AT300" s="44">
        <v>51487</v>
      </c>
      <c r="AV300" s="14">
        <v>45920</v>
      </c>
      <c r="AW300" s="14">
        <v>45922</v>
      </c>
      <c r="AY300" s="2">
        <v>4672824</v>
      </c>
      <c r="AZ300" s="32">
        <v>45923</v>
      </c>
      <c r="BA300" s="1">
        <v>10027567</v>
      </c>
      <c r="BB300" s="2">
        <v>1804962</v>
      </c>
      <c r="BC300" s="5">
        <v>45923</v>
      </c>
      <c r="BD300" s="14">
        <v>45924</v>
      </c>
      <c r="BF300" s="5">
        <v>45924</v>
      </c>
      <c r="BG300" s="5">
        <v>45925</v>
      </c>
      <c r="BH300" s="1" t="s">
        <v>2343</v>
      </c>
      <c r="BI300" s="1" t="s">
        <v>273</v>
      </c>
      <c r="BQ300" s="14">
        <v>45922</v>
      </c>
      <c r="BR300" s="14">
        <v>45922</v>
      </c>
    </row>
    <row r="301" spans="1:70" ht="18" customHeight="1" x14ac:dyDescent="0.3">
      <c r="A301" s="2">
        <v>301</v>
      </c>
      <c r="B301" s="2">
        <v>6995256</v>
      </c>
      <c r="C301" s="111">
        <v>45898</v>
      </c>
      <c r="D301" s="2">
        <v>58175</v>
      </c>
      <c r="E301" s="2" t="s">
        <v>678</v>
      </c>
      <c r="F301" s="8" t="s">
        <v>1327</v>
      </c>
      <c r="G301" s="8" t="s">
        <v>2033</v>
      </c>
      <c r="H301" s="8" t="s">
        <v>446</v>
      </c>
      <c r="I301" s="83">
        <v>51366</v>
      </c>
      <c r="J301" s="2" t="s">
        <v>1631</v>
      </c>
      <c r="K301" s="2" t="s">
        <v>126</v>
      </c>
      <c r="L301" s="2" t="s">
        <v>1632</v>
      </c>
      <c r="M301" s="78">
        <v>45916</v>
      </c>
      <c r="N301" s="56" t="s">
        <v>2347</v>
      </c>
      <c r="Q301" s="67">
        <f t="shared" ref="Q301:Q306" si="35">AQ301-AB301</f>
        <v>2</v>
      </c>
      <c r="R301" s="29">
        <f t="shared" si="33"/>
        <v>8</v>
      </c>
      <c r="T301" s="1" t="s">
        <v>2334</v>
      </c>
      <c r="U301" s="1" t="s">
        <v>2173</v>
      </c>
      <c r="V301" s="1" t="s">
        <v>645</v>
      </c>
      <c r="W301" s="79" t="s">
        <v>426</v>
      </c>
      <c r="X301" s="2">
        <v>20255107086</v>
      </c>
      <c r="Y301" s="14">
        <v>45909</v>
      </c>
      <c r="Z301" s="14">
        <v>45912</v>
      </c>
      <c r="AA301" s="14">
        <v>45903</v>
      </c>
      <c r="AB301" s="14">
        <v>45916</v>
      </c>
      <c r="AC301" s="14">
        <v>45918</v>
      </c>
      <c r="AD301" s="2">
        <v>76030156965</v>
      </c>
      <c r="AE301" s="2"/>
      <c r="AF301" s="2">
        <v>2</v>
      </c>
      <c r="AG301" s="2">
        <v>2.99</v>
      </c>
      <c r="AH301" s="2"/>
      <c r="AI301" s="2" t="s">
        <v>629</v>
      </c>
      <c r="AJ301" s="2"/>
      <c r="AK301" s="14">
        <v>45910</v>
      </c>
      <c r="AL301" s="14">
        <v>45910</v>
      </c>
      <c r="AM301" s="14">
        <v>45911</v>
      </c>
      <c r="AN301" s="2"/>
      <c r="AO301" s="2">
        <v>4537793</v>
      </c>
      <c r="AP301" s="14">
        <v>45916</v>
      </c>
      <c r="AQ301" s="14">
        <v>45918</v>
      </c>
      <c r="AR301" s="15" t="s">
        <v>2279</v>
      </c>
      <c r="AS301" s="14">
        <v>45919</v>
      </c>
      <c r="AT301" s="44">
        <v>51471</v>
      </c>
      <c r="AV301" s="14">
        <v>45919</v>
      </c>
      <c r="AW301" s="14">
        <v>45919</v>
      </c>
      <c r="AY301" s="2">
        <v>4673450</v>
      </c>
      <c r="AZ301" s="32">
        <v>45923</v>
      </c>
      <c r="BA301" s="1">
        <v>5168849</v>
      </c>
      <c r="BB301" s="2">
        <v>930393</v>
      </c>
      <c r="BC301" s="5">
        <v>45923</v>
      </c>
      <c r="BD301" s="14">
        <v>45924</v>
      </c>
      <c r="BF301" s="5">
        <v>45924</v>
      </c>
      <c r="BG301" s="5">
        <v>45926</v>
      </c>
      <c r="BH301" s="1" t="s">
        <v>2346</v>
      </c>
      <c r="BI301" s="1" t="s">
        <v>273</v>
      </c>
      <c r="BQ301" s="14">
        <v>45919</v>
      </c>
      <c r="BR301" s="5">
        <v>45922</v>
      </c>
    </row>
    <row r="302" spans="1:70" ht="18" customHeight="1" x14ac:dyDescent="0.3">
      <c r="A302" s="2">
        <v>302</v>
      </c>
      <c r="B302" s="8" t="s">
        <v>2222</v>
      </c>
      <c r="C302" s="8" t="s">
        <v>2223</v>
      </c>
      <c r="D302" s="8" t="s">
        <v>2224</v>
      </c>
      <c r="E302" s="2" t="s">
        <v>840</v>
      </c>
      <c r="F302" s="135" t="s">
        <v>1369</v>
      </c>
      <c r="G302" s="8" t="s">
        <v>1406</v>
      </c>
      <c r="H302" s="8" t="s">
        <v>2225</v>
      </c>
      <c r="I302" s="83">
        <v>51436</v>
      </c>
      <c r="J302" s="2" t="s">
        <v>1631</v>
      </c>
      <c r="K302" s="2" t="s">
        <v>126</v>
      </c>
      <c r="L302" s="2" t="s">
        <v>1632</v>
      </c>
      <c r="M302" s="134">
        <v>45918</v>
      </c>
      <c r="N302" s="56" t="s">
        <v>2348</v>
      </c>
      <c r="Q302" s="67">
        <f t="shared" si="35"/>
        <v>4</v>
      </c>
      <c r="R302" s="29">
        <f t="shared" si="33"/>
        <v>4</v>
      </c>
      <c r="T302" s="1">
        <v>1361</v>
      </c>
      <c r="U302" s="8" t="s">
        <v>2226</v>
      </c>
      <c r="V302" s="1" t="s">
        <v>645</v>
      </c>
      <c r="W302" s="79" t="s">
        <v>426</v>
      </c>
      <c r="X302" s="2">
        <v>20255108222</v>
      </c>
      <c r="Y302" s="14">
        <v>45911</v>
      </c>
      <c r="Z302" s="14">
        <v>45917</v>
      </c>
      <c r="AA302" s="14">
        <v>45901</v>
      </c>
      <c r="AB302" s="14">
        <v>45918</v>
      </c>
      <c r="AC302" s="14">
        <v>45922</v>
      </c>
      <c r="AD302" s="2" t="s">
        <v>2227</v>
      </c>
      <c r="AE302" s="2"/>
      <c r="AF302" s="2">
        <v>6</v>
      </c>
      <c r="AG302" s="2">
        <v>10.75</v>
      </c>
      <c r="AH302" s="2"/>
      <c r="AI302" s="2" t="s">
        <v>180</v>
      </c>
      <c r="AJ302" s="2"/>
      <c r="AK302" s="14">
        <v>45915</v>
      </c>
      <c r="AL302" s="14">
        <v>45916</v>
      </c>
      <c r="AM302" s="14">
        <v>45917</v>
      </c>
      <c r="AN302" s="2"/>
      <c r="AO302" s="2">
        <v>4585407</v>
      </c>
      <c r="AP302" s="14">
        <v>45918</v>
      </c>
      <c r="AQ302" s="14">
        <v>45922</v>
      </c>
      <c r="AR302" s="15" t="s">
        <v>2315</v>
      </c>
      <c r="AS302" s="14">
        <v>45922</v>
      </c>
      <c r="AT302" s="44">
        <v>51486</v>
      </c>
      <c r="AV302" s="14">
        <v>45920</v>
      </c>
      <c r="AW302" s="14">
        <v>45922</v>
      </c>
      <c r="AY302" s="2">
        <v>4672813</v>
      </c>
      <c r="AZ302" s="32">
        <v>45923</v>
      </c>
      <c r="BA302" s="1">
        <v>18401102</v>
      </c>
      <c r="BB302" s="2">
        <v>3312198</v>
      </c>
      <c r="BC302" s="5">
        <v>45923</v>
      </c>
      <c r="BD302" s="14">
        <v>45924</v>
      </c>
      <c r="BF302" s="5">
        <v>45924</v>
      </c>
      <c r="BG302" s="5">
        <v>45926</v>
      </c>
      <c r="BH302" s="1" t="s">
        <v>2346</v>
      </c>
      <c r="BI302" s="1" t="s">
        <v>273</v>
      </c>
      <c r="BQ302" s="14">
        <v>45922</v>
      </c>
      <c r="BR302" s="14">
        <v>45922</v>
      </c>
    </row>
    <row r="303" spans="1:70" ht="18" customHeight="1" x14ac:dyDescent="0.3">
      <c r="A303" s="2">
        <v>303</v>
      </c>
      <c r="B303" s="8" t="s">
        <v>2074</v>
      </c>
      <c r="C303" s="8" t="s">
        <v>2075</v>
      </c>
      <c r="D303" s="8" t="s">
        <v>2076</v>
      </c>
      <c r="E303" s="2" t="s">
        <v>678</v>
      </c>
      <c r="F303" s="8" t="s">
        <v>2077</v>
      </c>
      <c r="G303" s="8" t="s">
        <v>2042</v>
      </c>
      <c r="H303" s="8" t="s">
        <v>2078</v>
      </c>
      <c r="I303" s="83">
        <v>51310</v>
      </c>
      <c r="J303" s="2" t="s">
        <v>1631</v>
      </c>
      <c r="K303" s="2" t="s">
        <v>126</v>
      </c>
      <c r="L303" s="2" t="s">
        <v>1632</v>
      </c>
      <c r="M303" s="78">
        <v>45909</v>
      </c>
      <c r="N303" s="56" t="s">
        <v>2354</v>
      </c>
      <c r="Q303" s="67">
        <f t="shared" si="35"/>
        <v>5</v>
      </c>
      <c r="R303" s="29">
        <f t="shared" si="33"/>
        <v>15</v>
      </c>
      <c r="T303" s="1">
        <v>1044</v>
      </c>
      <c r="U303" s="8" t="s">
        <v>2079</v>
      </c>
      <c r="V303" s="2" t="s">
        <v>384</v>
      </c>
      <c r="W303" s="2" t="s">
        <v>421</v>
      </c>
      <c r="X303" s="2">
        <v>20255103691</v>
      </c>
      <c r="Y303" s="14">
        <v>45901</v>
      </c>
      <c r="Z303" s="14">
        <v>45906</v>
      </c>
      <c r="AA303" s="14">
        <v>45889</v>
      </c>
      <c r="AB303" s="3">
        <v>45910</v>
      </c>
      <c r="AC303" s="14">
        <v>45915</v>
      </c>
      <c r="AD303" s="2" t="s">
        <v>2148</v>
      </c>
      <c r="AE303" s="2" t="s">
        <v>2080</v>
      </c>
      <c r="AF303" s="2">
        <v>3</v>
      </c>
      <c r="AG303" s="2">
        <v>2.59</v>
      </c>
      <c r="AH303" s="2"/>
      <c r="AI303" s="2" t="s">
        <v>180</v>
      </c>
      <c r="AJ303" s="2"/>
      <c r="AK303" s="4">
        <v>45903</v>
      </c>
      <c r="AL303" s="14">
        <v>45904</v>
      </c>
      <c r="AM303" s="14">
        <v>45905</v>
      </c>
      <c r="AN303" s="2"/>
      <c r="AO303" s="2">
        <v>4449632</v>
      </c>
      <c r="AP303" s="14">
        <v>45911</v>
      </c>
      <c r="AQ303" s="14">
        <v>45915</v>
      </c>
      <c r="AR303" s="15" t="s">
        <v>2345</v>
      </c>
      <c r="AS303" s="14">
        <v>45915</v>
      </c>
      <c r="AT303" s="44">
        <v>51399</v>
      </c>
      <c r="AV303" s="14">
        <v>45913</v>
      </c>
      <c r="AW303" s="14">
        <v>45915</v>
      </c>
      <c r="AY303" s="2">
        <v>4716885</v>
      </c>
      <c r="AZ303" s="32">
        <v>45925</v>
      </c>
      <c r="BA303" s="1" t="s">
        <v>2336</v>
      </c>
      <c r="BB303" s="2" t="s">
        <v>2337</v>
      </c>
      <c r="BC303" s="5">
        <v>45925</v>
      </c>
      <c r="BD303" s="14">
        <v>45929</v>
      </c>
      <c r="BF303" s="5">
        <v>45929</v>
      </c>
      <c r="BG303" s="5">
        <v>45930</v>
      </c>
      <c r="BH303" s="1" t="s">
        <v>2353</v>
      </c>
      <c r="BI303" s="1" t="s">
        <v>273</v>
      </c>
      <c r="BQ303" s="14">
        <v>45915</v>
      </c>
      <c r="BR303" s="5">
        <v>45915</v>
      </c>
    </row>
    <row r="304" spans="1:70" ht="18" customHeight="1" x14ac:dyDescent="0.3">
      <c r="A304" s="2">
        <v>304</v>
      </c>
      <c r="B304" s="8" t="s">
        <v>2320</v>
      </c>
      <c r="C304" s="8" t="s">
        <v>2321</v>
      </c>
      <c r="D304" s="8" t="s">
        <v>2322</v>
      </c>
      <c r="E304" s="2" t="s">
        <v>840</v>
      </c>
      <c r="F304" s="8" t="s">
        <v>2323</v>
      </c>
      <c r="G304" s="8" t="s">
        <v>2324</v>
      </c>
      <c r="H304" s="8" t="s">
        <v>2325</v>
      </c>
      <c r="I304" s="83">
        <v>51519</v>
      </c>
      <c r="J304" s="2" t="s">
        <v>142</v>
      </c>
      <c r="K304" s="2" t="s">
        <v>126</v>
      </c>
      <c r="L304" s="2" t="s">
        <v>854</v>
      </c>
      <c r="M304" s="134">
        <v>45925</v>
      </c>
      <c r="N304" s="56" t="s">
        <v>2360</v>
      </c>
      <c r="Q304" s="67">
        <f t="shared" si="35"/>
        <v>4</v>
      </c>
      <c r="R304" s="29">
        <f t="shared" si="33"/>
        <v>4</v>
      </c>
      <c r="T304" s="1" t="s">
        <v>2355</v>
      </c>
      <c r="U304" s="7" t="s">
        <v>2326</v>
      </c>
      <c r="V304" s="1" t="s">
        <v>645</v>
      </c>
      <c r="W304" s="79" t="s">
        <v>426</v>
      </c>
      <c r="X304" s="2">
        <v>20255112602</v>
      </c>
      <c r="Y304" s="14">
        <v>45922</v>
      </c>
      <c r="Z304" s="14">
        <v>45927</v>
      </c>
      <c r="AA304" s="14">
        <v>45925</v>
      </c>
      <c r="AB304" s="14">
        <v>45925</v>
      </c>
      <c r="AC304" s="14">
        <v>45929</v>
      </c>
      <c r="AD304" s="2">
        <v>17615154075</v>
      </c>
      <c r="AE304" s="2" t="s">
        <v>2327</v>
      </c>
      <c r="AF304" s="2">
        <v>5</v>
      </c>
      <c r="AG304" s="2">
        <v>1184</v>
      </c>
      <c r="AH304" s="2"/>
      <c r="AI304" s="2" t="s">
        <v>180</v>
      </c>
      <c r="AJ304" s="2"/>
      <c r="AK304" s="14">
        <v>45924</v>
      </c>
      <c r="AL304" s="14">
        <v>45924</v>
      </c>
      <c r="AM304" s="14">
        <v>45924</v>
      </c>
      <c r="AN304" s="2"/>
      <c r="AO304" s="2">
        <v>4741455</v>
      </c>
      <c r="AP304" s="14">
        <v>45926</v>
      </c>
      <c r="AQ304" s="14">
        <v>45929</v>
      </c>
      <c r="AS304" s="14">
        <v>45929</v>
      </c>
      <c r="AT304" s="44">
        <v>51547</v>
      </c>
      <c r="AV304" s="14">
        <v>45927</v>
      </c>
      <c r="AW304" s="14">
        <v>45927</v>
      </c>
      <c r="AY304" s="2">
        <v>4820774</v>
      </c>
      <c r="AZ304" s="32">
        <v>45930</v>
      </c>
      <c r="BA304" s="1">
        <v>11294612</v>
      </c>
      <c r="BB304" s="2">
        <v>2033030</v>
      </c>
      <c r="BC304" s="5">
        <v>45930</v>
      </c>
      <c r="BD304" s="14">
        <v>45931</v>
      </c>
      <c r="BF304" s="14">
        <v>45931</v>
      </c>
      <c r="BG304" s="5">
        <v>45933</v>
      </c>
      <c r="BH304" s="1" t="s">
        <v>2359</v>
      </c>
      <c r="BI304" s="1" t="s">
        <v>282</v>
      </c>
      <c r="BQ304" s="14">
        <v>45927</v>
      </c>
      <c r="BR304" s="5">
        <v>45867</v>
      </c>
    </row>
    <row r="305" spans="1:70" ht="18" customHeight="1" x14ac:dyDescent="0.3">
      <c r="A305" s="2">
        <v>305</v>
      </c>
      <c r="B305" s="2">
        <v>7002608</v>
      </c>
      <c r="C305" s="111">
        <v>45916</v>
      </c>
      <c r="D305" s="2">
        <v>155775</v>
      </c>
      <c r="E305" s="2" t="s">
        <v>840</v>
      </c>
      <c r="F305" s="8" t="s">
        <v>642</v>
      </c>
      <c r="G305" s="8" t="s">
        <v>2329</v>
      </c>
      <c r="H305" s="8" t="s">
        <v>525</v>
      </c>
      <c r="I305" s="83">
        <v>51520</v>
      </c>
      <c r="J305" s="2" t="s">
        <v>142</v>
      </c>
      <c r="K305" s="2" t="s">
        <v>126</v>
      </c>
      <c r="L305" s="2" t="s">
        <v>854</v>
      </c>
      <c r="M305" s="134">
        <v>45925</v>
      </c>
      <c r="N305" s="56" t="s">
        <v>2362</v>
      </c>
      <c r="Q305" s="67">
        <f t="shared" si="35"/>
        <v>4</v>
      </c>
      <c r="R305" s="29">
        <f t="shared" si="33"/>
        <v>4</v>
      </c>
      <c r="T305" s="1" t="s">
        <v>2356</v>
      </c>
      <c r="U305" s="7" t="s">
        <v>2220</v>
      </c>
      <c r="V305" s="1" t="s">
        <v>645</v>
      </c>
      <c r="W305" s="79" t="s">
        <v>426</v>
      </c>
      <c r="X305" s="2">
        <v>20255112621</v>
      </c>
      <c r="Y305" s="14">
        <v>45922</v>
      </c>
      <c r="Z305" s="14">
        <v>45927</v>
      </c>
      <c r="AA305" s="14">
        <v>45925</v>
      </c>
      <c r="AB305" s="14">
        <v>45925</v>
      </c>
      <c r="AC305" s="14">
        <v>45929</v>
      </c>
      <c r="AD305" s="2">
        <v>17615154075</v>
      </c>
      <c r="AE305" s="2" t="s">
        <v>2328</v>
      </c>
      <c r="AF305" s="2">
        <v>5</v>
      </c>
      <c r="AG305" s="2">
        <v>1455</v>
      </c>
      <c r="AH305" s="2"/>
      <c r="AI305" s="2" t="s">
        <v>180</v>
      </c>
      <c r="AJ305" s="2"/>
      <c r="AK305" s="14">
        <v>45924</v>
      </c>
      <c r="AL305" s="14">
        <v>45924</v>
      </c>
      <c r="AM305" s="14">
        <v>45924</v>
      </c>
      <c r="AN305" s="2"/>
      <c r="AO305" s="2">
        <v>4741731</v>
      </c>
      <c r="AP305" s="14">
        <v>45926</v>
      </c>
      <c r="AQ305" s="14">
        <v>45929</v>
      </c>
      <c r="AS305" s="14">
        <v>45929</v>
      </c>
      <c r="AT305" s="44">
        <v>51545</v>
      </c>
      <c r="AV305" s="14">
        <v>45927</v>
      </c>
      <c r="AW305" s="14">
        <v>45927</v>
      </c>
      <c r="AY305" s="2">
        <v>4822018</v>
      </c>
      <c r="AZ305" s="32">
        <v>45930</v>
      </c>
      <c r="BA305" s="1" t="s">
        <v>2351</v>
      </c>
      <c r="BB305" s="88" t="s">
        <v>2352</v>
      </c>
      <c r="BC305" s="5">
        <v>45930</v>
      </c>
      <c r="BD305" s="14">
        <v>45931</v>
      </c>
      <c r="BF305" s="14">
        <v>45931</v>
      </c>
      <c r="BG305" s="5">
        <v>45933</v>
      </c>
      <c r="BH305" s="8" t="s">
        <v>2361</v>
      </c>
      <c r="BI305" s="1" t="s">
        <v>282</v>
      </c>
      <c r="BQ305" s="14">
        <v>45927</v>
      </c>
      <c r="BR305" s="5">
        <v>45867</v>
      </c>
    </row>
    <row r="306" spans="1:70" ht="18" customHeight="1" x14ac:dyDescent="0.3">
      <c r="A306" s="2">
        <v>306</v>
      </c>
      <c r="B306" s="2">
        <v>250909999</v>
      </c>
      <c r="C306" s="111">
        <v>45919</v>
      </c>
      <c r="D306" s="2">
        <v>821304.3</v>
      </c>
      <c r="E306" s="2" t="s">
        <v>677</v>
      </c>
      <c r="F306" s="2" t="s">
        <v>1346</v>
      </c>
      <c r="G306" s="2" t="s">
        <v>476</v>
      </c>
      <c r="H306" s="2">
        <v>30</v>
      </c>
      <c r="I306" s="83">
        <v>51512</v>
      </c>
      <c r="J306" s="2" t="s">
        <v>142</v>
      </c>
      <c r="K306" s="2" t="s">
        <v>126</v>
      </c>
      <c r="L306" s="2" t="s">
        <v>854</v>
      </c>
      <c r="M306" s="134">
        <v>45926</v>
      </c>
      <c r="N306" s="56" t="s">
        <v>2364</v>
      </c>
      <c r="Q306" s="67">
        <f t="shared" si="35"/>
        <v>3</v>
      </c>
      <c r="R306" s="29">
        <f t="shared" si="33"/>
        <v>4</v>
      </c>
      <c r="T306" s="1"/>
      <c r="U306" s="1" t="s">
        <v>835</v>
      </c>
      <c r="V306" s="2" t="s">
        <v>755</v>
      </c>
      <c r="W306" s="1" t="s">
        <v>827</v>
      </c>
      <c r="X306" s="2" t="s">
        <v>2319</v>
      </c>
      <c r="Y306" s="14">
        <v>45923</v>
      </c>
      <c r="Z306" s="14">
        <v>45927</v>
      </c>
      <c r="AA306" s="14">
        <v>45926</v>
      </c>
      <c r="AB306" s="14">
        <v>45926</v>
      </c>
      <c r="AC306" s="14">
        <v>45929</v>
      </c>
      <c r="AD306" s="2">
        <v>60750615655</v>
      </c>
      <c r="AE306" s="2">
        <v>4840733004</v>
      </c>
      <c r="AF306" s="2">
        <v>1</v>
      </c>
      <c r="AG306" s="2">
        <v>101</v>
      </c>
      <c r="AH306" s="2"/>
      <c r="AI306" s="2" t="s">
        <v>179</v>
      </c>
      <c r="AJ306" s="2"/>
      <c r="AK306" s="14">
        <v>45923</v>
      </c>
      <c r="AL306" s="14">
        <v>45923</v>
      </c>
      <c r="AM306" s="14">
        <v>45923</v>
      </c>
      <c r="AN306" s="2"/>
      <c r="AO306" s="2">
        <v>4742373</v>
      </c>
      <c r="AP306" s="14">
        <v>45926</v>
      </c>
      <c r="AQ306" s="14">
        <v>45929</v>
      </c>
      <c r="AS306" s="14">
        <v>45929</v>
      </c>
      <c r="AT306" s="44">
        <v>51546</v>
      </c>
      <c r="AV306" s="14">
        <v>45927</v>
      </c>
      <c r="AW306" s="14">
        <v>45867</v>
      </c>
      <c r="AY306" s="2">
        <v>4820771</v>
      </c>
      <c r="AZ306" s="32">
        <v>45930</v>
      </c>
      <c r="BA306" s="1">
        <v>72972887</v>
      </c>
      <c r="BB306" s="2">
        <v>13135120</v>
      </c>
      <c r="BC306" s="5">
        <v>45930</v>
      </c>
      <c r="BD306" s="14">
        <v>45930</v>
      </c>
      <c r="BF306" s="14">
        <v>45930</v>
      </c>
      <c r="BG306" s="136">
        <v>45933</v>
      </c>
      <c r="BH306" s="1" t="s">
        <v>2363</v>
      </c>
      <c r="BI306" s="1" t="s">
        <v>282</v>
      </c>
      <c r="BQ306" s="14">
        <v>45867</v>
      </c>
      <c r="BR306" s="5">
        <v>45867</v>
      </c>
    </row>
    <row r="307" spans="1:70" ht="18" customHeight="1" x14ac:dyDescent="0.3">
      <c r="A307" s="2">
        <v>307</v>
      </c>
      <c r="B307" s="8" t="s">
        <v>1750</v>
      </c>
      <c r="C307" s="8" t="s">
        <v>1751</v>
      </c>
      <c r="D307" s="8" t="s">
        <v>1752</v>
      </c>
      <c r="E307" s="2" t="s">
        <v>840</v>
      </c>
      <c r="F307" s="8" t="s">
        <v>1753</v>
      </c>
      <c r="G307" s="8" t="s">
        <v>1186</v>
      </c>
      <c r="H307" s="8" t="s">
        <v>1754</v>
      </c>
      <c r="I307" s="83">
        <v>50803</v>
      </c>
      <c r="J307" s="2" t="s">
        <v>142</v>
      </c>
      <c r="K307" s="2" t="s">
        <v>126</v>
      </c>
      <c r="L307" s="2" t="s">
        <v>854</v>
      </c>
      <c r="M307" s="78">
        <v>45858</v>
      </c>
      <c r="N307" s="56" t="s">
        <v>2398</v>
      </c>
      <c r="Q307" s="67">
        <f t="shared" ref="Q307:Q313" si="36">AQ307-AB307</f>
        <v>3</v>
      </c>
      <c r="R307" s="29">
        <f t="shared" si="33"/>
        <v>73</v>
      </c>
      <c r="T307" s="1"/>
      <c r="U307" s="8" t="s">
        <v>1755</v>
      </c>
      <c r="V307" s="2" t="s">
        <v>161</v>
      </c>
      <c r="W307" s="2" t="s">
        <v>454</v>
      </c>
      <c r="X307" s="2">
        <v>20255082563</v>
      </c>
      <c r="Y307" s="14">
        <v>45852</v>
      </c>
      <c r="Z307" s="14">
        <v>45856</v>
      </c>
      <c r="AA307" s="4">
        <v>45858</v>
      </c>
      <c r="AB307" s="4">
        <v>45858</v>
      </c>
      <c r="AC307" s="14">
        <v>45861</v>
      </c>
      <c r="AD307" s="2">
        <v>23210582913</v>
      </c>
      <c r="AE307" s="2" t="s">
        <v>1756</v>
      </c>
      <c r="AF307" s="2">
        <v>2</v>
      </c>
      <c r="AG307" s="2">
        <v>320</v>
      </c>
      <c r="AH307" s="2"/>
      <c r="AI307" s="2" t="s">
        <v>629</v>
      </c>
      <c r="AJ307" s="2"/>
      <c r="AK307" s="4">
        <v>45854</v>
      </c>
      <c r="AL307" s="14">
        <v>45854</v>
      </c>
      <c r="AM307" s="4">
        <v>45854</v>
      </c>
      <c r="AN307" s="2"/>
      <c r="AO307" s="2">
        <v>3402070</v>
      </c>
      <c r="AP307" s="14">
        <v>45859</v>
      </c>
      <c r="AQ307" s="14">
        <v>45861</v>
      </c>
      <c r="AR307" s="15" t="s">
        <v>1937</v>
      </c>
      <c r="AS307" s="14">
        <v>45864</v>
      </c>
      <c r="AT307" s="44">
        <v>50947</v>
      </c>
      <c r="AV307" s="14">
        <v>45864</v>
      </c>
      <c r="AW307" s="14">
        <v>45866</v>
      </c>
      <c r="AY307" s="2">
        <v>4795055</v>
      </c>
      <c r="AZ307" s="32">
        <v>45929</v>
      </c>
      <c r="BA307" s="1">
        <v>8065270</v>
      </c>
      <c r="BB307" s="2">
        <v>1451749</v>
      </c>
      <c r="BC307" s="5">
        <v>45929</v>
      </c>
      <c r="BD307" s="14">
        <v>45929</v>
      </c>
      <c r="BF307" s="14">
        <v>45930</v>
      </c>
      <c r="BG307" s="5">
        <v>45934</v>
      </c>
      <c r="BH307" s="1" t="s">
        <v>2397</v>
      </c>
      <c r="BI307" s="1" t="s">
        <v>273</v>
      </c>
      <c r="BQ307" s="14">
        <v>45866</v>
      </c>
      <c r="BR307" s="5">
        <v>45869</v>
      </c>
    </row>
    <row r="308" spans="1:70" ht="18" customHeight="1" x14ac:dyDescent="0.3">
      <c r="A308" s="2">
        <v>308</v>
      </c>
      <c r="B308" s="8" t="s">
        <v>2174</v>
      </c>
      <c r="C308" s="8" t="s">
        <v>2175</v>
      </c>
      <c r="D308" s="8" t="s">
        <v>2176</v>
      </c>
      <c r="E308" s="2" t="s">
        <v>678</v>
      </c>
      <c r="F308" s="8" t="s">
        <v>2177</v>
      </c>
      <c r="G308" s="8" t="s">
        <v>2178</v>
      </c>
      <c r="H308" s="8" t="s">
        <v>2179</v>
      </c>
      <c r="I308" s="83">
        <v>51371</v>
      </c>
      <c r="J308" s="2" t="s">
        <v>1631</v>
      </c>
      <c r="K308" s="2" t="s">
        <v>126</v>
      </c>
      <c r="L308" s="2" t="s">
        <v>1632</v>
      </c>
      <c r="M308" s="78">
        <v>45916</v>
      </c>
      <c r="N308" s="56" t="s">
        <v>2401</v>
      </c>
      <c r="Q308" s="67">
        <f t="shared" si="36"/>
        <v>2</v>
      </c>
      <c r="R308" s="29">
        <f t="shared" si="33"/>
        <v>16</v>
      </c>
      <c r="T308" s="1"/>
      <c r="U308" s="8" t="s">
        <v>2180</v>
      </c>
      <c r="V308" s="2" t="s">
        <v>161</v>
      </c>
      <c r="W308" s="2" t="s">
        <v>454</v>
      </c>
      <c r="X308" s="2">
        <v>20255107090</v>
      </c>
      <c r="Y308" s="14">
        <v>45909</v>
      </c>
      <c r="Z308" s="14">
        <v>45912</v>
      </c>
      <c r="AA308" s="14">
        <v>45903</v>
      </c>
      <c r="AB308" s="14">
        <v>45916</v>
      </c>
      <c r="AC308" s="14">
        <v>45918</v>
      </c>
      <c r="AD308" s="2">
        <v>76030156966</v>
      </c>
      <c r="AE308" s="2"/>
      <c r="AF308" s="2">
        <v>7</v>
      </c>
      <c r="AG308" s="2">
        <v>10.79</v>
      </c>
      <c r="AH308" s="2"/>
      <c r="AI308" s="2" t="s">
        <v>629</v>
      </c>
      <c r="AJ308" s="2"/>
      <c r="AK308" s="14">
        <v>45910</v>
      </c>
      <c r="AL308" s="14">
        <v>45910</v>
      </c>
      <c r="AM308" s="14">
        <v>45911</v>
      </c>
      <c r="AN308" s="2"/>
      <c r="AO308" s="2">
        <v>4537797</v>
      </c>
      <c r="AP308" s="14">
        <v>45916</v>
      </c>
      <c r="AQ308" s="14">
        <v>45918</v>
      </c>
      <c r="AR308" s="15" t="s">
        <v>2317</v>
      </c>
      <c r="AS308" s="14">
        <v>45919</v>
      </c>
      <c r="AT308" s="44">
        <v>51473</v>
      </c>
      <c r="AV308" s="14">
        <v>45919</v>
      </c>
      <c r="AW308" s="14">
        <v>45923</v>
      </c>
      <c r="AY308" s="2">
        <v>4797431</v>
      </c>
      <c r="AZ308" s="32">
        <v>45929</v>
      </c>
      <c r="BA308" s="1">
        <v>18607856</v>
      </c>
      <c r="BB308" s="2">
        <v>3349414</v>
      </c>
      <c r="BC308" s="5">
        <v>45929</v>
      </c>
      <c r="BD308" s="14">
        <v>45929</v>
      </c>
      <c r="BF308" s="14">
        <v>45930</v>
      </c>
      <c r="BG308" s="5">
        <v>45934</v>
      </c>
      <c r="BH308" s="1" t="s">
        <v>2400</v>
      </c>
      <c r="BI308" s="1" t="s">
        <v>282</v>
      </c>
      <c r="BQ308" s="14">
        <v>45923</v>
      </c>
      <c r="BR308" s="5">
        <v>45924</v>
      </c>
    </row>
    <row r="309" spans="1:70" ht="18" customHeight="1" x14ac:dyDescent="0.3">
      <c r="A309" s="2">
        <v>309</v>
      </c>
      <c r="B309" s="8" t="s">
        <v>2236</v>
      </c>
      <c r="C309" s="8" t="s">
        <v>2237</v>
      </c>
      <c r="D309" s="8" t="s">
        <v>2238</v>
      </c>
      <c r="E309" s="2" t="s">
        <v>840</v>
      </c>
      <c r="F309" s="135" t="s">
        <v>1432</v>
      </c>
      <c r="G309" s="8" t="s">
        <v>2239</v>
      </c>
      <c r="H309" s="8" t="s">
        <v>2240</v>
      </c>
      <c r="I309" s="83">
        <v>51440</v>
      </c>
      <c r="J309" s="2" t="s">
        <v>1631</v>
      </c>
      <c r="K309" s="2" t="s">
        <v>126</v>
      </c>
      <c r="L309" s="2" t="s">
        <v>1632</v>
      </c>
      <c r="M309" s="134">
        <v>45918</v>
      </c>
      <c r="N309" s="56" t="s">
        <v>2399</v>
      </c>
      <c r="Q309" s="67">
        <f t="shared" si="36"/>
        <v>4</v>
      </c>
      <c r="R309" s="29">
        <f t="shared" si="33"/>
        <v>12</v>
      </c>
      <c r="T309" s="1"/>
      <c r="U309" s="8" t="s">
        <v>2241</v>
      </c>
      <c r="V309" s="2" t="s">
        <v>161</v>
      </c>
      <c r="W309" s="2" t="s">
        <v>454</v>
      </c>
      <c r="X309" s="2">
        <v>20255108212</v>
      </c>
      <c r="Y309" s="14">
        <v>45911</v>
      </c>
      <c r="Z309" s="14">
        <v>45917</v>
      </c>
      <c r="AA309" s="14">
        <v>45901</v>
      </c>
      <c r="AB309" s="14">
        <v>45918</v>
      </c>
      <c r="AC309" s="14">
        <v>45922</v>
      </c>
      <c r="AD309" s="2" t="s">
        <v>2242</v>
      </c>
      <c r="AE309" s="2"/>
      <c r="AF309" s="2">
        <v>6</v>
      </c>
      <c r="AG309" s="2">
        <v>9.42</v>
      </c>
      <c r="AH309" s="2"/>
      <c r="AI309" s="2" t="s">
        <v>180</v>
      </c>
      <c r="AJ309" s="2"/>
      <c r="AK309" s="14">
        <v>45915</v>
      </c>
      <c r="AL309" s="14">
        <v>45916</v>
      </c>
      <c r="AM309" s="14">
        <v>45917</v>
      </c>
      <c r="AN309" s="2"/>
      <c r="AO309" s="2">
        <v>4584799</v>
      </c>
      <c r="AP309" s="14">
        <v>45918</v>
      </c>
      <c r="AQ309" s="14">
        <v>45922</v>
      </c>
      <c r="AR309" s="15" t="s">
        <v>2311</v>
      </c>
      <c r="AS309" s="14">
        <v>45922</v>
      </c>
      <c r="AT309" s="44">
        <v>51488</v>
      </c>
      <c r="AV309" s="14">
        <v>45920</v>
      </c>
      <c r="AW309" s="14">
        <v>45922</v>
      </c>
      <c r="AY309" s="2">
        <v>4797049</v>
      </c>
      <c r="AZ309" s="32">
        <v>45929</v>
      </c>
      <c r="BA309" s="1">
        <v>16540316</v>
      </c>
      <c r="BB309" s="2">
        <v>2977257</v>
      </c>
      <c r="BC309" s="5">
        <v>45929</v>
      </c>
      <c r="BD309" s="14">
        <v>45929</v>
      </c>
      <c r="BF309" s="14">
        <v>45930</v>
      </c>
      <c r="BG309" s="5">
        <v>45934</v>
      </c>
      <c r="BH309" s="1" t="s">
        <v>2397</v>
      </c>
      <c r="BI309" s="1" t="s">
        <v>273</v>
      </c>
      <c r="BQ309" s="14">
        <v>45922</v>
      </c>
      <c r="BR309" s="5">
        <v>45923</v>
      </c>
    </row>
    <row r="310" spans="1:70" ht="18" customHeight="1" x14ac:dyDescent="0.3">
      <c r="A310" s="2">
        <v>310</v>
      </c>
      <c r="B310" s="2">
        <v>250912477</v>
      </c>
      <c r="C310" s="111">
        <v>45923</v>
      </c>
      <c r="D310" s="2">
        <v>1735400.64</v>
      </c>
      <c r="E310" s="2" t="s">
        <v>677</v>
      </c>
      <c r="F310" s="2" t="s">
        <v>1816</v>
      </c>
      <c r="G310" s="2" t="s">
        <v>1815</v>
      </c>
      <c r="H310" s="2">
        <v>37</v>
      </c>
      <c r="I310" s="83">
        <v>51557</v>
      </c>
      <c r="J310" s="2" t="s">
        <v>142</v>
      </c>
      <c r="K310" s="2" t="s">
        <v>126</v>
      </c>
      <c r="L310" s="2" t="s">
        <v>854</v>
      </c>
      <c r="M310" s="134">
        <v>45930</v>
      </c>
      <c r="N310" s="56" t="s">
        <v>2424</v>
      </c>
      <c r="Q310" s="67">
        <f t="shared" si="36"/>
        <v>5</v>
      </c>
      <c r="R310" s="29">
        <f t="shared" si="33"/>
        <v>5</v>
      </c>
      <c r="T310" s="1"/>
      <c r="U310" s="1" t="s">
        <v>1199</v>
      </c>
      <c r="V310" s="2" t="s">
        <v>755</v>
      </c>
      <c r="W310" s="1" t="s">
        <v>827</v>
      </c>
      <c r="X310" s="2" t="s">
        <v>2349</v>
      </c>
      <c r="Y310" s="14">
        <v>45924</v>
      </c>
      <c r="Z310" s="14">
        <v>45927</v>
      </c>
      <c r="AA310" s="14">
        <v>45929</v>
      </c>
      <c r="AB310" s="14">
        <v>45929</v>
      </c>
      <c r="AC310" s="14">
        <v>45934</v>
      </c>
      <c r="AD310" s="2">
        <v>60750615762</v>
      </c>
      <c r="AE310" s="2">
        <v>4840733435</v>
      </c>
      <c r="AF310" s="2">
        <v>1</v>
      </c>
      <c r="AG310" s="2">
        <v>177.5</v>
      </c>
      <c r="AH310" s="2"/>
      <c r="AI310" s="2" t="s">
        <v>179</v>
      </c>
      <c r="AJ310" s="2"/>
      <c r="AK310" s="14">
        <v>45929</v>
      </c>
      <c r="AL310" s="14">
        <v>45929</v>
      </c>
      <c r="AM310" s="14">
        <v>45929</v>
      </c>
      <c r="AN310" s="2"/>
      <c r="AO310" s="2">
        <v>4825673</v>
      </c>
      <c r="AP310" s="14">
        <v>45930</v>
      </c>
      <c r="AQ310" s="14">
        <v>45934</v>
      </c>
      <c r="AS310" s="14">
        <v>45934</v>
      </c>
      <c r="AT310" s="44">
        <v>51591</v>
      </c>
      <c r="AV310" s="14">
        <v>45931</v>
      </c>
      <c r="AW310" s="14">
        <v>45931</v>
      </c>
      <c r="AY310" s="2">
        <v>4923917</v>
      </c>
      <c r="AZ310" s="32">
        <v>45936</v>
      </c>
      <c r="BA310" s="1">
        <v>155665437</v>
      </c>
      <c r="BB310" s="2">
        <v>28019779</v>
      </c>
      <c r="BC310" s="5">
        <v>45936</v>
      </c>
      <c r="BD310" s="5">
        <v>45936</v>
      </c>
      <c r="BF310" s="14">
        <v>45938</v>
      </c>
      <c r="BG310" s="5">
        <v>45939</v>
      </c>
      <c r="BH310" s="88" t="s">
        <v>2423</v>
      </c>
      <c r="BI310" s="1" t="s">
        <v>273</v>
      </c>
      <c r="BQ310" s="14">
        <v>45931</v>
      </c>
      <c r="BR310" s="5">
        <v>45931</v>
      </c>
    </row>
    <row r="311" spans="1:70" ht="18" customHeight="1" x14ac:dyDescent="0.3">
      <c r="A311" s="2">
        <v>311</v>
      </c>
      <c r="B311" s="2">
        <v>250913177</v>
      </c>
      <c r="C311" s="111">
        <v>45925</v>
      </c>
      <c r="D311" s="2">
        <v>602289.81999999995</v>
      </c>
      <c r="E311" s="2" t="s">
        <v>677</v>
      </c>
      <c r="F311" s="2" t="s">
        <v>1346</v>
      </c>
      <c r="G311" s="2" t="s">
        <v>476</v>
      </c>
      <c r="H311" s="2">
        <v>22</v>
      </c>
      <c r="I311" s="83">
        <v>51558</v>
      </c>
      <c r="J311" s="2" t="s">
        <v>142</v>
      </c>
      <c r="K311" s="2" t="s">
        <v>126</v>
      </c>
      <c r="L311" s="2" t="s">
        <v>854</v>
      </c>
      <c r="M311" s="134">
        <v>45930</v>
      </c>
      <c r="N311" s="56" t="s">
        <v>2425</v>
      </c>
      <c r="Q311" s="67">
        <f t="shared" si="36"/>
        <v>5</v>
      </c>
      <c r="R311" s="29">
        <f t="shared" si="33"/>
        <v>5</v>
      </c>
      <c r="T311" s="1"/>
      <c r="U311" s="1" t="s">
        <v>835</v>
      </c>
      <c r="V311" s="2" t="s">
        <v>755</v>
      </c>
      <c r="W311" s="1" t="s">
        <v>827</v>
      </c>
      <c r="X311" s="2" t="s">
        <v>2350</v>
      </c>
      <c r="Y311" s="14">
        <v>45926</v>
      </c>
      <c r="Z311" s="14">
        <v>45931</v>
      </c>
      <c r="AA311" s="14">
        <v>45929</v>
      </c>
      <c r="AB311" s="14">
        <v>45929</v>
      </c>
      <c r="AC311" s="14">
        <v>45934</v>
      </c>
      <c r="AD311" s="2">
        <v>60750615762</v>
      </c>
      <c r="AE311" s="2">
        <v>4840733870</v>
      </c>
      <c r="AF311" s="2">
        <v>1</v>
      </c>
      <c r="AG311" s="2">
        <v>141.5</v>
      </c>
      <c r="AH311" s="2"/>
      <c r="AI311" s="2" t="s">
        <v>179</v>
      </c>
      <c r="AJ311" s="2"/>
      <c r="AK311" s="14">
        <v>45929</v>
      </c>
      <c r="AL311" s="14">
        <v>45929</v>
      </c>
      <c r="AM311" s="14">
        <v>45929</v>
      </c>
      <c r="AN311" s="2"/>
      <c r="AO311" s="2">
        <v>4825671</v>
      </c>
      <c r="AP311" s="14">
        <v>45930</v>
      </c>
      <c r="AQ311" s="14">
        <v>45934</v>
      </c>
      <c r="AS311" s="14">
        <v>45934</v>
      </c>
      <c r="AT311" s="44">
        <v>51592</v>
      </c>
      <c r="AV311" s="14">
        <v>45931</v>
      </c>
      <c r="AW311" s="14">
        <v>45931</v>
      </c>
      <c r="AY311" s="2">
        <v>4923919</v>
      </c>
      <c r="AZ311" s="32">
        <v>45936</v>
      </c>
      <c r="BA311" s="1">
        <v>54025397</v>
      </c>
      <c r="BB311" s="2">
        <v>9724571</v>
      </c>
      <c r="BC311" s="5">
        <v>45936</v>
      </c>
      <c r="BD311" s="5">
        <v>45936</v>
      </c>
      <c r="BF311" s="14">
        <v>45938</v>
      </c>
      <c r="BG311" s="5">
        <v>45939</v>
      </c>
      <c r="BH311" s="1" t="s">
        <v>2423</v>
      </c>
      <c r="BI311" s="1" t="s">
        <v>273</v>
      </c>
      <c r="BQ311" s="14">
        <v>45931</v>
      </c>
      <c r="BR311" s="5">
        <v>45931</v>
      </c>
    </row>
    <row r="312" spans="1:70" ht="18" customHeight="1" x14ac:dyDescent="0.3">
      <c r="A312" s="2">
        <v>312</v>
      </c>
      <c r="B312" s="2">
        <v>250913973</v>
      </c>
      <c r="C312" s="111">
        <v>45926</v>
      </c>
      <c r="D312" s="2">
        <v>389662.2</v>
      </c>
      <c r="E312" s="2" t="s">
        <v>677</v>
      </c>
      <c r="F312" s="2" t="s">
        <v>1794</v>
      </c>
      <c r="G312" s="2" t="s">
        <v>946</v>
      </c>
      <c r="H312" s="2">
        <v>12</v>
      </c>
      <c r="I312" s="83">
        <v>51583</v>
      </c>
      <c r="J312" s="2" t="s">
        <v>142</v>
      </c>
      <c r="K312" s="2" t="s">
        <v>126</v>
      </c>
      <c r="L312" s="2" t="s">
        <v>854</v>
      </c>
      <c r="M312" s="134">
        <v>45932</v>
      </c>
      <c r="N312" s="56" t="s">
        <v>2426</v>
      </c>
      <c r="O312" s="1">
        <v>3491.62</v>
      </c>
      <c r="Q312" s="67">
        <f t="shared" si="36"/>
        <v>4</v>
      </c>
      <c r="R312" s="29">
        <f t="shared" si="33"/>
        <v>3</v>
      </c>
      <c r="T312" s="1"/>
      <c r="U312" s="8" t="s">
        <v>1869</v>
      </c>
      <c r="V312" s="2" t="s">
        <v>1179</v>
      </c>
      <c r="W312" s="64" t="s">
        <v>948</v>
      </c>
      <c r="X312" s="2" t="s">
        <v>2357</v>
      </c>
      <c r="Y312" s="14">
        <v>45930</v>
      </c>
      <c r="Z312" s="14">
        <v>45934</v>
      </c>
      <c r="AA312" s="14">
        <v>45932</v>
      </c>
      <c r="AB312" s="14">
        <v>45932</v>
      </c>
      <c r="AC312" s="14">
        <v>45936</v>
      </c>
      <c r="AD312" s="2">
        <v>60750615972</v>
      </c>
      <c r="AE312" s="2">
        <v>4840734265</v>
      </c>
      <c r="AF312" s="2">
        <v>1</v>
      </c>
      <c r="AG312" s="2">
        <v>95</v>
      </c>
      <c r="AH312" s="2"/>
      <c r="AI312" s="2" t="s">
        <v>179</v>
      </c>
      <c r="AJ312" s="2"/>
      <c r="AK312" s="14">
        <v>45930</v>
      </c>
      <c r="AL312" s="14">
        <v>45930</v>
      </c>
      <c r="AM312" s="14">
        <v>45931</v>
      </c>
      <c r="AN312" s="2"/>
      <c r="AO312" s="2">
        <v>4868583</v>
      </c>
      <c r="AP312" s="14">
        <v>45933</v>
      </c>
      <c r="AQ312" s="14">
        <v>45936</v>
      </c>
      <c r="AS312" s="14">
        <v>45936</v>
      </c>
      <c r="AT312" s="44">
        <v>51635</v>
      </c>
      <c r="AU312" s="32"/>
      <c r="AV312" s="14">
        <v>45934</v>
      </c>
      <c r="AW312" s="14">
        <v>45936</v>
      </c>
      <c r="AY312" s="2">
        <v>4946592</v>
      </c>
      <c r="AZ312" s="32">
        <v>45937</v>
      </c>
      <c r="BA312" s="1">
        <v>34952699</v>
      </c>
      <c r="BB312" s="2">
        <v>6291486</v>
      </c>
      <c r="BC312" s="5">
        <v>45937</v>
      </c>
      <c r="BD312" s="5">
        <v>45937</v>
      </c>
      <c r="BF312" s="14">
        <v>45938</v>
      </c>
      <c r="BG312" s="5">
        <v>45939</v>
      </c>
      <c r="BH312" s="88" t="s">
        <v>2423</v>
      </c>
      <c r="BI312" s="1" t="s">
        <v>273</v>
      </c>
      <c r="BQ312" s="14">
        <v>45936</v>
      </c>
      <c r="BR312" s="5">
        <v>45936</v>
      </c>
    </row>
    <row r="313" spans="1:70" ht="18" customHeight="1" x14ac:dyDescent="0.3">
      <c r="A313" s="2">
        <v>313</v>
      </c>
      <c r="B313" s="2">
        <v>250913971</v>
      </c>
      <c r="C313" s="111">
        <v>45926</v>
      </c>
      <c r="D313" s="2">
        <v>917104.5</v>
      </c>
      <c r="E313" s="2" t="s">
        <v>677</v>
      </c>
      <c r="F313" s="2" t="s">
        <v>1832</v>
      </c>
      <c r="G313" s="2" t="s">
        <v>1833</v>
      </c>
      <c r="H313" s="2">
        <v>18</v>
      </c>
      <c r="I313" s="83">
        <v>51585</v>
      </c>
      <c r="J313" s="2" t="s">
        <v>142</v>
      </c>
      <c r="K313" s="2" t="s">
        <v>126</v>
      </c>
      <c r="L313" s="2" t="s">
        <v>854</v>
      </c>
      <c r="M313" s="134">
        <v>45932</v>
      </c>
      <c r="N313" s="56" t="s">
        <v>2427</v>
      </c>
      <c r="O313" s="1">
        <v>3491.62</v>
      </c>
      <c r="Q313" s="67">
        <f t="shared" si="36"/>
        <v>4</v>
      </c>
      <c r="R313" s="29">
        <f t="shared" si="33"/>
        <v>3</v>
      </c>
      <c r="T313" s="1"/>
      <c r="U313" s="1" t="s">
        <v>1199</v>
      </c>
      <c r="V313" s="2" t="s">
        <v>755</v>
      </c>
      <c r="W313" s="1" t="s">
        <v>827</v>
      </c>
      <c r="X313" s="2" t="s">
        <v>2358</v>
      </c>
      <c r="Y313" s="14">
        <v>45930</v>
      </c>
      <c r="Z313" s="14">
        <v>45934</v>
      </c>
      <c r="AA313" s="14">
        <v>45932</v>
      </c>
      <c r="AB313" s="14">
        <v>45932</v>
      </c>
      <c r="AC313" s="14">
        <v>45936</v>
      </c>
      <c r="AD313" s="2">
        <v>60750615972</v>
      </c>
      <c r="AE313" s="2">
        <v>4840734264</v>
      </c>
      <c r="AF313" s="2">
        <v>1</v>
      </c>
      <c r="AG313" s="2">
        <v>85</v>
      </c>
      <c r="AH313" s="2"/>
      <c r="AI313" s="2" t="s">
        <v>179</v>
      </c>
      <c r="AJ313" s="2"/>
      <c r="AK313" s="14">
        <v>45930</v>
      </c>
      <c r="AL313" s="14">
        <v>45930</v>
      </c>
      <c r="AM313" s="14">
        <v>45931</v>
      </c>
      <c r="AN313" s="2"/>
      <c r="AO313" s="2">
        <v>4869007</v>
      </c>
      <c r="AP313" s="14">
        <v>45933</v>
      </c>
      <c r="AQ313" s="14">
        <v>45936</v>
      </c>
      <c r="AS313" s="14">
        <v>45936</v>
      </c>
      <c r="AT313" s="44">
        <v>51637</v>
      </c>
      <c r="AV313" s="14">
        <v>45934</v>
      </c>
      <c r="AW313" s="14">
        <v>45936</v>
      </c>
      <c r="AY313" s="2">
        <v>4946589</v>
      </c>
      <c r="AZ313" s="32">
        <v>45937</v>
      </c>
      <c r="BA313" s="1">
        <v>82264274</v>
      </c>
      <c r="BB313" s="2">
        <v>14807569</v>
      </c>
      <c r="BC313" s="5">
        <v>45937</v>
      </c>
      <c r="BD313" s="5">
        <v>45937</v>
      </c>
      <c r="BF313" s="14">
        <v>45938</v>
      </c>
      <c r="BG313" s="5">
        <v>45939</v>
      </c>
      <c r="BH313" s="1" t="s">
        <v>2423</v>
      </c>
      <c r="BI313" s="1" t="s">
        <v>273</v>
      </c>
      <c r="BQ313" s="14">
        <v>45936</v>
      </c>
      <c r="BR313" s="14">
        <v>45936</v>
      </c>
    </row>
    <row r="314" spans="1:70" ht="18" customHeight="1" x14ac:dyDescent="0.3">
      <c r="A314" s="2">
        <v>314</v>
      </c>
      <c r="B314" s="8" t="s">
        <v>2296</v>
      </c>
      <c r="C314" s="8" t="s">
        <v>2297</v>
      </c>
      <c r="D314" s="8" t="s">
        <v>2298</v>
      </c>
      <c r="E314" s="2" t="s">
        <v>840</v>
      </c>
      <c r="F314" s="8" t="s">
        <v>2299</v>
      </c>
      <c r="G314" s="8" t="s">
        <v>2300</v>
      </c>
      <c r="H314" s="8" t="s">
        <v>2301</v>
      </c>
      <c r="I314" s="83">
        <v>51500</v>
      </c>
      <c r="J314" s="2" t="s">
        <v>1631</v>
      </c>
      <c r="K314" s="2" t="s">
        <v>126</v>
      </c>
      <c r="L314" s="2" t="s">
        <v>1632</v>
      </c>
      <c r="M314" s="134">
        <v>45929</v>
      </c>
      <c r="N314" s="56" t="s">
        <v>2429</v>
      </c>
      <c r="Q314" s="67">
        <f t="shared" ref="Q314:Q325" si="37">AQ314-AB314</f>
        <v>5</v>
      </c>
      <c r="R314" s="29">
        <f t="shared" si="33"/>
        <v>6</v>
      </c>
      <c r="T314" s="1" t="s">
        <v>2421</v>
      </c>
      <c r="U314" s="8" t="s">
        <v>2302</v>
      </c>
      <c r="V314" s="1" t="s">
        <v>645</v>
      </c>
      <c r="W314" s="79" t="s">
        <v>426</v>
      </c>
      <c r="X314" s="2">
        <v>20255111011</v>
      </c>
      <c r="Y314" s="14">
        <v>45918</v>
      </c>
      <c r="Z314" s="14">
        <v>45924</v>
      </c>
      <c r="AA314" s="14">
        <v>45910</v>
      </c>
      <c r="AB314" s="14">
        <v>45929</v>
      </c>
      <c r="AC314" s="14">
        <v>45934</v>
      </c>
      <c r="AD314" s="2" t="s">
        <v>2303</v>
      </c>
      <c r="AE314" s="2"/>
      <c r="AF314" s="2">
        <v>9</v>
      </c>
      <c r="AG314" s="2">
        <v>14.96</v>
      </c>
      <c r="AH314" s="2"/>
      <c r="AI314" s="2" t="s">
        <v>180</v>
      </c>
      <c r="AJ314" s="2"/>
      <c r="AK314" s="14">
        <v>45921</v>
      </c>
      <c r="AL314" s="14">
        <v>45922</v>
      </c>
      <c r="AM314" s="14">
        <v>45923</v>
      </c>
      <c r="AN314" s="2"/>
      <c r="AO314" s="2">
        <v>4802826</v>
      </c>
      <c r="AP314" s="14">
        <v>45929</v>
      </c>
      <c r="AQ314" s="14">
        <v>45934</v>
      </c>
      <c r="AR314" s="15" t="s">
        <v>2416</v>
      </c>
      <c r="AS314" s="14">
        <v>45934</v>
      </c>
      <c r="AT314" s="44">
        <v>51567</v>
      </c>
      <c r="AV314" s="14">
        <v>45930</v>
      </c>
      <c r="AW314" s="14">
        <v>45931</v>
      </c>
      <c r="AY314" s="2">
        <v>4968519</v>
      </c>
      <c r="AZ314" s="32">
        <v>45938</v>
      </c>
      <c r="BA314" s="1">
        <v>24409613</v>
      </c>
      <c r="BB314" s="2">
        <v>4393730</v>
      </c>
      <c r="BC314" s="5">
        <v>45938</v>
      </c>
      <c r="BD314" s="14">
        <v>45939</v>
      </c>
      <c r="BF314" s="14">
        <v>45939</v>
      </c>
      <c r="BG314" s="5">
        <v>45940</v>
      </c>
      <c r="BH314" s="1" t="s">
        <v>2428</v>
      </c>
      <c r="BI314" s="1" t="s">
        <v>273</v>
      </c>
      <c r="BQ314" s="14">
        <v>45931</v>
      </c>
      <c r="BR314" s="5">
        <v>45937</v>
      </c>
    </row>
    <row r="315" spans="1:70" ht="18" customHeight="1" x14ac:dyDescent="0.3">
      <c r="A315" s="2">
        <v>315</v>
      </c>
      <c r="B315" s="2">
        <v>6941456</v>
      </c>
      <c r="C315" s="111">
        <v>45830</v>
      </c>
      <c r="D315" s="2">
        <v>93080</v>
      </c>
      <c r="E315" s="2" t="s">
        <v>840</v>
      </c>
      <c r="F315" s="8" t="s">
        <v>760</v>
      </c>
      <c r="G315" s="8" t="s">
        <v>2000</v>
      </c>
      <c r="H315" s="8" t="s">
        <v>141</v>
      </c>
      <c r="I315" s="83">
        <v>51501</v>
      </c>
      <c r="J315" s="2" t="s">
        <v>1631</v>
      </c>
      <c r="K315" s="2" t="s">
        <v>126</v>
      </c>
      <c r="L315" s="2" t="s">
        <v>1632</v>
      </c>
      <c r="M315" s="134">
        <v>45929</v>
      </c>
      <c r="N315" s="56" t="s">
        <v>2430</v>
      </c>
      <c r="Q315" s="67">
        <f t="shared" si="37"/>
        <v>5</v>
      </c>
      <c r="R315" s="29">
        <f t="shared" si="33"/>
        <v>6</v>
      </c>
      <c r="T315" s="1" t="s">
        <v>2422</v>
      </c>
      <c r="U315" s="2" t="s">
        <v>2304</v>
      </c>
      <c r="V315" s="1" t="s">
        <v>645</v>
      </c>
      <c r="W315" s="79" t="s">
        <v>426</v>
      </c>
      <c r="X315" s="2">
        <v>20255111003</v>
      </c>
      <c r="Y315" s="14">
        <v>45918</v>
      </c>
      <c r="Z315" s="14">
        <v>45924</v>
      </c>
      <c r="AA315" s="14">
        <v>45910</v>
      </c>
      <c r="AB315" s="14">
        <v>45929</v>
      </c>
      <c r="AC315" s="14">
        <v>45934</v>
      </c>
      <c r="AD315" s="2" t="s">
        <v>2338</v>
      </c>
      <c r="AE315" s="2"/>
      <c r="AF315" s="2">
        <v>4</v>
      </c>
      <c r="AG315" s="2">
        <v>4.93</v>
      </c>
      <c r="AH315" s="2"/>
      <c r="AI315" s="2" t="s">
        <v>180</v>
      </c>
      <c r="AJ315" s="2"/>
      <c r="AK315" s="14">
        <v>45921</v>
      </c>
      <c r="AL315" s="14">
        <v>45922</v>
      </c>
      <c r="AM315" s="14">
        <v>45923</v>
      </c>
      <c r="AN315" s="2"/>
      <c r="AO315" s="2">
        <v>4802824</v>
      </c>
      <c r="AP315" s="14">
        <v>45929</v>
      </c>
      <c r="AQ315" s="14">
        <v>45934</v>
      </c>
      <c r="AR315" s="15" t="s">
        <v>2415</v>
      </c>
      <c r="AS315" s="14">
        <v>45934</v>
      </c>
      <c r="AT315" s="44">
        <v>51571</v>
      </c>
      <c r="AV315" s="14">
        <v>45930</v>
      </c>
      <c r="AW315" s="14">
        <v>45931</v>
      </c>
      <c r="AY315" s="2">
        <v>4968299</v>
      </c>
      <c r="AZ315" s="32">
        <v>45938</v>
      </c>
      <c r="BA315" s="1">
        <v>8349276</v>
      </c>
      <c r="BB315" s="2">
        <v>1502870</v>
      </c>
      <c r="BC315" s="5">
        <v>45938</v>
      </c>
      <c r="BD315" s="14">
        <v>45939</v>
      </c>
      <c r="BF315" s="14">
        <v>45939</v>
      </c>
      <c r="BG315" s="5">
        <v>45940</v>
      </c>
      <c r="BH315" s="1" t="s">
        <v>2428</v>
      </c>
      <c r="BI315" s="1" t="s">
        <v>273</v>
      </c>
      <c r="BQ315" s="14">
        <v>45931</v>
      </c>
      <c r="BR315" s="5">
        <v>45937</v>
      </c>
    </row>
    <row r="316" spans="1:70" ht="18" customHeight="1" x14ac:dyDescent="0.3">
      <c r="A316" s="2">
        <v>316</v>
      </c>
      <c r="B316" s="2">
        <v>6996262</v>
      </c>
      <c r="C316" s="111">
        <v>45904</v>
      </c>
      <c r="D316" s="2">
        <v>174525</v>
      </c>
      <c r="E316" s="2" t="s">
        <v>840</v>
      </c>
      <c r="F316" s="31" t="s">
        <v>2292</v>
      </c>
      <c r="G316" s="7" t="s">
        <v>2291</v>
      </c>
      <c r="H316" s="8" t="s">
        <v>525</v>
      </c>
      <c r="I316" s="83">
        <v>51497</v>
      </c>
      <c r="J316" s="2" t="s">
        <v>1631</v>
      </c>
      <c r="K316" s="2" t="s">
        <v>126</v>
      </c>
      <c r="L316" s="2" t="s">
        <v>1632</v>
      </c>
      <c r="M316" s="134">
        <v>45929</v>
      </c>
      <c r="N316" s="56" t="s">
        <v>2432</v>
      </c>
      <c r="Q316" s="67">
        <f t="shared" si="37"/>
        <v>5</v>
      </c>
      <c r="R316" s="29">
        <f t="shared" si="33"/>
        <v>6</v>
      </c>
      <c r="T316" s="1"/>
      <c r="U316" s="2" t="s">
        <v>2293</v>
      </c>
      <c r="V316" s="1" t="s">
        <v>239</v>
      </c>
      <c r="W316" s="1" t="s">
        <v>454</v>
      </c>
      <c r="X316" s="2">
        <v>20255110999</v>
      </c>
      <c r="Y316" s="14">
        <v>45918</v>
      </c>
      <c r="Z316" s="14">
        <v>45924</v>
      </c>
      <c r="AA316" s="14">
        <v>45910</v>
      </c>
      <c r="AB316" s="14">
        <v>45929</v>
      </c>
      <c r="AC316" s="14">
        <v>45934</v>
      </c>
      <c r="AD316" s="2" t="s">
        <v>2295</v>
      </c>
      <c r="AE316" s="2"/>
      <c r="AF316" s="2">
        <v>5</v>
      </c>
      <c r="AG316" s="2">
        <v>8.77</v>
      </c>
      <c r="AH316" s="2"/>
      <c r="AI316" s="2" t="s">
        <v>180</v>
      </c>
      <c r="AJ316" s="2"/>
      <c r="AK316" s="14">
        <v>45921</v>
      </c>
      <c r="AL316" s="14">
        <v>45922</v>
      </c>
      <c r="AM316" s="14">
        <v>45923</v>
      </c>
      <c r="AN316" s="2"/>
      <c r="AO316" s="2">
        <v>4802817</v>
      </c>
      <c r="AP316" s="14">
        <v>45929</v>
      </c>
      <c r="AQ316" s="14">
        <v>45934</v>
      </c>
      <c r="AR316" s="15" t="s">
        <v>2418</v>
      </c>
      <c r="AS316" s="14">
        <v>45934</v>
      </c>
      <c r="AT316" s="44">
        <v>51564</v>
      </c>
      <c r="AV316" s="14">
        <v>45930</v>
      </c>
      <c r="AW316" s="14">
        <v>45931</v>
      </c>
      <c r="AY316" s="2">
        <v>4968301</v>
      </c>
      <c r="AZ316" s="32">
        <v>45938</v>
      </c>
      <c r="BA316" s="1">
        <v>15654893</v>
      </c>
      <c r="BB316" s="2">
        <v>2817881</v>
      </c>
      <c r="BC316" s="5">
        <v>45938</v>
      </c>
      <c r="BD316" s="5">
        <v>45938</v>
      </c>
      <c r="BF316" s="14">
        <v>45939</v>
      </c>
      <c r="BG316" s="5">
        <v>45940</v>
      </c>
      <c r="BH316" s="1" t="s">
        <v>2431</v>
      </c>
      <c r="BI316" s="1" t="s">
        <v>273</v>
      </c>
      <c r="BQ316" s="14">
        <v>45931</v>
      </c>
      <c r="BR316" s="5">
        <v>45937</v>
      </c>
    </row>
    <row r="317" spans="1:70" ht="18" customHeight="1" x14ac:dyDescent="0.3">
      <c r="A317" s="2">
        <v>317</v>
      </c>
      <c r="B317" s="2">
        <v>6996263</v>
      </c>
      <c r="C317" s="111">
        <v>45903</v>
      </c>
      <c r="D317" s="2">
        <v>58175</v>
      </c>
      <c r="E317" s="2" t="s">
        <v>840</v>
      </c>
      <c r="F317" s="31" t="s">
        <v>2292</v>
      </c>
      <c r="G317" s="7" t="s">
        <v>2291</v>
      </c>
      <c r="H317" s="8" t="s">
        <v>446</v>
      </c>
      <c r="I317" s="83">
        <v>51499</v>
      </c>
      <c r="J317" s="2" t="s">
        <v>1631</v>
      </c>
      <c r="K317" s="2" t="s">
        <v>126</v>
      </c>
      <c r="L317" s="2" t="s">
        <v>1632</v>
      </c>
      <c r="M317" s="134">
        <v>45929</v>
      </c>
      <c r="N317" s="56" t="s">
        <v>2433</v>
      </c>
      <c r="Q317" s="67">
        <f t="shared" si="37"/>
        <v>5</v>
      </c>
      <c r="R317" s="29">
        <f t="shared" si="33"/>
        <v>6</v>
      </c>
      <c r="T317" s="1"/>
      <c r="U317" s="2" t="s">
        <v>2293</v>
      </c>
      <c r="V317" s="1" t="s">
        <v>239</v>
      </c>
      <c r="W317" s="1" t="s">
        <v>454</v>
      </c>
      <c r="X317" s="2">
        <v>20255110991</v>
      </c>
      <c r="Y317" s="14">
        <v>45918</v>
      </c>
      <c r="Z317" s="14">
        <v>45924</v>
      </c>
      <c r="AA317" s="14">
        <v>45910</v>
      </c>
      <c r="AB317" s="14">
        <v>45929</v>
      </c>
      <c r="AC317" s="14">
        <v>45934</v>
      </c>
      <c r="AD317" s="2" t="s">
        <v>2294</v>
      </c>
      <c r="AE317" s="2"/>
      <c r="AF317" s="2">
        <v>2</v>
      </c>
      <c r="AG317" s="2">
        <v>2.96</v>
      </c>
      <c r="AH317" s="2"/>
      <c r="AI317" s="2" t="s">
        <v>180</v>
      </c>
      <c r="AJ317" s="2"/>
      <c r="AK317" s="14">
        <v>45921</v>
      </c>
      <c r="AL317" s="14">
        <v>45922</v>
      </c>
      <c r="AM317" s="14">
        <v>45923</v>
      </c>
      <c r="AN317" s="2"/>
      <c r="AO317" s="2">
        <v>4802831</v>
      </c>
      <c r="AP317" s="14">
        <v>45929</v>
      </c>
      <c r="AQ317" s="14">
        <v>45934</v>
      </c>
      <c r="AR317" s="15" t="s">
        <v>2417</v>
      </c>
      <c r="AS317" s="14">
        <v>45934</v>
      </c>
      <c r="AT317" s="44">
        <v>51565</v>
      </c>
      <c r="AV317" s="14">
        <v>45930</v>
      </c>
      <c r="AW317" s="14">
        <v>45931</v>
      </c>
      <c r="AY317" s="2">
        <v>4968303</v>
      </c>
      <c r="AZ317" s="32">
        <v>45938</v>
      </c>
      <c r="BA317" s="1">
        <v>5218298</v>
      </c>
      <c r="BB317" s="2">
        <v>939294</v>
      </c>
      <c r="BC317" s="5">
        <v>45938</v>
      </c>
      <c r="BD317" s="5">
        <v>45938</v>
      </c>
      <c r="BF317" s="14">
        <v>45940</v>
      </c>
      <c r="BG317" s="5">
        <v>45940</v>
      </c>
      <c r="BH317" s="1" t="s">
        <v>2431</v>
      </c>
      <c r="BI317" s="1" t="s">
        <v>273</v>
      </c>
      <c r="BQ317" s="14">
        <v>45931</v>
      </c>
      <c r="BR317" s="5">
        <v>45937</v>
      </c>
    </row>
    <row r="318" spans="1:70" ht="18" customHeight="1" x14ac:dyDescent="0.3">
      <c r="A318" s="2">
        <v>318</v>
      </c>
      <c r="B318" s="2">
        <v>6942930</v>
      </c>
      <c r="C318" s="111">
        <v>45831</v>
      </c>
      <c r="D318" s="2">
        <v>155775</v>
      </c>
      <c r="E318" s="2" t="s">
        <v>840</v>
      </c>
      <c r="F318" s="8" t="s">
        <v>219</v>
      </c>
      <c r="G318" s="8" t="s">
        <v>1361</v>
      </c>
      <c r="H318" s="8" t="s">
        <v>525</v>
      </c>
      <c r="I318" s="83">
        <v>51575</v>
      </c>
      <c r="J318" s="2" t="s">
        <v>1631</v>
      </c>
      <c r="K318" s="2" t="s">
        <v>126</v>
      </c>
      <c r="L318" s="2" t="s">
        <v>1632</v>
      </c>
      <c r="M318" s="134">
        <v>45932</v>
      </c>
      <c r="N318" s="56" t="s">
        <v>2446</v>
      </c>
      <c r="Q318" s="67">
        <f t="shared" si="37"/>
        <v>6</v>
      </c>
      <c r="R318" s="29">
        <f t="shared" si="33"/>
        <v>6</v>
      </c>
      <c r="T318" s="1"/>
      <c r="U318" s="1" t="s">
        <v>1635</v>
      </c>
      <c r="V318" s="2" t="s">
        <v>384</v>
      </c>
      <c r="W318" s="2" t="s">
        <v>421</v>
      </c>
      <c r="X318" s="2">
        <v>20255117530</v>
      </c>
      <c r="Y318" s="14">
        <v>45933</v>
      </c>
      <c r="Z318" s="14">
        <v>45941</v>
      </c>
      <c r="AA318" s="14">
        <v>45917</v>
      </c>
      <c r="AB318" s="14">
        <v>45932</v>
      </c>
      <c r="AC318" s="14">
        <v>45938</v>
      </c>
      <c r="AD318" s="2">
        <v>76030157473</v>
      </c>
      <c r="AE318" s="2"/>
      <c r="AF318" s="2">
        <v>5</v>
      </c>
      <c r="AG318" s="2">
        <v>8.9</v>
      </c>
      <c r="AH318" s="2"/>
      <c r="AI318" s="2" t="s">
        <v>629</v>
      </c>
      <c r="AJ318" s="2"/>
      <c r="AK318" s="14">
        <v>45930</v>
      </c>
      <c r="AL318" s="14">
        <v>45930</v>
      </c>
      <c r="AM318" s="14">
        <v>45930</v>
      </c>
      <c r="AN318" s="2"/>
      <c r="AO318" s="2">
        <v>4870618</v>
      </c>
      <c r="AP318" s="14">
        <v>45933</v>
      </c>
      <c r="AQ318" s="14">
        <v>45938</v>
      </c>
      <c r="AR318" s="15" t="s">
        <v>2437</v>
      </c>
      <c r="AS318" s="14">
        <v>45939</v>
      </c>
      <c r="AT318" s="44">
        <v>51633</v>
      </c>
      <c r="AV318" s="14">
        <v>45938</v>
      </c>
      <c r="AW318" s="14">
        <v>45939</v>
      </c>
      <c r="AY318" s="2">
        <v>5010168</v>
      </c>
      <c r="AZ318" s="32">
        <v>45940</v>
      </c>
      <c r="BA318" s="1">
        <v>13973018</v>
      </c>
      <c r="BB318" s="2">
        <v>2515143</v>
      </c>
      <c r="BC318" s="5">
        <v>45940</v>
      </c>
      <c r="BD318" s="14">
        <v>45940</v>
      </c>
      <c r="BF318" s="14">
        <v>45943</v>
      </c>
      <c r="BG318" s="5">
        <v>45944</v>
      </c>
      <c r="BH318" s="1" t="s">
        <v>2447</v>
      </c>
      <c r="BI318" s="1" t="s">
        <v>273</v>
      </c>
      <c r="BQ318" s="14">
        <v>45939</v>
      </c>
      <c r="BR318" s="5">
        <v>45939</v>
      </c>
    </row>
    <row r="319" spans="1:70" ht="18" customHeight="1" x14ac:dyDescent="0.3">
      <c r="A319" s="2">
        <v>319</v>
      </c>
      <c r="B319" s="8" t="s">
        <v>2373</v>
      </c>
      <c r="C319" s="8" t="s">
        <v>2374</v>
      </c>
      <c r="D319" s="8" t="s">
        <v>2375</v>
      </c>
      <c r="E319" s="2" t="s">
        <v>840</v>
      </c>
      <c r="F319" s="8" t="s">
        <v>2376</v>
      </c>
      <c r="G319" s="8" t="s">
        <v>2377</v>
      </c>
      <c r="H319" s="8" t="s">
        <v>2378</v>
      </c>
      <c r="I319" s="83">
        <v>51610</v>
      </c>
      <c r="J319" s="2" t="s">
        <v>1631</v>
      </c>
      <c r="K319" s="2" t="s">
        <v>126</v>
      </c>
      <c r="L319" s="2" t="s">
        <v>1632</v>
      </c>
      <c r="M319" s="134">
        <v>45935</v>
      </c>
      <c r="N319" s="56" t="s">
        <v>2491</v>
      </c>
      <c r="Q319" s="67">
        <f t="shared" si="37"/>
        <v>8</v>
      </c>
      <c r="R319" s="29">
        <f t="shared" si="33"/>
        <v>4</v>
      </c>
      <c r="T319" s="1"/>
      <c r="U319" s="8" t="s">
        <v>2439</v>
      </c>
      <c r="V319" s="2" t="s">
        <v>384</v>
      </c>
      <c r="W319" s="2" t="s">
        <v>421</v>
      </c>
      <c r="X319" s="2">
        <v>20255115103</v>
      </c>
      <c r="Y319" s="14">
        <v>45929</v>
      </c>
      <c r="Z319" s="14">
        <v>45938</v>
      </c>
      <c r="AA319" s="14">
        <v>45922</v>
      </c>
      <c r="AB319" s="14">
        <v>45935</v>
      </c>
      <c r="AC319" s="14">
        <v>45943</v>
      </c>
      <c r="AD319" s="2" t="s">
        <v>2371</v>
      </c>
      <c r="AE319" s="2" t="s">
        <v>2379</v>
      </c>
      <c r="AF319" s="2">
        <v>5</v>
      </c>
      <c r="AG319" s="2">
        <v>7.02</v>
      </c>
      <c r="AH319" s="2"/>
      <c r="AI319" s="2" t="s">
        <v>180</v>
      </c>
      <c r="AJ319" s="2"/>
      <c r="AK319" s="14">
        <v>45934</v>
      </c>
      <c r="AL319" s="14">
        <v>45934</v>
      </c>
      <c r="AM319" s="14">
        <v>45935</v>
      </c>
      <c r="AN319" s="2"/>
      <c r="AO319" s="2">
        <v>4937810</v>
      </c>
      <c r="AP319" s="14">
        <v>45936</v>
      </c>
      <c r="AQ319" s="14">
        <v>45943</v>
      </c>
      <c r="AR319" s="15" t="s">
        <v>2440</v>
      </c>
      <c r="AS319" s="2"/>
      <c r="AT319" s="44">
        <v>51689</v>
      </c>
      <c r="AV319" s="14">
        <v>45939</v>
      </c>
      <c r="AW319" s="14">
        <v>45939</v>
      </c>
      <c r="AY319" s="2">
        <v>5108377</v>
      </c>
      <c r="AZ319" s="32">
        <v>45945</v>
      </c>
      <c r="BA319" s="1">
        <v>12419548</v>
      </c>
      <c r="BB319" s="2">
        <v>2235519</v>
      </c>
      <c r="BC319" s="5">
        <v>45945</v>
      </c>
      <c r="BD319" s="14">
        <v>45945</v>
      </c>
      <c r="BF319" s="14">
        <v>38641</v>
      </c>
      <c r="BG319" s="5">
        <v>45947</v>
      </c>
      <c r="BH319" s="1" t="s">
        <v>2490</v>
      </c>
      <c r="BI319" s="1" t="s">
        <v>273</v>
      </c>
      <c r="BQ319" s="14">
        <v>45939</v>
      </c>
      <c r="BR319" s="5">
        <v>45944</v>
      </c>
    </row>
    <row r="320" spans="1:70" ht="18" customHeight="1" x14ac:dyDescent="0.3">
      <c r="A320" s="2">
        <v>320</v>
      </c>
      <c r="B320" s="2">
        <v>7001089</v>
      </c>
      <c r="C320" s="111">
        <v>45915</v>
      </c>
      <c r="D320" s="2">
        <v>25597</v>
      </c>
      <c r="E320" s="2" t="s">
        <v>840</v>
      </c>
      <c r="F320" s="8" t="s">
        <v>760</v>
      </c>
      <c r="G320" s="8" t="s">
        <v>2000</v>
      </c>
      <c r="H320" s="8" t="s">
        <v>618</v>
      </c>
      <c r="I320" s="83">
        <v>51613</v>
      </c>
      <c r="J320" s="2" t="s">
        <v>1631</v>
      </c>
      <c r="K320" s="2" t="s">
        <v>126</v>
      </c>
      <c r="L320" s="2" t="s">
        <v>1632</v>
      </c>
      <c r="M320" s="134">
        <v>45935</v>
      </c>
      <c r="N320" s="56" t="s">
        <v>2488</v>
      </c>
      <c r="Q320" s="67">
        <f t="shared" si="37"/>
        <v>8</v>
      </c>
      <c r="R320" s="29">
        <f t="shared" si="33"/>
        <v>4</v>
      </c>
      <c r="T320" s="1"/>
      <c r="U320" s="1" t="s">
        <v>2380</v>
      </c>
      <c r="V320" s="1" t="s">
        <v>645</v>
      </c>
      <c r="W320" s="79" t="s">
        <v>426</v>
      </c>
      <c r="X320" s="2">
        <v>20255115132</v>
      </c>
      <c r="Y320" s="14">
        <v>45929</v>
      </c>
      <c r="Z320" s="14">
        <v>45938</v>
      </c>
      <c r="AA320" s="14">
        <v>45922</v>
      </c>
      <c r="AB320" s="14">
        <v>45935</v>
      </c>
      <c r="AC320" s="14">
        <v>45943</v>
      </c>
      <c r="AD320" s="2" t="s">
        <v>2371</v>
      </c>
      <c r="AE320" s="2" t="s">
        <v>2381</v>
      </c>
      <c r="AF320" s="2">
        <v>1</v>
      </c>
      <c r="AG320" s="2">
        <v>1.49</v>
      </c>
      <c r="AH320" s="2"/>
      <c r="AI320" s="2" t="s">
        <v>180</v>
      </c>
      <c r="AJ320" s="2"/>
      <c r="AK320" s="14">
        <v>45934</v>
      </c>
      <c r="AL320" s="14">
        <v>45934</v>
      </c>
      <c r="AM320" s="14">
        <v>45935</v>
      </c>
      <c r="AN320" s="2"/>
      <c r="AO320" s="2">
        <v>4938048</v>
      </c>
      <c r="AP320" s="14">
        <v>45936</v>
      </c>
      <c r="AQ320" s="14">
        <v>45943</v>
      </c>
      <c r="AR320" s="15" t="s">
        <v>2441</v>
      </c>
      <c r="AS320" s="2"/>
      <c r="AT320" s="44">
        <v>51690</v>
      </c>
      <c r="AV320" s="14">
        <v>45939</v>
      </c>
      <c r="AW320" s="14">
        <v>45941</v>
      </c>
      <c r="AY320" s="2">
        <v>5108376</v>
      </c>
      <c r="AZ320" s="32">
        <v>45945</v>
      </c>
      <c r="BA320" s="1">
        <v>2296051</v>
      </c>
      <c r="BB320" s="2">
        <v>413289</v>
      </c>
      <c r="BC320" s="5">
        <v>45945</v>
      </c>
      <c r="BD320" s="14">
        <v>45945</v>
      </c>
      <c r="BF320" s="14">
        <v>38641</v>
      </c>
      <c r="BG320" s="5">
        <v>45947</v>
      </c>
      <c r="BH320" s="1" t="s">
        <v>2487</v>
      </c>
      <c r="BI320" s="1" t="s">
        <v>273</v>
      </c>
      <c r="BQ320" s="14">
        <v>45941</v>
      </c>
      <c r="BR320" s="5">
        <v>45943</v>
      </c>
    </row>
    <row r="321" spans="1:70" ht="18" customHeight="1" x14ac:dyDescent="0.3">
      <c r="A321" s="2">
        <v>321</v>
      </c>
      <c r="B321" s="8" t="s">
        <v>2382</v>
      </c>
      <c r="C321" s="8" t="s">
        <v>2383</v>
      </c>
      <c r="D321" s="8" t="s">
        <v>2384</v>
      </c>
      <c r="E321" s="2" t="s">
        <v>840</v>
      </c>
      <c r="F321" s="8" t="s">
        <v>2385</v>
      </c>
      <c r="G321" s="8" t="s">
        <v>2386</v>
      </c>
      <c r="H321" s="8" t="s">
        <v>2387</v>
      </c>
      <c r="I321" s="83">
        <v>51620</v>
      </c>
      <c r="J321" s="2" t="s">
        <v>1631</v>
      </c>
      <c r="K321" s="2" t="s">
        <v>126</v>
      </c>
      <c r="L321" s="2" t="s">
        <v>1632</v>
      </c>
      <c r="M321" s="134">
        <v>45935</v>
      </c>
      <c r="N321" s="56" t="s">
        <v>2485</v>
      </c>
      <c r="Q321" s="67">
        <f t="shared" si="37"/>
        <v>8</v>
      </c>
      <c r="R321" s="29">
        <f t="shared" si="33"/>
        <v>4</v>
      </c>
      <c r="T321" s="1"/>
      <c r="U321" s="8" t="s">
        <v>2388</v>
      </c>
      <c r="V321" s="1" t="s">
        <v>645</v>
      </c>
      <c r="W321" s="79" t="s">
        <v>426</v>
      </c>
      <c r="X321" s="2">
        <v>20255115122</v>
      </c>
      <c r="Y321" s="14">
        <v>45929</v>
      </c>
      <c r="Z321" s="14">
        <v>45938</v>
      </c>
      <c r="AA321" s="14">
        <v>45922</v>
      </c>
      <c r="AB321" s="14">
        <v>45935</v>
      </c>
      <c r="AC321" s="14">
        <v>45943</v>
      </c>
      <c r="AD321" s="2" t="s">
        <v>2371</v>
      </c>
      <c r="AE321" s="2" t="s">
        <v>2389</v>
      </c>
      <c r="AF321" s="2">
        <v>6</v>
      </c>
      <c r="AG321" s="2">
        <v>7.18</v>
      </c>
      <c r="AH321" s="2"/>
      <c r="AI321" s="2" t="s">
        <v>180</v>
      </c>
      <c r="AJ321" s="2"/>
      <c r="AK321" s="14">
        <v>45934</v>
      </c>
      <c r="AL321" s="14">
        <v>45934</v>
      </c>
      <c r="AM321" s="14">
        <v>45935</v>
      </c>
      <c r="AN321" s="2"/>
      <c r="AO321" s="2">
        <v>4939965</v>
      </c>
      <c r="AP321" s="14">
        <v>45936</v>
      </c>
      <c r="AQ321" s="14">
        <v>45943</v>
      </c>
      <c r="AR321" s="15" t="s">
        <v>2442</v>
      </c>
      <c r="AS321" s="2"/>
      <c r="AT321" s="44">
        <v>51691</v>
      </c>
      <c r="AV321" s="14">
        <v>45939</v>
      </c>
      <c r="AW321" s="14">
        <v>45941</v>
      </c>
      <c r="AY321" s="2">
        <v>5108379</v>
      </c>
      <c r="AZ321" s="32">
        <v>45945</v>
      </c>
      <c r="BA321" s="1">
        <v>11085261</v>
      </c>
      <c r="BB321" s="2">
        <v>1995347</v>
      </c>
      <c r="BC321" s="5">
        <v>45945</v>
      </c>
      <c r="BD321" s="14">
        <v>45945</v>
      </c>
      <c r="BF321" s="14">
        <v>38641</v>
      </c>
      <c r="BG321" s="5">
        <v>45947</v>
      </c>
      <c r="BH321" s="1" t="s">
        <v>2484</v>
      </c>
      <c r="BI321" s="1" t="s">
        <v>273</v>
      </c>
      <c r="BQ321" s="14">
        <v>45941</v>
      </c>
      <c r="BR321" s="5">
        <v>45943</v>
      </c>
    </row>
    <row r="322" spans="1:70" ht="18" customHeight="1" x14ac:dyDescent="0.3">
      <c r="A322" s="2">
        <v>322</v>
      </c>
      <c r="B322" s="8" t="s">
        <v>2390</v>
      </c>
      <c r="C322" s="8" t="s">
        <v>2366</v>
      </c>
      <c r="D322" s="8" t="s">
        <v>2391</v>
      </c>
      <c r="E322" s="2" t="s">
        <v>840</v>
      </c>
      <c r="F322" s="8" t="s">
        <v>2392</v>
      </c>
      <c r="G322" s="8" t="s">
        <v>2393</v>
      </c>
      <c r="H322" s="8" t="s">
        <v>2394</v>
      </c>
      <c r="I322" s="83">
        <v>51625</v>
      </c>
      <c r="J322" s="2" t="s">
        <v>1631</v>
      </c>
      <c r="K322" s="2" t="s">
        <v>126</v>
      </c>
      <c r="L322" s="2" t="s">
        <v>1632</v>
      </c>
      <c r="M322" s="134">
        <v>45935</v>
      </c>
      <c r="N322" s="56" t="s">
        <v>2489</v>
      </c>
      <c r="Q322" s="67">
        <f t="shared" si="37"/>
        <v>8</v>
      </c>
      <c r="R322" s="29">
        <f t="shared" si="33"/>
        <v>4</v>
      </c>
      <c r="T322" s="1"/>
      <c r="U322" s="8" t="s">
        <v>2395</v>
      </c>
      <c r="V322" s="1" t="s">
        <v>645</v>
      </c>
      <c r="W322" s="79" t="s">
        <v>426</v>
      </c>
      <c r="X322" s="2">
        <v>20255115145</v>
      </c>
      <c r="Y322" s="14">
        <v>45929</v>
      </c>
      <c r="Z322" s="14">
        <v>45938</v>
      </c>
      <c r="AA322" s="14">
        <v>45922</v>
      </c>
      <c r="AB322" s="14">
        <v>45935</v>
      </c>
      <c r="AC322" s="14">
        <v>45943</v>
      </c>
      <c r="AD322" s="2" t="s">
        <v>2371</v>
      </c>
      <c r="AE322" s="2" t="s">
        <v>2396</v>
      </c>
      <c r="AF322" s="2">
        <v>8</v>
      </c>
      <c r="AG322" s="2">
        <v>11.35</v>
      </c>
      <c r="AH322" s="2"/>
      <c r="AI322" s="2" t="s">
        <v>180</v>
      </c>
      <c r="AJ322" s="2"/>
      <c r="AK322" s="14">
        <v>45934</v>
      </c>
      <c r="AL322" s="14">
        <v>45934</v>
      </c>
      <c r="AM322" s="14">
        <v>45935</v>
      </c>
      <c r="AN322" s="2"/>
      <c r="AO322" s="2">
        <v>4939961</v>
      </c>
      <c r="AP322" s="14">
        <v>45936</v>
      </c>
      <c r="AQ322" s="14">
        <v>45943</v>
      </c>
      <c r="AR322" s="15" t="s">
        <v>2443</v>
      </c>
      <c r="AS322" s="2"/>
      <c r="AT322" s="44">
        <v>51692</v>
      </c>
      <c r="AV322" s="14">
        <v>45939</v>
      </c>
      <c r="AW322" s="14">
        <v>45941</v>
      </c>
      <c r="AY322" s="2">
        <v>5108380</v>
      </c>
      <c r="AZ322" s="32">
        <v>45945</v>
      </c>
      <c r="BA322" s="1">
        <v>18259781</v>
      </c>
      <c r="BB322" s="2">
        <v>3286760</v>
      </c>
      <c r="BC322" s="5">
        <v>45945</v>
      </c>
      <c r="BD322" s="14">
        <v>45945</v>
      </c>
      <c r="BF322" s="14">
        <v>38641</v>
      </c>
      <c r="BG322" s="5">
        <v>45947</v>
      </c>
      <c r="BH322" s="1" t="s">
        <v>2487</v>
      </c>
      <c r="BI322" s="1" t="s">
        <v>273</v>
      </c>
      <c r="BQ322" s="14">
        <v>45941</v>
      </c>
      <c r="BR322" s="5">
        <v>45943</v>
      </c>
    </row>
    <row r="323" spans="1:70" ht="18" customHeight="1" x14ac:dyDescent="0.3">
      <c r="A323" s="2">
        <v>323</v>
      </c>
      <c r="B323" s="8" t="s">
        <v>2404</v>
      </c>
      <c r="C323" s="8" t="s">
        <v>2405</v>
      </c>
      <c r="D323" s="8" t="s">
        <v>2406</v>
      </c>
      <c r="E323" s="2" t="s">
        <v>840</v>
      </c>
      <c r="F323" s="8" t="s">
        <v>2407</v>
      </c>
      <c r="G323" s="8" t="s">
        <v>1459</v>
      </c>
      <c r="H323" s="8" t="s">
        <v>2408</v>
      </c>
      <c r="I323" s="83">
        <v>51651</v>
      </c>
      <c r="J323" s="2" t="s">
        <v>142</v>
      </c>
      <c r="K323" s="2" t="s">
        <v>126</v>
      </c>
      <c r="L323" s="2" t="s">
        <v>854</v>
      </c>
      <c r="M323" s="134">
        <v>45936</v>
      </c>
      <c r="N323" s="56" t="s">
        <v>2483</v>
      </c>
      <c r="Q323" s="67">
        <f t="shared" si="37"/>
        <v>3</v>
      </c>
      <c r="R323" s="29">
        <f t="shared" si="33"/>
        <v>8</v>
      </c>
      <c r="T323" s="1"/>
      <c r="U323" s="8" t="s">
        <v>2409</v>
      </c>
      <c r="V323" s="1" t="s">
        <v>645</v>
      </c>
      <c r="W323" s="79" t="s">
        <v>426</v>
      </c>
      <c r="X323" s="2">
        <v>20255117566</v>
      </c>
      <c r="Y323" s="14">
        <v>45934</v>
      </c>
      <c r="Z323" s="14">
        <v>45940</v>
      </c>
      <c r="AA323" s="14">
        <v>45936</v>
      </c>
      <c r="AB323" s="14">
        <v>45936</v>
      </c>
      <c r="AC323" s="14">
        <v>45939</v>
      </c>
      <c r="AD323" s="2">
        <v>17615839865</v>
      </c>
      <c r="AE323" s="2" t="s">
        <v>2410</v>
      </c>
      <c r="AF323" s="2">
        <v>6</v>
      </c>
      <c r="AG323" s="2">
        <v>1738.5</v>
      </c>
      <c r="AH323" s="2"/>
      <c r="AI323" s="2" t="s">
        <v>180</v>
      </c>
      <c r="AJ323" s="2"/>
      <c r="AK323" s="14">
        <v>45935</v>
      </c>
      <c r="AL323" s="14">
        <v>45936</v>
      </c>
      <c r="AM323" s="14">
        <v>45936</v>
      </c>
      <c r="AN323" s="2"/>
      <c r="AO323" s="2">
        <v>4955165</v>
      </c>
      <c r="AP323" s="14">
        <v>45937</v>
      </c>
      <c r="AQ323" s="14">
        <v>45939</v>
      </c>
      <c r="AR323" s="15" t="s">
        <v>2445</v>
      </c>
      <c r="AS323" s="14">
        <v>45943</v>
      </c>
      <c r="AT323" s="44">
        <v>51699</v>
      </c>
      <c r="AV323" s="14">
        <v>45939</v>
      </c>
      <c r="AW323" s="14">
        <v>45940</v>
      </c>
      <c r="AY323" s="2">
        <v>5084693</v>
      </c>
      <c r="AZ323" s="32">
        <v>45944</v>
      </c>
      <c r="BA323" s="1">
        <v>17742212</v>
      </c>
      <c r="BB323" s="2">
        <v>3193598</v>
      </c>
      <c r="BC323" s="5">
        <v>45944</v>
      </c>
      <c r="BD323" s="14">
        <v>45944</v>
      </c>
      <c r="BF323" s="14">
        <v>45945</v>
      </c>
      <c r="BG323" s="5">
        <v>45947</v>
      </c>
      <c r="BH323" s="1" t="s">
        <v>972</v>
      </c>
      <c r="BI323" s="1" t="s">
        <v>273</v>
      </c>
      <c r="BQ323" s="14">
        <v>45940</v>
      </c>
      <c r="BR323" s="5">
        <v>45943</v>
      </c>
    </row>
    <row r="324" spans="1:70" ht="18" customHeight="1" x14ac:dyDescent="0.3">
      <c r="A324" s="2">
        <v>324</v>
      </c>
      <c r="B324" s="2">
        <v>7002704</v>
      </c>
      <c r="C324" s="111">
        <v>45918</v>
      </c>
      <c r="D324" s="8">
        <v>155775</v>
      </c>
      <c r="E324" s="2" t="s">
        <v>840</v>
      </c>
      <c r="F324" s="8" t="s">
        <v>642</v>
      </c>
      <c r="G324" s="8" t="s">
        <v>2329</v>
      </c>
      <c r="H324" s="8" t="s">
        <v>525</v>
      </c>
      <c r="I324" s="83">
        <v>51652</v>
      </c>
      <c r="J324" s="2" t="s">
        <v>142</v>
      </c>
      <c r="K324" s="2" t="s">
        <v>126</v>
      </c>
      <c r="L324" s="2" t="s">
        <v>854</v>
      </c>
      <c r="M324" s="134">
        <v>45936</v>
      </c>
      <c r="N324" s="56" t="s">
        <v>2486</v>
      </c>
      <c r="Q324" s="67">
        <f t="shared" si="37"/>
        <v>3</v>
      </c>
      <c r="R324" s="29">
        <f t="shared" si="33"/>
        <v>8</v>
      </c>
      <c r="T324" s="1"/>
      <c r="U324" s="1" t="s">
        <v>2413</v>
      </c>
      <c r="V324" s="1" t="s">
        <v>645</v>
      </c>
      <c r="W324" s="79" t="s">
        <v>426</v>
      </c>
      <c r="X324" s="2">
        <v>20255117697</v>
      </c>
      <c r="Y324" s="14">
        <v>45936</v>
      </c>
      <c r="Z324" s="14">
        <v>45940</v>
      </c>
      <c r="AA324" s="14">
        <v>45936</v>
      </c>
      <c r="AB324" s="14">
        <v>45936</v>
      </c>
      <c r="AC324" s="14">
        <v>45939</v>
      </c>
      <c r="AD324" s="2">
        <v>17615839865</v>
      </c>
      <c r="AE324" s="2" t="s">
        <v>2411</v>
      </c>
      <c r="AF324" s="2">
        <v>5</v>
      </c>
      <c r="AG324" s="2">
        <v>1455</v>
      </c>
      <c r="AH324" s="2"/>
      <c r="AI324" s="2" t="s">
        <v>180</v>
      </c>
      <c r="AJ324" s="2"/>
      <c r="AK324" s="14">
        <v>45935</v>
      </c>
      <c r="AL324" s="14">
        <v>45936</v>
      </c>
      <c r="AM324" s="14">
        <v>45936</v>
      </c>
      <c r="AN324" s="2"/>
      <c r="AO324" s="2">
        <v>4955164</v>
      </c>
      <c r="AP324" s="14">
        <v>45937</v>
      </c>
      <c r="AQ324" s="14">
        <v>45939</v>
      </c>
      <c r="AR324" s="15" t="s">
        <v>2438</v>
      </c>
      <c r="AS324" s="14">
        <v>45943</v>
      </c>
      <c r="AT324" s="44">
        <v>51700</v>
      </c>
      <c r="AV324" s="14">
        <v>45939</v>
      </c>
      <c r="AW324" s="14">
        <v>45940</v>
      </c>
      <c r="AY324" s="2">
        <v>5084991</v>
      </c>
      <c r="AZ324" s="32">
        <v>45944</v>
      </c>
      <c r="BA324" s="1">
        <v>13973018</v>
      </c>
      <c r="BB324" s="2">
        <v>2515143</v>
      </c>
      <c r="BC324" s="5">
        <v>45944</v>
      </c>
      <c r="BD324" s="14">
        <v>45944</v>
      </c>
      <c r="BF324" s="14">
        <v>45945</v>
      </c>
      <c r="BG324" s="5">
        <v>45947</v>
      </c>
      <c r="BH324" s="1" t="s">
        <v>2484</v>
      </c>
      <c r="BI324" s="1" t="s">
        <v>273</v>
      </c>
      <c r="BQ324" s="14">
        <v>45940</v>
      </c>
      <c r="BR324" s="5">
        <v>45943</v>
      </c>
    </row>
    <row r="325" spans="1:70" ht="18" customHeight="1" x14ac:dyDescent="0.3">
      <c r="A325" s="2">
        <v>325</v>
      </c>
      <c r="B325" s="2">
        <v>7002590</v>
      </c>
      <c r="C325" s="111">
        <v>45918</v>
      </c>
      <c r="D325" s="2">
        <v>10385</v>
      </c>
      <c r="E325" s="2" t="s">
        <v>840</v>
      </c>
      <c r="F325" s="8" t="s">
        <v>642</v>
      </c>
      <c r="G325" s="8" t="s">
        <v>2329</v>
      </c>
      <c r="H325" s="8" t="s">
        <v>1493</v>
      </c>
      <c r="I325" s="83">
        <v>51653</v>
      </c>
      <c r="J325" s="2" t="s">
        <v>142</v>
      </c>
      <c r="K325" s="2" t="s">
        <v>126</v>
      </c>
      <c r="L325" s="2" t="s">
        <v>854</v>
      </c>
      <c r="M325" s="134">
        <v>45936</v>
      </c>
      <c r="N325" s="56" t="s">
        <v>2482</v>
      </c>
      <c r="Q325" s="67">
        <f t="shared" si="37"/>
        <v>3</v>
      </c>
      <c r="R325" s="29">
        <f t="shared" si="33"/>
        <v>8</v>
      </c>
      <c r="T325" s="1"/>
      <c r="U325" s="1" t="s">
        <v>2414</v>
      </c>
      <c r="V325" s="1" t="s">
        <v>645</v>
      </c>
      <c r="W325" s="79" t="s">
        <v>426</v>
      </c>
      <c r="X325" s="2">
        <v>20255117565</v>
      </c>
      <c r="Y325" s="14">
        <v>45934</v>
      </c>
      <c r="Z325" s="14">
        <v>45940</v>
      </c>
      <c r="AA325" s="14">
        <v>45936</v>
      </c>
      <c r="AB325" s="14">
        <v>45936</v>
      </c>
      <c r="AC325" s="14">
        <v>45939</v>
      </c>
      <c r="AD325" s="2">
        <v>17615839865</v>
      </c>
      <c r="AE325" s="2" t="s">
        <v>2412</v>
      </c>
      <c r="AF325" s="2">
        <v>1</v>
      </c>
      <c r="AG325" s="2">
        <v>100</v>
      </c>
      <c r="AH325" s="2"/>
      <c r="AI325" s="2" t="s">
        <v>180</v>
      </c>
      <c r="AJ325" s="2"/>
      <c r="AK325" s="14">
        <v>45935</v>
      </c>
      <c r="AL325" s="14">
        <v>45936</v>
      </c>
      <c r="AM325" s="14">
        <v>45936</v>
      </c>
      <c r="AN325" s="2"/>
      <c r="AO325" s="2">
        <v>4955161</v>
      </c>
      <c r="AP325" s="14">
        <v>45937</v>
      </c>
      <c r="AQ325" s="14">
        <v>45939</v>
      </c>
      <c r="AR325" s="15" t="s">
        <v>2444</v>
      </c>
      <c r="AS325" s="14">
        <v>45943</v>
      </c>
      <c r="AT325" s="44">
        <v>51701</v>
      </c>
      <c r="AV325" s="14">
        <v>45939</v>
      </c>
      <c r="AW325" s="14">
        <v>45940</v>
      </c>
      <c r="AY325" s="2">
        <v>5084992</v>
      </c>
      <c r="AZ325" s="32">
        <v>45944</v>
      </c>
      <c r="BA325" s="1">
        <v>931535</v>
      </c>
      <c r="BB325" s="2">
        <v>167676</v>
      </c>
      <c r="BC325" s="5">
        <v>45944</v>
      </c>
      <c r="BD325" s="14">
        <v>45944</v>
      </c>
      <c r="BF325" s="14">
        <v>45945</v>
      </c>
      <c r="BG325" s="5">
        <v>45947</v>
      </c>
      <c r="BH325" s="1" t="s">
        <v>972</v>
      </c>
      <c r="BI325" s="1" t="s">
        <v>273</v>
      </c>
      <c r="BQ325" s="14">
        <v>45940</v>
      </c>
      <c r="BR325" s="5">
        <v>45943</v>
      </c>
    </row>
    <row r="326" spans="1:70" ht="18" customHeight="1" x14ac:dyDescent="0.3">
      <c r="A326" s="2">
        <v>326</v>
      </c>
      <c r="B326" s="2">
        <v>250914619</v>
      </c>
      <c r="C326" s="111">
        <v>45930</v>
      </c>
      <c r="D326" s="2">
        <v>7945.68</v>
      </c>
      <c r="E326" s="2" t="s">
        <v>677</v>
      </c>
      <c r="F326" s="2" t="s">
        <v>1701</v>
      </c>
      <c r="G326" s="2" t="s">
        <v>2402</v>
      </c>
      <c r="H326" s="2">
        <v>3</v>
      </c>
      <c r="I326" s="83">
        <v>51649</v>
      </c>
      <c r="J326" s="2" t="s">
        <v>142</v>
      </c>
      <c r="K326" s="2" t="s">
        <v>126</v>
      </c>
      <c r="L326" s="2" t="s">
        <v>854</v>
      </c>
      <c r="M326" s="134">
        <v>45937</v>
      </c>
      <c r="N326" s="56" t="s">
        <v>2495</v>
      </c>
      <c r="Q326" s="67">
        <f t="shared" ref="Q326:Q335" si="38">AQ326-AB326</f>
        <v>2</v>
      </c>
      <c r="R326" s="29">
        <f t="shared" si="33"/>
        <v>9</v>
      </c>
      <c r="T326" s="1"/>
      <c r="U326" s="1" t="s">
        <v>2219</v>
      </c>
      <c r="V326" s="2" t="s">
        <v>755</v>
      </c>
      <c r="W326" s="1" t="s">
        <v>827</v>
      </c>
      <c r="X326" s="2" t="s">
        <v>2403</v>
      </c>
      <c r="Y326" s="14">
        <v>45931</v>
      </c>
      <c r="Z326" s="14">
        <v>45934</v>
      </c>
      <c r="AA326" s="14">
        <v>45937</v>
      </c>
      <c r="AB326" s="14">
        <v>45937</v>
      </c>
      <c r="AC326" s="14">
        <v>45939</v>
      </c>
      <c r="AD326" s="2" t="s">
        <v>2493</v>
      </c>
      <c r="AE326" s="2">
        <v>4840735123</v>
      </c>
      <c r="AF326" s="2">
        <v>3</v>
      </c>
      <c r="AG326" s="2">
        <v>7.5</v>
      </c>
      <c r="AH326" s="2"/>
      <c r="AI326" s="2" t="s">
        <v>179</v>
      </c>
      <c r="AJ326" s="2"/>
      <c r="AK326" s="14">
        <v>45936</v>
      </c>
      <c r="AL326" s="14">
        <v>45936</v>
      </c>
      <c r="AM326" s="14">
        <v>45936</v>
      </c>
      <c r="AN326" s="2"/>
      <c r="AO326" s="2">
        <v>4968520</v>
      </c>
      <c r="AP326" s="14">
        <v>45938</v>
      </c>
      <c r="AQ326" s="14">
        <v>45939</v>
      </c>
      <c r="AS326" s="14">
        <v>45944</v>
      </c>
      <c r="AT326" s="44">
        <v>51702</v>
      </c>
      <c r="AV326" s="14">
        <v>45939</v>
      </c>
      <c r="AW326" s="14">
        <v>45941</v>
      </c>
      <c r="AY326" s="2">
        <v>5084990</v>
      </c>
      <c r="AZ326" s="32">
        <v>45944</v>
      </c>
      <c r="BA326" s="1">
        <v>712728</v>
      </c>
      <c r="BB326" s="2">
        <v>128291</v>
      </c>
      <c r="BC326" s="5">
        <v>45944</v>
      </c>
      <c r="BD326" s="14">
        <v>45944</v>
      </c>
      <c r="BF326" s="14">
        <v>45945</v>
      </c>
      <c r="BG326" s="5">
        <v>45948</v>
      </c>
      <c r="BH326" s="1" t="s">
        <v>2494</v>
      </c>
      <c r="BI326" s="1" t="s">
        <v>273</v>
      </c>
      <c r="BQ326" s="14">
        <v>45941</v>
      </c>
      <c r="BR326" s="5">
        <v>45943</v>
      </c>
    </row>
    <row r="327" spans="1:70" ht="18" customHeight="1" x14ac:dyDescent="0.3">
      <c r="A327" s="2">
        <v>327</v>
      </c>
      <c r="B327" s="2">
        <v>251004738</v>
      </c>
      <c r="C327" s="111">
        <v>45936</v>
      </c>
      <c r="D327" s="2">
        <v>616965.15</v>
      </c>
      <c r="E327" s="2" t="s">
        <v>677</v>
      </c>
      <c r="F327" s="2" t="s">
        <v>1794</v>
      </c>
      <c r="G327" s="2" t="s">
        <v>946</v>
      </c>
      <c r="H327" s="8">
        <v>19</v>
      </c>
      <c r="I327" s="83">
        <v>51678</v>
      </c>
      <c r="J327" s="2" t="s">
        <v>142</v>
      </c>
      <c r="K327" s="2" t="s">
        <v>126</v>
      </c>
      <c r="L327" s="2" t="s">
        <v>854</v>
      </c>
      <c r="M327" s="134">
        <v>45939</v>
      </c>
      <c r="N327" s="56" t="s">
        <v>2496</v>
      </c>
      <c r="Q327" s="67">
        <f t="shared" si="38"/>
        <v>4</v>
      </c>
      <c r="R327" s="29">
        <f t="shared" si="33"/>
        <v>5</v>
      </c>
      <c r="T327" s="1"/>
      <c r="U327" s="8" t="s">
        <v>1696</v>
      </c>
      <c r="V327" s="2" t="s">
        <v>1179</v>
      </c>
      <c r="W327" s="64" t="s">
        <v>948</v>
      </c>
      <c r="X327" s="2" t="s">
        <v>2420</v>
      </c>
      <c r="Y327" s="14">
        <v>45938</v>
      </c>
      <c r="Z327" s="14">
        <v>45940</v>
      </c>
      <c r="AA327" s="14">
        <v>45939</v>
      </c>
      <c r="AB327" s="14">
        <v>45939</v>
      </c>
      <c r="AC327" s="14">
        <v>45943</v>
      </c>
      <c r="AD327" s="2" t="s">
        <v>2419</v>
      </c>
      <c r="AE327" s="2">
        <v>4840735962</v>
      </c>
      <c r="AF327" s="2">
        <v>1</v>
      </c>
      <c r="AG327" s="2">
        <v>137</v>
      </c>
      <c r="AH327" s="2"/>
      <c r="AI327" s="2" t="s">
        <v>179</v>
      </c>
      <c r="AJ327" s="2"/>
      <c r="AK327" s="14">
        <v>45938</v>
      </c>
      <c r="AL327" s="14">
        <v>45938</v>
      </c>
      <c r="AM327" s="14">
        <v>45938</v>
      </c>
      <c r="AN327" s="2"/>
      <c r="AO327" s="2">
        <v>5013691</v>
      </c>
      <c r="AP327" s="14">
        <v>45940</v>
      </c>
      <c r="AQ327" s="14">
        <v>45943</v>
      </c>
      <c r="AS327" s="14">
        <v>45944</v>
      </c>
      <c r="AT327" s="44">
        <v>51717</v>
      </c>
      <c r="AV327" s="14">
        <v>45941</v>
      </c>
      <c r="AW327" s="14">
        <v>45941</v>
      </c>
      <c r="AY327" s="2">
        <v>5085961</v>
      </c>
      <c r="AZ327" s="32">
        <v>45944</v>
      </c>
      <c r="BA327" s="1">
        <v>55341774</v>
      </c>
      <c r="BB327" s="2">
        <v>9961519</v>
      </c>
      <c r="BC327" s="5">
        <v>45944</v>
      </c>
      <c r="BD327" s="14">
        <v>45944</v>
      </c>
      <c r="BF327" s="14">
        <v>45945</v>
      </c>
      <c r="BG327" s="5">
        <v>45948</v>
      </c>
      <c r="BH327" s="1" t="s">
        <v>2494</v>
      </c>
      <c r="BI327" s="1" t="s">
        <v>273</v>
      </c>
      <c r="BQ327" s="14">
        <v>45941</v>
      </c>
      <c r="BR327" s="5">
        <v>45943</v>
      </c>
    </row>
    <row r="328" spans="1:70" ht="18" customHeight="1" x14ac:dyDescent="0.3">
      <c r="A328" s="2">
        <v>328</v>
      </c>
      <c r="B328" s="2">
        <v>250903089</v>
      </c>
      <c r="C328" s="111">
        <v>45938</v>
      </c>
      <c r="D328" s="2">
        <v>18165.810000000001</v>
      </c>
      <c r="E328" s="2" t="s">
        <v>677</v>
      </c>
      <c r="F328" s="2" t="s">
        <v>1260</v>
      </c>
      <c r="G328" s="2" t="s">
        <v>830</v>
      </c>
      <c r="H328" s="2">
        <v>3</v>
      </c>
      <c r="I328" s="83">
        <v>51725</v>
      </c>
      <c r="J328" s="2" t="s">
        <v>142</v>
      </c>
      <c r="K328" s="2" t="s">
        <v>126</v>
      </c>
      <c r="L328" s="2" t="s">
        <v>854</v>
      </c>
      <c r="M328" s="134">
        <v>45944</v>
      </c>
      <c r="N328" s="56" t="s">
        <v>2497</v>
      </c>
      <c r="Q328" s="67">
        <f t="shared" si="38"/>
        <v>2</v>
      </c>
      <c r="R328" s="29">
        <f t="shared" si="33"/>
        <v>3</v>
      </c>
      <c r="T328" s="1"/>
      <c r="U328" s="1" t="s">
        <v>2434</v>
      </c>
      <c r="V328" s="2" t="s">
        <v>755</v>
      </c>
      <c r="W328" s="1" t="s">
        <v>827</v>
      </c>
      <c r="X328" s="2" t="s">
        <v>2435</v>
      </c>
      <c r="Y328" s="14">
        <v>45940</v>
      </c>
      <c r="Z328" s="14">
        <v>45945</v>
      </c>
      <c r="AA328" s="14">
        <v>45943</v>
      </c>
      <c r="AB328" s="14">
        <v>45943</v>
      </c>
      <c r="AC328" s="14">
        <v>45945</v>
      </c>
      <c r="AD328" s="2" t="s">
        <v>2436</v>
      </c>
      <c r="AE328" s="2">
        <v>4840736353</v>
      </c>
      <c r="AF328" s="2">
        <v>3</v>
      </c>
      <c r="AG328" s="2">
        <v>7.5</v>
      </c>
      <c r="AH328" s="2"/>
      <c r="AI328" s="2" t="s">
        <v>179</v>
      </c>
      <c r="AJ328" s="2"/>
      <c r="AK328" s="14">
        <v>45941</v>
      </c>
      <c r="AL328" s="14">
        <v>45943</v>
      </c>
      <c r="AM328" s="14">
        <v>45943</v>
      </c>
      <c r="AN328" s="2"/>
      <c r="AO328" s="2">
        <v>5085962</v>
      </c>
      <c r="AP328" s="14">
        <v>45944</v>
      </c>
      <c r="AQ328" s="14">
        <v>45945</v>
      </c>
      <c r="AS328" s="14">
        <v>45945</v>
      </c>
      <c r="AT328" s="44">
        <v>51749</v>
      </c>
      <c r="AV328" s="14">
        <v>45945</v>
      </c>
      <c r="AW328" s="14">
        <v>45945</v>
      </c>
      <c r="AY328" s="2">
        <v>5132432</v>
      </c>
      <c r="AZ328" s="32">
        <v>45946</v>
      </c>
      <c r="BA328" s="1">
        <v>1629473</v>
      </c>
      <c r="BB328" s="2" t="s">
        <v>2458</v>
      </c>
      <c r="BC328" s="5">
        <v>45946</v>
      </c>
      <c r="BD328" s="14">
        <v>45946</v>
      </c>
      <c r="BF328" s="14">
        <v>45947</v>
      </c>
      <c r="BG328" s="5">
        <v>45948</v>
      </c>
      <c r="BH328" s="1" t="s">
        <v>2494</v>
      </c>
      <c r="BI328" s="1" t="s">
        <v>273</v>
      </c>
      <c r="BQ328" s="14">
        <v>45945</v>
      </c>
      <c r="BR328" s="14">
        <v>45945</v>
      </c>
    </row>
    <row r="329" spans="1:70" ht="18" customHeight="1" x14ac:dyDescent="0.3">
      <c r="A329" s="2">
        <v>329</v>
      </c>
      <c r="B329" s="2" t="s">
        <v>2454</v>
      </c>
      <c r="C329" s="111">
        <v>45933</v>
      </c>
      <c r="D329" s="2">
        <v>101465</v>
      </c>
      <c r="E329" s="2" t="s">
        <v>677</v>
      </c>
      <c r="F329" s="2" t="s">
        <v>345</v>
      </c>
      <c r="G329" s="2" t="s">
        <v>346</v>
      </c>
      <c r="H329" s="2">
        <v>223</v>
      </c>
      <c r="I329" s="83">
        <v>51761</v>
      </c>
      <c r="J329" s="2" t="s">
        <v>142</v>
      </c>
      <c r="K329" s="2" t="s">
        <v>126</v>
      </c>
      <c r="L329" s="2" t="s">
        <v>854</v>
      </c>
      <c r="M329" s="134">
        <v>45946</v>
      </c>
      <c r="N329" s="56" t="s">
        <v>2531</v>
      </c>
      <c r="Q329" s="67">
        <f t="shared" si="38"/>
        <v>4</v>
      </c>
      <c r="R329" s="29">
        <f t="shared" si="33"/>
        <v>4</v>
      </c>
      <c r="T329" s="1"/>
      <c r="U329" s="1" t="s">
        <v>2456</v>
      </c>
      <c r="V329" s="2" t="s">
        <v>755</v>
      </c>
      <c r="W329" s="1" t="s">
        <v>827</v>
      </c>
      <c r="X329" s="2" t="s">
        <v>2459</v>
      </c>
      <c r="Y329" s="14">
        <v>45945</v>
      </c>
      <c r="Z329" s="14">
        <v>45952</v>
      </c>
      <c r="AA329" s="14">
        <v>45947</v>
      </c>
      <c r="AB329" s="14">
        <v>45947</v>
      </c>
      <c r="AC329" s="14">
        <v>45951</v>
      </c>
      <c r="AD329" s="2">
        <v>15705797212</v>
      </c>
      <c r="AE329" s="2">
        <v>412657604</v>
      </c>
      <c r="AF329" s="2">
        <v>1</v>
      </c>
      <c r="AG329" s="2">
        <v>24</v>
      </c>
      <c r="AH329" s="2"/>
      <c r="AI329" s="2" t="s">
        <v>179</v>
      </c>
      <c r="AJ329" s="2"/>
      <c r="AK329" s="14">
        <v>45945</v>
      </c>
      <c r="AL329" s="14">
        <v>45945</v>
      </c>
      <c r="AM329" s="14">
        <v>45945</v>
      </c>
      <c r="AN329" s="2"/>
      <c r="AO329" s="2">
        <v>5161421</v>
      </c>
      <c r="AP329" s="14">
        <v>45947</v>
      </c>
      <c r="AQ329" s="14">
        <v>45951</v>
      </c>
      <c r="AR329" s="15" t="s">
        <v>2513</v>
      </c>
      <c r="AS329" s="2"/>
      <c r="AT329" s="44">
        <v>51795</v>
      </c>
      <c r="AV329" s="14">
        <v>45948</v>
      </c>
      <c r="AW329" s="14">
        <v>45948</v>
      </c>
      <c r="AY329" s="2">
        <v>5236129</v>
      </c>
      <c r="AZ329" s="5">
        <v>45952</v>
      </c>
      <c r="BA329" s="1">
        <v>8999946</v>
      </c>
      <c r="BB329" s="2">
        <v>1619990</v>
      </c>
      <c r="BC329" s="5">
        <v>45952</v>
      </c>
      <c r="BD329" s="5">
        <v>45952</v>
      </c>
      <c r="BF329" s="14">
        <v>45954</v>
      </c>
      <c r="BG329" s="5">
        <v>45955</v>
      </c>
      <c r="BH329" s="1" t="s">
        <v>1847</v>
      </c>
      <c r="BI329" s="1" t="s">
        <v>273</v>
      </c>
      <c r="BQ329" s="14">
        <v>45948</v>
      </c>
      <c r="BR329" s="5">
        <v>45951</v>
      </c>
    </row>
    <row r="330" spans="1:70" ht="18" customHeight="1" x14ac:dyDescent="0.3">
      <c r="A330" s="2">
        <v>330</v>
      </c>
      <c r="B330" s="8" t="s">
        <v>2469</v>
      </c>
      <c r="C330" s="8" t="s">
        <v>2470</v>
      </c>
      <c r="D330" s="8" t="s">
        <v>1732</v>
      </c>
      <c r="E330" s="2" t="s">
        <v>840</v>
      </c>
      <c r="F330" s="8" t="s">
        <v>225</v>
      </c>
      <c r="G330" s="8" t="s">
        <v>2471</v>
      </c>
      <c r="H330" s="8" t="s">
        <v>1734</v>
      </c>
      <c r="I330" s="83">
        <v>51780</v>
      </c>
      <c r="J330" s="2" t="s">
        <v>1631</v>
      </c>
      <c r="K330" s="2" t="s">
        <v>126</v>
      </c>
      <c r="L330" s="2" t="s">
        <v>1632</v>
      </c>
      <c r="M330" s="134">
        <v>45950</v>
      </c>
      <c r="N330" s="56" t="s">
        <v>2579</v>
      </c>
      <c r="Q330" s="67">
        <f t="shared" si="38"/>
        <v>4</v>
      </c>
      <c r="R330" s="29">
        <f t="shared" si="33"/>
        <v>7</v>
      </c>
      <c r="T330" s="1">
        <v>2044</v>
      </c>
      <c r="U330" s="8" t="s">
        <v>2472</v>
      </c>
      <c r="V330" s="2" t="s">
        <v>384</v>
      </c>
      <c r="W330" s="2" t="s">
        <v>421</v>
      </c>
      <c r="X330" s="2">
        <v>20255122015</v>
      </c>
      <c r="Y330" s="14">
        <v>45944</v>
      </c>
      <c r="Z330" s="14">
        <v>45954</v>
      </c>
      <c r="AA330" s="14">
        <v>45926</v>
      </c>
      <c r="AB330" s="14">
        <v>45950</v>
      </c>
      <c r="AC330" s="14">
        <v>45954</v>
      </c>
      <c r="AD330" s="2" t="s">
        <v>2473</v>
      </c>
      <c r="AE330" s="2"/>
      <c r="AF330" s="2">
        <v>10</v>
      </c>
      <c r="AG330" s="2">
        <v>17.29</v>
      </c>
      <c r="AH330" s="2"/>
      <c r="AI330" s="2" t="s">
        <v>180</v>
      </c>
      <c r="AJ330" s="2"/>
      <c r="AK330" s="14">
        <v>45946</v>
      </c>
      <c r="AL330" s="14">
        <v>45946</v>
      </c>
      <c r="AM330" s="14">
        <v>45946</v>
      </c>
      <c r="AN330" s="2"/>
      <c r="AO330" s="2">
        <v>5221349</v>
      </c>
      <c r="AP330" s="14">
        <v>45951</v>
      </c>
      <c r="AQ330" s="14">
        <v>45954</v>
      </c>
      <c r="AS330" s="2"/>
      <c r="AT330" s="44">
        <v>51828</v>
      </c>
      <c r="AV330" s="14">
        <v>45952</v>
      </c>
      <c r="AW330" s="14">
        <v>45952</v>
      </c>
      <c r="AY330" s="2">
        <v>5349166</v>
      </c>
      <c r="AZ330" s="5">
        <v>45958</v>
      </c>
      <c r="BA330" s="1">
        <v>27634485</v>
      </c>
      <c r="BB330" s="2">
        <v>4974207</v>
      </c>
      <c r="BC330" s="5">
        <v>45958</v>
      </c>
      <c r="BD330" s="14">
        <v>45959</v>
      </c>
      <c r="BF330" s="14">
        <v>45960</v>
      </c>
      <c r="BG330" s="5">
        <v>45961</v>
      </c>
      <c r="BH330" s="1" t="s">
        <v>2578</v>
      </c>
      <c r="BI330" s="1" t="s">
        <v>273</v>
      </c>
      <c r="BQ330" s="14">
        <v>45952</v>
      </c>
      <c r="BR330" s="5">
        <v>45957</v>
      </c>
    </row>
    <row r="331" spans="1:70" ht="18" customHeight="1" x14ac:dyDescent="0.3">
      <c r="A331" s="2">
        <v>331</v>
      </c>
      <c r="B331" s="2" t="s">
        <v>2455</v>
      </c>
      <c r="C331" s="111">
        <v>45933</v>
      </c>
      <c r="D331" s="2">
        <v>4095</v>
      </c>
      <c r="E331" s="2" t="s">
        <v>677</v>
      </c>
      <c r="F331" s="2" t="s">
        <v>345</v>
      </c>
      <c r="G331" s="2" t="s">
        <v>346</v>
      </c>
      <c r="H331" s="2">
        <v>9</v>
      </c>
      <c r="I331" s="83">
        <v>51762</v>
      </c>
      <c r="J331" s="2" t="s">
        <v>142</v>
      </c>
      <c r="K331" s="2" t="s">
        <v>126</v>
      </c>
      <c r="L331" s="2" t="s">
        <v>854</v>
      </c>
      <c r="M331" s="134">
        <v>45946</v>
      </c>
      <c r="N331" s="56" t="s">
        <v>2594</v>
      </c>
      <c r="Q331" s="67">
        <f t="shared" si="38"/>
        <v>4</v>
      </c>
      <c r="R331" s="29">
        <f t="shared" si="33"/>
        <v>11</v>
      </c>
      <c r="T331" s="1"/>
      <c r="U331" s="1" t="s">
        <v>2457</v>
      </c>
      <c r="V331" s="2" t="s">
        <v>755</v>
      </c>
      <c r="W331" s="1" t="s">
        <v>827</v>
      </c>
      <c r="X331" s="2" t="s">
        <v>2460</v>
      </c>
      <c r="Y331" s="14">
        <v>45945</v>
      </c>
      <c r="Z331" s="14">
        <v>45952</v>
      </c>
      <c r="AA331" s="14">
        <v>45947</v>
      </c>
      <c r="AB331" s="14">
        <v>45947</v>
      </c>
      <c r="AC331" s="14">
        <v>45951</v>
      </c>
      <c r="AD331" s="2">
        <v>15705797212</v>
      </c>
      <c r="AE331" s="2">
        <v>412657605</v>
      </c>
      <c r="AF331" s="2">
        <v>1</v>
      </c>
      <c r="AG331" s="2">
        <v>2</v>
      </c>
      <c r="AH331" s="2"/>
      <c r="AI331" s="2" t="s">
        <v>179</v>
      </c>
      <c r="AJ331" s="2"/>
      <c r="AK331" s="14">
        <v>45945</v>
      </c>
      <c r="AL331" s="14">
        <v>45945</v>
      </c>
      <c r="AM331" s="14">
        <v>45945</v>
      </c>
      <c r="AN331" s="2"/>
      <c r="AO331" s="2">
        <v>5161987</v>
      </c>
      <c r="AP331" s="14">
        <v>45947</v>
      </c>
      <c r="AQ331" s="14">
        <v>45951</v>
      </c>
      <c r="AR331" s="15" t="s">
        <v>2514</v>
      </c>
      <c r="AS331" s="2"/>
      <c r="AT331" s="44">
        <v>51797</v>
      </c>
      <c r="AV331" s="14">
        <v>45948</v>
      </c>
      <c r="AW331" s="14">
        <v>45948</v>
      </c>
      <c r="AY331" s="2">
        <v>5236308</v>
      </c>
      <c r="AZ331" s="32">
        <v>45952</v>
      </c>
      <c r="BA331" s="1">
        <v>363227</v>
      </c>
      <c r="BB331" s="2">
        <v>65381</v>
      </c>
      <c r="BC331" s="5">
        <v>45952</v>
      </c>
      <c r="BD331" s="5">
        <v>45952</v>
      </c>
      <c r="BF331" s="5">
        <v>45954</v>
      </c>
      <c r="BG331" s="5">
        <v>45962</v>
      </c>
      <c r="BH331" s="1" t="s">
        <v>2593</v>
      </c>
      <c r="BI331" s="1" t="s">
        <v>273</v>
      </c>
      <c r="BQ331" s="14">
        <v>45948</v>
      </c>
      <c r="BR331" s="5">
        <v>45951</v>
      </c>
    </row>
    <row r="332" spans="1:70" ht="18" customHeight="1" x14ac:dyDescent="0.3">
      <c r="A332" s="2">
        <v>332</v>
      </c>
      <c r="B332" s="2">
        <v>251008913</v>
      </c>
      <c r="C332" s="111">
        <v>45946</v>
      </c>
      <c r="D332" s="2">
        <v>12720</v>
      </c>
      <c r="E332" s="2" t="s">
        <v>677</v>
      </c>
      <c r="F332" s="2" t="s">
        <v>2504</v>
      </c>
      <c r="G332" s="2" t="s">
        <v>415</v>
      </c>
      <c r="H332" s="2">
        <v>2</v>
      </c>
      <c r="I332" s="83">
        <v>51811</v>
      </c>
      <c r="J332" s="2" t="s">
        <v>142</v>
      </c>
      <c r="K332" s="2" t="s">
        <v>126</v>
      </c>
      <c r="L332" s="2" t="s">
        <v>854</v>
      </c>
      <c r="M332" s="134">
        <v>45953</v>
      </c>
      <c r="N332" s="56" t="s">
        <v>2595</v>
      </c>
      <c r="Q332" s="67">
        <f t="shared" si="38"/>
        <v>2</v>
      </c>
      <c r="R332" s="29">
        <f t="shared" si="33"/>
        <v>7</v>
      </c>
      <c r="T332" s="1">
        <v>167</v>
      </c>
      <c r="U332" s="1" t="s">
        <v>2217</v>
      </c>
      <c r="V332" s="2" t="s">
        <v>755</v>
      </c>
      <c r="W332" s="1" t="s">
        <v>827</v>
      </c>
      <c r="X332" s="2" t="s">
        <v>2505</v>
      </c>
      <c r="Y332" s="14">
        <v>45947</v>
      </c>
      <c r="Z332" s="14">
        <v>45952</v>
      </c>
      <c r="AA332" s="14">
        <v>45953</v>
      </c>
      <c r="AB332" s="14">
        <v>45953</v>
      </c>
      <c r="AC332" s="14">
        <v>45955</v>
      </c>
      <c r="AD332" s="2">
        <v>60751010455</v>
      </c>
      <c r="AE332" s="2">
        <v>4840738024</v>
      </c>
      <c r="AF332" s="2">
        <v>2</v>
      </c>
      <c r="AG332" s="2">
        <v>5.5</v>
      </c>
      <c r="AH332" s="2"/>
      <c r="AI332" s="2" t="s">
        <v>179</v>
      </c>
      <c r="AJ332" s="2"/>
      <c r="AK332" s="14">
        <v>45951</v>
      </c>
      <c r="AL332" s="14">
        <v>45951</v>
      </c>
      <c r="AM332" s="14">
        <v>45952</v>
      </c>
      <c r="AN332" s="2"/>
      <c r="AO332" s="2">
        <v>5272864</v>
      </c>
      <c r="AP332" s="14">
        <v>45954</v>
      </c>
      <c r="AQ332" s="14">
        <v>45955</v>
      </c>
      <c r="AS332" s="2"/>
      <c r="AT332" s="44">
        <v>51855</v>
      </c>
      <c r="AV332" s="14">
        <v>45955</v>
      </c>
      <c r="AW332" s="14">
        <v>45957</v>
      </c>
      <c r="AY332" s="15">
        <v>5363909</v>
      </c>
      <c r="AZ332" s="93">
        <v>45958</v>
      </c>
      <c r="BA332" s="1">
        <v>1128264</v>
      </c>
      <c r="BB332" s="2">
        <v>203088</v>
      </c>
      <c r="BC332" s="5">
        <v>45959</v>
      </c>
      <c r="BD332" s="14">
        <v>45960</v>
      </c>
      <c r="BF332" s="5">
        <v>45962</v>
      </c>
      <c r="BG332" s="5">
        <v>45962</v>
      </c>
      <c r="BH332" s="1" t="s">
        <v>2593</v>
      </c>
      <c r="BI332" s="1" t="s">
        <v>273</v>
      </c>
      <c r="BQ332" s="14">
        <v>45957</v>
      </c>
      <c r="BR332" s="5">
        <v>45958</v>
      </c>
    </row>
    <row r="333" spans="1:70" ht="18" customHeight="1" x14ac:dyDescent="0.3">
      <c r="A333" s="2">
        <v>333</v>
      </c>
      <c r="B333" s="2">
        <v>251008919</v>
      </c>
      <c r="C333" s="111">
        <v>45946</v>
      </c>
      <c r="D333" s="2">
        <v>50880</v>
      </c>
      <c r="E333" s="2" t="s">
        <v>677</v>
      </c>
      <c r="F333" s="2" t="s">
        <v>2504</v>
      </c>
      <c r="G333" s="2" t="s">
        <v>415</v>
      </c>
      <c r="H333" s="2">
        <v>8</v>
      </c>
      <c r="I333" s="83">
        <v>51812</v>
      </c>
      <c r="J333" s="2" t="s">
        <v>142</v>
      </c>
      <c r="K333" s="2" t="s">
        <v>126</v>
      </c>
      <c r="L333" s="2" t="s">
        <v>854</v>
      </c>
      <c r="M333" s="134">
        <v>45953</v>
      </c>
      <c r="N333" s="56" t="s">
        <v>2596</v>
      </c>
      <c r="Q333" s="67">
        <f t="shared" si="38"/>
        <v>2</v>
      </c>
      <c r="R333" s="29">
        <f t="shared" si="33"/>
        <v>7</v>
      </c>
      <c r="T333" s="1"/>
      <c r="U333" s="1" t="s">
        <v>2506</v>
      </c>
      <c r="V333" s="2" t="s">
        <v>755</v>
      </c>
      <c r="W333" s="1" t="s">
        <v>827</v>
      </c>
      <c r="X333" s="2" t="s">
        <v>2507</v>
      </c>
      <c r="Y333" s="14">
        <v>45947</v>
      </c>
      <c r="Z333" s="14">
        <v>45952</v>
      </c>
      <c r="AA333" s="14">
        <v>45953</v>
      </c>
      <c r="AB333" s="14">
        <v>45953</v>
      </c>
      <c r="AC333" s="14">
        <v>45955</v>
      </c>
      <c r="AD333" s="2">
        <v>60751010455</v>
      </c>
      <c r="AE333" s="2">
        <v>4840738025</v>
      </c>
      <c r="AF333" s="2">
        <v>8</v>
      </c>
      <c r="AG333" s="2">
        <v>15</v>
      </c>
      <c r="AH333" s="2"/>
      <c r="AI333" s="2" t="s">
        <v>179</v>
      </c>
      <c r="AJ333" s="2"/>
      <c r="AK333" s="14">
        <v>45951</v>
      </c>
      <c r="AL333" s="14">
        <v>45951</v>
      </c>
      <c r="AM333" s="14">
        <v>45952</v>
      </c>
      <c r="AN333" s="2"/>
      <c r="AO333" s="2">
        <v>5272865</v>
      </c>
      <c r="AP333" s="14">
        <v>45954</v>
      </c>
      <c r="AQ333" s="14">
        <v>45955</v>
      </c>
      <c r="AS333" s="2"/>
      <c r="AT333" s="44">
        <v>51856</v>
      </c>
      <c r="AV333" s="14">
        <v>45955</v>
      </c>
      <c r="AW333" s="14">
        <v>45956</v>
      </c>
      <c r="AY333" s="1">
        <v>5370437</v>
      </c>
      <c r="AZ333" s="3">
        <v>45959</v>
      </c>
      <c r="BA333" s="1">
        <v>4513056</v>
      </c>
      <c r="BB333" s="2">
        <v>812350</v>
      </c>
      <c r="BC333" s="5">
        <v>45959</v>
      </c>
      <c r="BD333" s="14">
        <v>45959</v>
      </c>
      <c r="BF333" s="5">
        <v>45960</v>
      </c>
      <c r="BG333" s="5">
        <v>45962</v>
      </c>
      <c r="BH333" s="1" t="s">
        <v>2593</v>
      </c>
      <c r="BI333" s="1" t="s">
        <v>273</v>
      </c>
      <c r="BQ333" s="14">
        <v>45956</v>
      </c>
      <c r="BR333" s="5">
        <v>45958</v>
      </c>
    </row>
    <row r="334" spans="1:70" ht="18" customHeight="1" x14ac:dyDescent="0.3">
      <c r="A334" s="2">
        <v>334</v>
      </c>
      <c r="B334" s="2">
        <v>251011445</v>
      </c>
      <c r="C334" s="111">
        <v>45947</v>
      </c>
      <c r="D334" s="2">
        <v>108735.64</v>
      </c>
      <c r="E334" s="2" t="s">
        <v>677</v>
      </c>
      <c r="F334" s="2" t="s">
        <v>1198</v>
      </c>
      <c r="G334" s="2" t="s">
        <v>1884</v>
      </c>
      <c r="H334" s="2">
        <v>2</v>
      </c>
      <c r="I334" s="83">
        <v>51814</v>
      </c>
      <c r="J334" s="2" t="s">
        <v>142</v>
      </c>
      <c r="K334" s="2" t="s">
        <v>126</v>
      </c>
      <c r="L334" s="2" t="s">
        <v>854</v>
      </c>
      <c r="M334" s="134">
        <v>45953</v>
      </c>
      <c r="N334" s="56" t="s">
        <v>2597</v>
      </c>
      <c r="Q334" s="67">
        <f t="shared" si="38"/>
        <v>2</v>
      </c>
      <c r="R334" s="29">
        <f t="shared" si="33"/>
        <v>7</v>
      </c>
      <c r="T334" s="1"/>
      <c r="U334" s="1" t="s">
        <v>2510</v>
      </c>
      <c r="V334" s="2" t="s">
        <v>755</v>
      </c>
      <c r="W334" s="1" t="s">
        <v>827</v>
      </c>
      <c r="X334" s="2" t="s">
        <v>2511</v>
      </c>
      <c r="Y334" s="14">
        <v>45947</v>
      </c>
      <c r="Z334" s="14">
        <v>45952</v>
      </c>
      <c r="AA334" s="14">
        <v>45953</v>
      </c>
      <c r="AB334" s="14">
        <v>45953</v>
      </c>
      <c r="AC334" s="14">
        <v>45955</v>
      </c>
      <c r="AD334" s="2">
        <v>60751010455</v>
      </c>
      <c r="AE334" s="2">
        <v>4840738154</v>
      </c>
      <c r="AF334" s="2">
        <v>2</v>
      </c>
      <c r="AG334" s="2">
        <v>6</v>
      </c>
      <c r="AH334" s="2"/>
      <c r="AI334" s="2" t="s">
        <v>179</v>
      </c>
      <c r="AJ334" s="2"/>
      <c r="AK334" s="14">
        <v>45951</v>
      </c>
      <c r="AL334" s="14">
        <v>45951</v>
      </c>
      <c r="AM334" s="14">
        <v>45952</v>
      </c>
      <c r="AN334" s="2"/>
      <c r="AO334" s="2">
        <v>5274277</v>
      </c>
      <c r="AP334" s="14">
        <v>45954</v>
      </c>
      <c r="AQ334" s="14">
        <v>45955</v>
      </c>
      <c r="AS334" s="2"/>
      <c r="AT334" s="44">
        <v>51858</v>
      </c>
      <c r="AV334" s="14">
        <v>45955</v>
      </c>
      <c r="AW334" s="14">
        <v>45956</v>
      </c>
      <c r="AY334" s="1">
        <v>5370438</v>
      </c>
      <c r="AZ334" s="3">
        <v>45959</v>
      </c>
      <c r="BA334" s="1">
        <v>9644851</v>
      </c>
      <c r="BB334" s="2">
        <v>1736073</v>
      </c>
      <c r="BC334" s="5">
        <v>45959</v>
      </c>
      <c r="BD334" s="14">
        <v>45959</v>
      </c>
      <c r="BF334" s="5">
        <v>45960</v>
      </c>
      <c r="BG334" s="5">
        <v>45962</v>
      </c>
      <c r="BH334" s="1" t="s">
        <v>2593</v>
      </c>
      <c r="BI334" s="1" t="s">
        <v>273</v>
      </c>
      <c r="BQ334" s="14">
        <v>45956</v>
      </c>
      <c r="BR334" s="5">
        <v>45958</v>
      </c>
    </row>
    <row r="335" spans="1:70" ht="18" customHeight="1" x14ac:dyDescent="0.3">
      <c r="A335" s="2">
        <v>335</v>
      </c>
      <c r="B335" s="2">
        <v>251011442</v>
      </c>
      <c r="C335" s="111">
        <v>45947</v>
      </c>
      <c r="D335" s="2">
        <v>54367.82</v>
      </c>
      <c r="E335" s="2" t="s">
        <v>677</v>
      </c>
      <c r="F335" s="2" t="s">
        <v>1198</v>
      </c>
      <c r="G335" s="2" t="s">
        <v>1884</v>
      </c>
      <c r="H335" s="2">
        <v>1</v>
      </c>
      <c r="I335" s="83">
        <v>51815</v>
      </c>
      <c r="J335" s="2" t="s">
        <v>142</v>
      </c>
      <c r="K335" s="2" t="s">
        <v>126</v>
      </c>
      <c r="L335" s="2" t="s">
        <v>854</v>
      </c>
      <c r="M335" s="134">
        <v>45953</v>
      </c>
      <c r="N335" s="56" t="s">
        <v>2597</v>
      </c>
      <c r="Q335" s="67">
        <f t="shared" si="38"/>
        <v>2</v>
      </c>
      <c r="R335" s="29">
        <f t="shared" si="33"/>
        <v>7</v>
      </c>
      <c r="T335" s="1"/>
      <c r="U335" s="1" t="s">
        <v>2217</v>
      </c>
      <c r="V335" s="2" t="s">
        <v>755</v>
      </c>
      <c r="W335" s="1" t="s">
        <v>827</v>
      </c>
      <c r="X335" s="2" t="s">
        <v>2512</v>
      </c>
      <c r="Y335" s="14">
        <v>45947</v>
      </c>
      <c r="Z335" s="14">
        <v>45952</v>
      </c>
      <c r="AA335" s="14">
        <v>45953</v>
      </c>
      <c r="AB335" s="14">
        <v>45953</v>
      </c>
      <c r="AC335" s="14">
        <v>45955</v>
      </c>
      <c r="AD335" s="2">
        <v>60751010455</v>
      </c>
      <c r="AE335" s="2">
        <v>4840738155</v>
      </c>
      <c r="AF335" s="2">
        <v>1</v>
      </c>
      <c r="AG335" s="2">
        <v>3</v>
      </c>
      <c r="AH335" s="2"/>
      <c r="AI335" s="2" t="s">
        <v>179</v>
      </c>
      <c r="AJ335" s="2"/>
      <c r="AK335" s="14">
        <v>45951</v>
      </c>
      <c r="AL335" s="14">
        <v>45951</v>
      </c>
      <c r="AM335" s="14">
        <v>45952</v>
      </c>
      <c r="AN335" s="2"/>
      <c r="AO335" s="2">
        <v>5275153</v>
      </c>
      <c r="AP335" s="14">
        <v>45954</v>
      </c>
      <c r="AQ335" s="14">
        <v>45955</v>
      </c>
      <c r="AS335" s="2"/>
      <c r="AT335" s="44">
        <v>51859</v>
      </c>
      <c r="AV335" s="14">
        <v>45955</v>
      </c>
      <c r="AW335" s="14">
        <v>45956</v>
      </c>
      <c r="AY335" s="1">
        <v>5370435</v>
      </c>
      <c r="AZ335" s="3">
        <v>45959</v>
      </c>
      <c r="BA335" s="1">
        <v>4822426</v>
      </c>
      <c r="BB335" s="2">
        <v>868037</v>
      </c>
      <c r="BC335" s="5">
        <v>45959</v>
      </c>
      <c r="BD335" s="14">
        <v>45959</v>
      </c>
      <c r="BF335" s="5">
        <v>45960</v>
      </c>
      <c r="BG335" s="5">
        <v>45962</v>
      </c>
      <c r="BH335" s="1" t="s">
        <v>2593</v>
      </c>
      <c r="BI335" s="1" t="s">
        <v>273</v>
      </c>
      <c r="BQ335" s="14">
        <v>45956</v>
      </c>
      <c r="BR335" s="5">
        <v>45958</v>
      </c>
    </row>
    <row r="336" spans="1:70" ht="18" customHeight="1" x14ac:dyDescent="0.3">
      <c r="A336" s="2">
        <v>336</v>
      </c>
      <c r="B336" s="2">
        <v>7011120</v>
      </c>
      <c r="C336" s="111">
        <v>45930</v>
      </c>
      <c r="D336" s="2">
        <v>104715</v>
      </c>
      <c r="E336" s="2" t="s">
        <v>840</v>
      </c>
      <c r="F336" s="8" t="s">
        <v>2448</v>
      </c>
      <c r="G336" s="8" t="s">
        <v>1332</v>
      </c>
      <c r="H336" s="8" t="s">
        <v>653</v>
      </c>
      <c r="I336" s="83">
        <v>51753</v>
      </c>
      <c r="J336" s="2" t="s">
        <v>142</v>
      </c>
      <c r="K336" s="2" t="s">
        <v>126</v>
      </c>
      <c r="L336" s="2" t="s">
        <v>854</v>
      </c>
      <c r="M336" s="134">
        <v>45946</v>
      </c>
      <c r="N336" s="56" t="s">
        <v>2600</v>
      </c>
      <c r="Q336" s="67">
        <f t="shared" ref="Q336:Q341" si="39">AQ336-AB336</f>
        <v>2</v>
      </c>
      <c r="R336" s="29">
        <f t="shared" si="33"/>
        <v>16</v>
      </c>
      <c r="T336" s="1"/>
      <c r="U336" s="1" t="s">
        <v>2449</v>
      </c>
      <c r="V336" s="1" t="s">
        <v>645</v>
      </c>
      <c r="W336" s="79" t="s">
        <v>426</v>
      </c>
      <c r="X336" s="2">
        <v>20255120569</v>
      </c>
      <c r="Y336" s="14">
        <v>45942</v>
      </c>
      <c r="Z336" s="14">
        <v>45954</v>
      </c>
      <c r="AA336" s="14">
        <v>45946</v>
      </c>
      <c r="AB336" s="14">
        <v>45946</v>
      </c>
      <c r="AC336" s="14">
        <v>45948</v>
      </c>
      <c r="AD336" s="2">
        <v>17615840123</v>
      </c>
      <c r="AE336" s="2" t="s">
        <v>2450</v>
      </c>
      <c r="AF336" s="2">
        <v>3</v>
      </c>
      <c r="AG336" s="2">
        <v>884</v>
      </c>
      <c r="AH336" s="2"/>
      <c r="AI336" s="2" t="s">
        <v>180</v>
      </c>
      <c r="AJ336" s="2"/>
      <c r="AK336" s="14">
        <v>45945</v>
      </c>
      <c r="AL336" s="14">
        <v>45945</v>
      </c>
      <c r="AM336" s="14">
        <v>45945</v>
      </c>
      <c r="AN336" s="2"/>
      <c r="AO336" s="2">
        <v>5161017</v>
      </c>
      <c r="AP336" s="14">
        <v>45947</v>
      </c>
      <c r="AQ336" s="14">
        <v>45948</v>
      </c>
      <c r="AR336" s="15" t="s">
        <v>2500</v>
      </c>
      <c r="AS336" s="2"/>
      <c r="AT336" s="44">
        <v>51791</v>
      </c>
      <c r="AV336" s="14">
        <v>45948</v>
      </c>
      <c r="AW336" s="14">
        <v>45948</v>
      </c>
      <c r="AY336" s="2">
        <v>5349737</v>
      </c>
      <c r="AZ336" s="32">
        <v>45958</v>
      </c>
      <c r="BA336" s="1">
        <v>9288220.5</v>
      </c>
      <c r="BB336" s="2">
        <v>1671880</v>
      </c>
      <c r="BC336" s="5">
        <v>45960</v>
      </c>
      <c r="BD336" s="14">
        <v>45961</v>
      </c>
      <c r="BF336" s="5">
        <v>45962</v>
      </c>
      <c r="BG336" s="5">
        <v>45964</v>
      </c>
      <c r="BH336" s="1" t="s">
        <v>1917</v>
      </c>
      <c r="BI336" s="1" t="s">
        <v>273</v>
      </c>
      <c r="BQ336" s="14">
        <v>45948</v>
      </c>
      <c r="BR336" s="5">
        <v>45957</v>
      </c>
    </row>
    <row r="337" spans="1:70" ht="18" customHeight="1" x14ac:dyDescent="0.3">
      <c r="A337" s="2">
        <v>337</v>
      </c>
      <c r="B337" s="2">
        <v>7010539</v>
      </c>
      <c r="C337" s="111">
        <v>45930</v>
      </c>
      <c r="D337" s="2">
        <v>53521</v>
      </c>
      <c r="E337" s="2" t="s">
        <v>840</v>
      </c>
      <c r="F337" s="8" t="s">
        <v>2448</v>
      </c>
      <c r="G337" s="8" t="s">
        <v>1332</v>
      </c>
      <c r="H337" s="8" t="s">
        <v>718</v>
      </c>
      <c r="I337" s="83">
        <v>51754</v>
      </c>
      <c r="J337" s="2" t="s">
        <v>142</v>
      </c>
      <c r="K337" s="2" t="s">
        <v>126</v>
      </c>
      <c r="L337" s="2" t="s">
        <v>854</v>
      </c>
      <c r="M337" s="134">
        <v>45946</v>
      </c>
      <c r="N337" s="56" t="s">
        <v>2601</v>
      </c>
      <c r="Q337" s="67">
        <f t="shared" si="39"/>
        <v>2</v>
      </c>
      <c r="R337" s="29">
        <f t="shared" si="33"/>
        <v>16</v>
      </c>
      <c r="T337" s="1">
        <v>351</v>
      </c>
      <c r="U337" s="1" t="s">
        <v>2449</v>
      </c>
      <c r="V337" s="1" t="s">
        <v>645</v>
      </c>
      <c r="W337" s="79" t="s">
        <v>426</v>
      </c>
      <c r="X337" s="2">
        <v>20255120842</v>
      </c>
      <c r="Y337" s="14">
        <v>45943</v>
      </c>
      <c r="Z337" s="14">
        <v>45954</v>
      </c>
      <c r="AA337" s="14">
        <v>45946</v>
      </c>
      <c r="AB337" s="14">
        <v>45946</v>
      </c>
      <c r="AC337" s="14">
        <v>45948</v>
      </c>
      <c r="AD337" s="2" t="s">
        <v>2453</v>
      </c>
      <c r="AE337" s="2" t="s">
        <v>2451</v>
      </c>
      <c r="AF337" s="2">
        <v>2</v>
      </c>
      <c r="AG337" s="2">
        <v>498</v>
      </c>
      <c r="AH337" s="2"/>
      <c r="AI337" s="2" t="s">
        <v>180</v>
      </c>
      <c r="AJ337" s="2"/>
      <c r="AK337" s="14">
        <v>45945</v>
      </c>
      <c r="AL337" s="14">
        <v>45945</v>
      </c>
      <c r="AM337" s="14">
        <v>45945</v>
      </c>
      <c r="AN337" s="2"/>
      <c r="AO337" s="2">
        <v>5150138</v>
      </c>
      <c r="AP337" s="14">
        <v>45946</v>
      </c>
      <c r="AQ337" s="14">
        <v>45948</v>
      </c>
      <c r="AR337" s="15" t="s">
        <v>2501</v>
      </c>
      <c r="AS337" s="2"/>
      <c r="AT337" s="44">
        <v>51792</v>
      </c>
      <c r="AV337" s="14">
        <v>45948</v>
      </c>
      <c r="AW337" s="14">
        <v>45948</v>
      </c>
      <c r="AY337" s="2">
        <v>5349164</v>
      </c>
      <c r="AZ337" s="5">
        <v>45958</v>
      </c>
      <c r="BA337" s="1">
        <v>4747313</v>
      </c>
      <c r="BB337" s="2">
        <v>854516</v>
      </c>
      <c r="BC337" s="5">
        <v>45958</v>
      </c>
      <c r="BD337" s="14">
        <v>45959</v>
      </c>
      <c r="BF337" s="5">
        <v>45960</v>
      </c>
      <c r="BG337" s="5">
        <v>45964</v>
      </c>
      <c r="BH337" s="1" t="s">
        <v>1917</v>
      </c>
      <c r="BI337" s="1" t="s">
        <v>273</v>
      </c>
      <c r="BQ337" s="14">
        <v>45948</v>
      </c>
      <c r="BR337" s="5">
        <v>45957</v>
      </c>
    </row>
    <row r="338" spans="1:70" ht="18" customHeight="1" x14ac:dyDescent="0.3">
      <c r="A338" s="2">
        <v>338</v>
      </c>
      <c r="B338" s="2">
        <v>7011077</v>
      </c>
      <c r="C338" s="111">
        <v>45930</v>
      </c>
      <c r="D338" s="2">
        <v>81445</v>
      </c>
      <c r="E338" s="2" t="s">
        <v>840</v>
      </c>
      <c r="F338" s="8" t="s">
        <v>2448</v>
      </c>
      <c r="G338" s="8" t="s">
        <v>1332</v>
      </c>
      <c r="H338" s="8" t="s">
        <v>651</v>
      </c>
      <c r="I338" s="83">
        <v>51755</v>
      </c>
      <c r="J338" s="2" t="s">
        <v>142</v>
      </c>
      <c r="K338" s="2" t="s">
        <v>126</v>
      </c>
      <c r="L338" s="2" t="s">
        <v>854</v>
      </c>
      <c r="M338" s="134">
        <v>45946</v>
      </c>
      <c r="N338" s="56" t="s">
        <v>2601</v>
      </c>
      <c r="Q338" s="67">
        <f t="shared" si="39"/>
        <v>2</v>
      </c>
      <c r="R338" s="29">
        <f t="shared" si="33"/>
        <v>16</v>
      </c>
      <c r="T338" s="137">
        <v>534</v>
      </c>
      <c r="U338" s="1" t="s">
        <v>2449</v>
      </c>
      <c r="V338" s="1" t="s">
        <v>645</v>
      </c>
      <c r="W338" s="79" t="s">
        <v>426</v>
      </c>
      <c r="X338" s="2">
        <v>20255120848</v>
      </c>
      <c r="Y338" s="14">
        <v>45943</v>
      </c>
      <c r="Z338" s="14">
        <v>45954</v>
      </c>
      <c r="AA338" s="14">
        <v>45946</v>
      </c>
      <c r="AB338" s="14">
        <v>45946</v>
      </c>
      <c r="AC338" s="14">
        <v>45948</v>
      </c>
      <c r="AD338" s="2" t="s">
        <v>2453</v>
      </c>
      <c r="AE338" s="2" t="s">
        <v>2452</v>
      </c>
      <c r="AF338" s="2">
        <v>3</v>
      </c>
      <c r="AG338" s="2">
        <v>687</v>
      </c>
      <c r="AH338" s="2"/>
      <c r="AI338" s="2" t="s">
        <v>180</v>
      </c>
      <c r="AJ338" s="2"/>
      <c r="AK338" s="14">
        <v>45945</v>
      </c>
      <c r="AL338" s="14">
        <v>45945</v>
      </c>
      <c r="AM338" s="14">
        <v>45945</v>
      </c>
      <c r="AN338" s="2"/>
      <c r="AO338" s="2">
        <v>5150136</v>
      </c>
      <c r="AP338" s="14">
        <v>45946</v>
      </c>
      <c r="AQ338" s="14">
        <v>45948</v>
      </c>
      <c r="AR338" s="15" t="s">
        <v>2502</v>
      </c>
      <c r="AS338" s="2"/>
      <c r="AT338" s="44">
        <v>51793</v>
      </c>
      <c r="AV338" s="14">
        <v>45948</v>
      </c>
      <c r="AW338" s="14">
        <v>45948</v>
      </c>
      <c r="AY338" s="2">
        <v>5349165</v>
      </c>
      <c r="AZ338" s="5">
        <v>45958</v>
      </c>
      <c r="BA338" s="1">
        <v>7224172</v>
      </c>
      <c r="BB338" s="2">
        <v>1300351</v>
      </c>
      <c r="BC338" s="5">
        <v>45958</v>
      </c>
      <c r="BD338" s="14">
        <v>45959</v>
      </c>
      <c r="BF338" s="5">
        <v>45960</v>
      </c>
      <c r="BG338" s="5">
        <v>45964</v>
      </c>
      <c r="BH338" s="1" t="s">
        <v>1917</v>
      </c>
      <c r="BI338" s="1" t="s">
        <v>273</v>
      </c>
      <c r="BQ338" s="14">
        <v>45948</v>
      </c>
      <c r="BR338" s="5">
        <v>45957</v>
      </c>
    </row>
    <row r="339" spans="1:70" ht="18" customHeight="1" x14ac:dyDescent="0.3">
      <c r="A339" s="2">
        <v>339</v>
      </c>
      <c r="B339" s="2">
        <v>7010070</v>
      </c>
      <c r="C339" s="111">
        <v>45929</v>
      </c>
      <c r="D339" s="2">
        <v>56079</v>
      </c>
      <c r="E339" s="2" t="s">
        <v>840</v>
      </c>
      <c r="F339" s="8" t="s">
        <v>642</v>
      </c>
      <c r="G339" s="8" t="s">
        <v>1798</v>
      </c>
      <c r="H339" s="8" t="s">
        <v>443</v>
      </c>
      <c r="I339" s="83">
        <v>51777</v>
      </c>
      <c r="J339" s="2" t="s">
        <v>1631</v>
      </c>
      <c r="K339" s="2" t="s">
        <v>126</v>
      </c>
      <c r="L339" s="2" t="s">
        <v>1632</v>
      </c>
      <c r="M339" s="134">
        <v>45950</v>
      </c>
      <c r="N339" s="56" t="s">
        <v>2602</v>
      </c>
      <c r="Q339" s="67">
        <f t="shared" si="39"/>
        <v>4</v>
      </c>
      <c r="R339" s="29">
        <f t="shared" si="33"/>
        <v>10</v>
      </c>
      <c r="T339" s="1">
        <v>368</v>
      </c>
      <c r="U339" s="1" t="s">
        <v>2461</v>
      </c>
      <c r="V339" s="1" t="s">
        <v>645</v>
      </c>
      <c r="W339" s="79" t="s">
        <v>426</v>
      </c>
      <c r="X339" s="2">
        <v>20255122032</v>
      </c>
      <c r="Y339" s="14">
        <v>45944</v>
      </c>
      <c r="Z339" s="14">
        <v>45954</v>
      </c>
      <c r="AA339" s="14">
        <v>45926</v>
      </c>
      <c r="AB339" s="14">
        <v>45950</v>
      </c>
      <c r="AC339" s="14">
        <v>45954</v>
      </c>
      <c r="AD339" s="2" t="s">
        <v>2492</v>
      </c>
      <c r="AE339" s="2"/>
      <c r="AF339" s="2">
        <v>2</v>
      </c>
      <c r="AG339" s="2">
        <v>3.38</v>
      </c>
      <c r="AH339" s="2"/>
      <c r="AI339" s="2" t="s">
        <v>180</v>
      </c>
      <c r="AJ339" s="2"/>
      <c r="AK339" s="14">
        <v>45946</v>
      </c>
      <c r="AL339" s="14">
        <v>45946</v>
      </c>
      <c r="AM339" s="14">
        <v>45946</v>
      </c>
      <c r="AN339" s="2"/>
      <c r="AO339" s="2">
        <v>5221642</v>
      </c>
      <c r="AP339" s="14">
        <v>45951</v>
      </c>
      <c r="AQ339" s="14">
        <v>45954</v>
      </c>
      <c r="AS339" s="2"/>
      <c r="AT339" s="44">
        <v>51819</v>
      </c>
      <c r="AV339" s="14">
        <v>45952</v>
      </c>
      <c r="AW339" s="14">
        <v>45952</v>
      </c>
      <c r="AY339" s="2">
        <v>5349168</v>
      </c>
      <c r="AZ339" s="5">
        <v>45958</v>
      </c>
      <c r="BA339" s="1">
        <v>4974207</v>
      </c>
      <c r="BB339" s="2">
        <v>895357</v>
      </c>
      <c r="BC339" s="5">
        <v>45958</v>
      </c>
      <c r="BD339" s="14">
        <v>45959</v>
      </c>
      <c r="BF339" s="5">
        <v>45960</v>
      </c>
      <c r="BG339" s="5">
        <v>45964</v>
      </c>
      <c r="BH339" s="1" t="s">
        <v>1917</v>
      </c>
      <c r="BI339" s="1" t="s">
        <v>273</v>
      </c>
      <c r="BQ339" s="14">
        <v>45952</v>
      </c>
      <c r="BR339" s="5">
        <v>45957</v>
      </c>
    </row>
    <row r="340" spans="1:70" ht="18" customHeight="1" x14ac:dyDescent="0.3">
      <c r="A340" s="2">
        <v>340</v>
      </c>
      <c r="B340" s="2">
        <v>6975855</v>
      </c>
      <c r="C340" s="111">
        <v>45924</v>
      </c>
      <c r="D340" s="2">
        <v>20943</v>
      </c>
      <c r="E340" s="2" t="s">
        <v>840</v>
      </c>
      <c r="F340" s="8" t="s">
        <v>2448</v>
      </c>
      <c r="G340" s="8" t="s">
        <v>1332</v>
      </c>
      <c r="H340" s="8" t="s">
        <v>2462</v>
      </c>
      <c r="I340" s="83">
        <v>51778</v>
      </c>
      <c r="J340" s="2" t="s">
        <v>1631</v>
      </c>
      <c r="K340" s="2" t="s">
        <v>126</v>
      </c>
      <c r="L340" s="2" t="s">
        <v>1632</v>
      </c>
      <c r="M340" s="134">
        <v>45950</v>
      </c>
      <c r="N340" s="56" t="s">
        <v>2603</v>
      </c>
      <c r="Q340" s="67">
        <f t="shared" si="39"/>
        <v>4</v>
      </c>
      <c r="R340" s="29">
        <f t="shared" si="33"/>
        <v>10</v>
      </c>
      <c r="T340" s="1">
        <v>137</v>
      </c>
      <c r="U340" s="1" t="s">
        <v>2463</v>
      </c>
      <c r="V340" s="1" t="s">
        <v>645</v>
      </c>
      <c r="W340" s="79" t="s">
        <v>426</v>
      </c>
      <c r="X340" s="2">
        <v>20255122027</v>
      </c>
      <c r="Y340" s="14">
        <v>45944</v>
      </c>
      <c r="Z340" s="14">
        <v>45954</v>
      </c>
      <c r="AA340" s="14">
        <v>45926</v>
      </c>
      <c r="AB340" s="14">
        <v>45950</v>
      </c>
      <c r="AC340" s="14">
        <v>45954</v>
      </c>
      <c r="AD340" s="2" t="s">
        <v>2464</v>
      </c>
      <c r="AE340" s="2"/>
      <c r="AF340" s="2">
        <v>1</v>
      </c>
      <c r="AG340" s="2">
        <v>1.23</v>
      </c>
      <c r="AH340" s="2"/>
      <c r="AI340" s="2" t="s">
        <v>180</v>
      </c>
      <c r="AJ340" s="2"/>
      <c r="AK340" s="14">
        <v>45946</v>
      </c>
      <c r="AL340" s="14">
        <v>45946</v>
      </c>
      <c r="AM340" s="14">
        <v>45946</v>
      </c>
      <c r="AN340" s="2"/>
      <c r="AO340" s="2">
        <v>5220840</v>
      </c>
      <c r="AP340" s="14">
        <v>45951</v>
      </c>
      <c r="AQ340" s="14">
        <v>45954</v>
      </c>
      <c r="AS340" s="2"/>
      <c r="AT340" s="44">
        <v>51820</v>
      </c>
      <c r="AV340" s="14">
        <v>45952</v>
      </c>
      <c r="AW340" s="14">
        <v>45952</v>
      </c>
      <c r="AY340" s="2">
        <v>5349163</v>
      </c>
      <c r="AZ340" s="5">
        <v>45958</v>
      </c>
      <c r="BA340" s="1">
        <v>1857644</v>
      </c>
      <c r="BB340" s="2">
        <v>334376</v>
      </c>
      <c r="BC340" s="5">
        <v>45958</v>
      </c>
      <c r="BD340" s="14">
        <v>45959</v>
      </c>
      <c r="BF340" s="5">
        <v>45960</v>
      </c>
      <c r="BG340" s="5">
        <v>45964</v>
      </c>
      <c r="BH340" s="1" t="s">
        <v>1917</v>
      </c>
      <c r="BI340" s="1" t="s">
        <v>273</v>
      </c>
      <c r="BQ340" s="14">
        <v>45952</v>
      </c>
      <c r="BR340" s="5">
        <v>45957</v>
      </c>
    </row>
    <row r="341" spans="1:70" ht="18" customHeight="1" x14ac:dyDescent="0.3">
      <c r="A341" s="2">
        <v>341</v>
      </c>
      <c r="B341" s="8" t="s">
        <v>2465</v>
      </c>
      <c r="C341" s="8" t="s">
        <v>2466</v>
      </c>
      <c r="D341" s="7" t="s">
        <v>2467</v>
      </c>
      <c r="E341" s="2" t="s">
        <v>840</v>
      </c>
      <c r="F341" s="8" t="s">
        <v>1662</v>
      </c>
      <c r="G341" s="8" t="s">
        <v>1459</v>
      </c>
      <c r="H341" s="8" t="s">
        <v>2468</v>
      </c>
      <c r="I341" s="83">
        <v>51779</v>
      </c>
      <c r="J341" s="2" t="s">
        <v>1631</v>
      </c>
      <c r="K341" s="2" t="s">
        <v>126</v>
      </c>
      <c r="L341" s="2" t="s">
        <v>1632</v>
      </c>
      <c r="M341" s="134">
        <v>45950</v>
      </c>
      <c r="N341" s="56" t="s">
        <v>2604</v>
      </c>
      <c r="Q341" s="67">
        <f t="shared" si="39"/>
        <v>4</v>
      </c>
      <c r="R341" s="29">
        <f t="shared" si="33"/>
        <v>10</v>
      </c>
      <c r="T341" s="1">
        <v>504</v>
      </c>
      <c r="U341" s="8" t="s">
        <v>2409</v>
      </c>
      <c r="V341" s="1" t="s">
        <v>645</v>
      </c>
      <c r="W341" s="79" t="s">
        <v>426</v>
      </c>
      <c r="X341" s="2">
        <v>20255122036</v>
      </c>
      <c r="Y341" s="14">
        <v>45944</v>
      </c>
      <c r="Z341" s="14">
        <v>45954</v>
      </c>
      <c r="AA341" s="14">
        <v>45926</v>
      </c>
      <c r="AB341" s="14">
        <v>45950</v>
      </c>
      <c r="AC341" s="14">
        <v>45954</v>
      </c>
      <c r="AD341" s="2" t="s">
        <v>2475</v>
      </c>
      <c r="AE341" s="2"/>
      <c r="AF341" s="2">
        <v>3</v>
      </c>
      <c r="AG341" s="2">
        <v>4.08</v>
      </c>
      <c r="AH341" s="2"/>
      <c r="AI341" s="2" t="s">
        <v>180</v>
      </c>
      <c r="AJ341" s="2"/>
      <c r="AK341" s="14">
        <v>45946</v>
      </c>
      <c r="AL341" s="14">
        <v>45946</v>
      </c>
      <c r="AM341" s="14">
        <v>45946</v>
      </c>
      <c r="AN341" s="2"/>
      <c r="AO341" s="2">
        <v>5221447</v>
      </c>
      <c r="AP341" s="14">
        <v>45951</v>
      </c>
      <c r="AQ341" s="14">
        <v>45954</v>
      </c>
      <c r="AS341" s="2"/>
      <c r="AT341" s="44">
        <v>51825</v>
      </c>
      <c r="AV341" s="14">
        <v>45952</v>
      </c>
      <c r="AW341" s="14">
        <v>45952</v>
      </c>
      <c r="AY341" s="2">
        <v>5348196</v>
      </c>
      <c r="AZ341" s="5">
        <v>45958</v>
      </c>
      <c r="BA341" s="1">
        <v>6811362</v>
      </c>
      <c r="BB341" s="2">
        <v>1226045</v>
      </c>
      <c r="BC341" s="5">
        <v>45958</v>
      </c>
      <c r="BD341" s="14">
        <v>45959</v>
      </c>
      <c r="BF341" s="5">
        <v>45960</v>
      </c>
      <c r="BG341" s="5">
        <v>45964</v>
      </c>
      <c r="BH341" s="1" t="s">
        <v>1917</v>
      </c>
      <c r="BI341" s="1" t="s">
        <v>273</v>
      </c>
      <c r="BQ341" s="14">
        <v>45952</v>
      </c>
      <c r="BR341" s="5">
        <v>45957</v>
      </c>
    </row>
    <row r="342" spans="1:70" ht="18" customHeight="1" x14ac:dyDescent="0.3">
      <c r="A342" s="2">
        <v>342</v>
      </c>
      <c r="B342" s="2">
        <v>251009089</v>
      </c>
      <c r="C342" s="111">
        <v>45946</v>
      </c>
      <c r="D342" s="2">
        <v>766550.68</v>
      </c>
      <c r="E342" s="2" t="s">
        <v>677</v>
      </c>
      <c r="F342" s="2" t="s">
        <v>1346</v>
      </c>
      <c r="G342" s="2" t="s">
        <v>476</v>
      </c>
      <c r="H342" s="2">
        <v>28</v>
      </c>
      <c r="I342" s="83">
        <v>51813</v>
      </c>
      <c r="J342" s="2" t="s">
        <v>142</v>
      </c>
      <c r="K342" s="2" t="s">
        <v>126</v>
      </c>
      <c r="L342" s="2" t="s">
        <v>854</v>
      </c>
      <c r="M342" s="134">
        <v>45953</v>
      </c>
      <c r="N342" s="56" t="s">
        <v>2617</v>
      </c>
      <c r="Q342" s="67">
        <f t="shared" ref="Q342:Q353" si="40">AQ342-AB342</f>
        <v>2</v>
      </c>
      <c r="R342" s="29">
        <f t="shared" si="33"/>
        <v>9</v>
      </c>
      <c r="T342" s="1"/>
      <c r="U342" s="1" t="s">
        <v>2508</v>
      </c>
      <c r="V342" s="2" t="s">
        <v>755</v>
      </c>
      <c r="W342" s="1" t="s">
        <v>827</v>
      </c>
      <c r="X342" s="2" t="s">
        <v>2509</v>
      </c>
      <c r="Y342" s="14">
        <v>45947</v>
      </c>
      <c r="Z342" s="14">
        <v>45952</v>
      </c>
      <c r="AA342" s="14">
        <v>45953</v>
      </c>
      <c r="AB342" s="14">
        <v>45953</v>
      </c>
      <c r="AC342" s="14">
        <v>45955</v>
      </c>
      <c r="AD342" s="2">
        <v>60751010455</v>
      </c>
      <c r="AE342" s="2">
        <v>4840738023</v>
      </c>
      <c r="AF342" s="2">
        <v>1</v>
      </c>
      <c r="AG342" s="2">
        <v>165</v>
      </c>
      <c r="AH342" s="2"/>
      <c r="AI342" s="2" t="s">
        <v>179</v>
      </c>
      <c r="AJ342" s="2"/>
      <c r="AK342" s="14">
        <v>45951</v>
      </c>
      <c r="AL342" s="14">
        <v>45951</v>
      </c>
      <c r="AM342" s="14">
        <v>45952</v>
      </c>
      <c r="AN342" s="2"/>
      <c r="AO342" s="2">
        <v>5273150</v>
      </c>
      <c r="AP342" s="14">
        <v>45954</v>
      </c>
      <c r="AQ342" s="14">
        <v>45955</v>
      </c>
      <c r="AS342" s="2"/>
      <c r="AT342" s="44">
        <v>51857</v>
      </c>
      <c r="AV342" s="14">
        <v>45955</v>
      </c>
      <c r="AW342" s="14">
        <v>45956</v>
      </c>
      <c r="AY342" s="15">
        <v>5370441</v>
      </c>
      <c r="AZ342" s="93">
        <v>45959</v>
      </c>
      <c r="BA342" s="1">
        <v>67993045.319999993</v>
      </c>
      <c r="BB342" s="2">
        <v>12238748</v>
      </c>
      <c r="BC342" s="5">
        <v>45960</v>
      </c>
      <c r="BD342" s="14">
        <v>45961</v>
      </c>
      <c r="BF342" s="5">
        <v>45962</v>
      </c>
      <c r="BG342" s="5">
        <v>45964</v>
      </c>
      <c r="BH342" s="1" t="s">
        <v>2616</v>
      </c>
      <c r="BI342" s="1" t="s">
        <v>273</v>
      </c>
      <c r="BQ342" s="14">
        <v>45956</v>
      </c>
      <c r="BR342" s="5">
        <v>45958</v>
      </c>
    </row>
    <row r="343" spans="1:70" ht="18" customHeight="1" x14ac:dyDescent="0.3">
      <c r="A343" s="2">
        <v>343</v>
      </c>
      <c r="B343" s="2">
        <v>7002588</v>
      </c>
      <c r="C343" s="111">
        <v>45924</v>
      </c>
      <c r="D343" s="2">
        <v>151700</v>
      </c>
      <c r="E343" s="2" t="s">
        <v>840</v>
      </c>
      <c r="F343" s="8" t="s">
        <v>2525</v>
      </c>
      <c r="G343" s="8" t="s">
        <v>2580</v>
      </c>
      <c r="H343" s="8" t="s">
        <v>749</v>
      </c>
      <c r="I343" s="83">
        <v>51843</v>
      </c>
      <c r="J343" s="2" t="s">
        <v>142</v>
      </c>
      <c r="K343" s="2" t="s">
        <v>126</v>
      </c>
      <c r="L343" s="2" t="s">
        <v>854</v>
      </c>
      <c r="M343" s="134">
        <v>45957</v>
      </c>
      <c r="N343" s="56" t="s">
        <v>2626</v>
      </c>
      <c r="Q343" s="67">
        <f t="shared" si="40"/>
        <v>2</v>
      </c>
      <c r="R343" s="29">
        <f t="shared" si="33"/>
        <v>8</v>
      </c>
      <c r="T343" s="1"/>
      <c r="U343" s="2" t="s">
        <v>2526</v>
      </c>
      <c r="V343" s="2" t="s">
        <v>335</v>
      </c>
      <c r="W343" s="2" t="s">
        <v>163</v>
      </c>
      <c r="X343" s="2" t="s">
        <v>2528</v>
      </c>
      <c r="Y343" s="14">
        <v>45953</v>
      </c>
      <c r="Z343" s="14">
        <v>45957</v>
      </c>
      <c r="AA343" s="14">
        <v>45957</v>
      </c>
      <c r="AB343" s="14">
        <v>45957</v>
      </c>
      <c r="AC343" s="14">
        <v>45959</v>
      </c>
      <c r="AD343" s="2">
        <v>17604825925</v>
      </c>
      <c r="AE343" s="2" t="s">
        <v>2529</v>
      </c>
      <c r="AF343" s="2">
        <v>2</v>
      </c>
      <c r="AG343" s="2">
        <v>416</v>
      </c>
      <c r="AH343" s="2"/>
      <c r="AI343" s="2" t="s">
        <v>629</v>
      </c>
      <c r="AJ343" s="2"/>
      <c r="AK343" s="14">
        <v>45954</v>
      </c>
      <c r="AL343" s="14">
        <v>45954</v>
      </c>
      <c r="AM343" s="14">
        <v>45955</v>
      </c>
      <c r="AN343" s="2"/>
      <c r="AO343" s="2">
        <v>5341549</v>
      </c>
      <c r="AP343" s="14">
        <v>45957</v>
      </c>
      <c r="AQ343" s="14">
        <v>45959</v>
      </c>
      <c r="AS343" s="2"/>
      <c r="AT343" s="44">
        <v>51917</v>
      </c>
      <c r="AV343" s="14">
        <v>45960</v>
      </c>
      <c r="AW343" s="14">
        <v>45961</v>
      </c>
      <c r="AY343" s="2">
        <v>5460205</v>
      </c>
      <c r="AZ343" s="32">
        <v>45964</v>
      </c>
      <c r="BA343" s="1">
        <v>13455790</v>
      </c>
      <c r="BB343" s="2">
        <v>2422042</v>
      </c>
      <c r="BC343" s="5">
        <v>45964</v>
      </c>
      <c r="BD343" s="14">
        <v>45964</v>
      </c>
      <c r="BF343" s="5">
        <v>45965</v>
      </c>
      <c r="BG343" s="5">
        <v>45967</v>
      </c>
      <c r="BH343" s="1" t="s">
        <v>2625</v>
      </c>
      <c r="BI343" s="1" t="s">
        <v>273</v>
      </c>
      <c r="BQ343" s="14">
        <v>45961</v>
      </c>
      <c r="BR343" s="14">
        <v>45961</v>
      </c>
    </row>
    <row r="344" spans="1:70" ht="18" customHeight="1" x14ac:dyDescent="0.3">
      <c r="A344" s="2">
        <v>344</v>
      </c>
      <c r="B344" s="8" t="s">
        <v>2305</v>
      </c>
      <c r="C344" s="8" t="s">
        <v>2306</v>
      </c>
      <c r="D344" s="8" t="s">
        <v>2307</v>
      </c>
      <c r="E344" s="2" t="s">
        <v>840</v>
      </c>
      <c r="F344" s="8" t="s">
        <v>2077</v>
      </c>
      <c r="G344" s="8" t="s">
        <v>2581</v>
      </c>
      <c r="H344" s="8" t="s">
        <v>2308</v>
      </c>
      <c r="I344" s="83">
        <v>51502</v>
      </c>
      <c r="J344" s="2" t="s">
        <v>1631</v>
      </c>
      <c r="K344" s="2" t="s">
        <v>126</v>
      </c>
      <c r="L344" s="2" t="s">
        <v>1632</v>
      </c>
      <c r="M344" s="134">
        <v>45929</v>
      </c>
      <c r="N344" s="56" t="s">
        <v>2627</v>
      </c>
      <c r="Q344" s="67">
        <f t="shared" si="40"/>
        <v>5</v>
      </c>
      <c r="R344" s="29">
        <f t="shared" si="33"/>
        <v>33</v>
      </c>
      <c r="T344" s="1"/>
      <c r="U344" s="8" t="s">
        <v>2309</v>
      </c>
      <c r="V344" s="1" t="s">
        <v>844</v>
      </c>
      <c r="W344" s="2" t="s">
        <v>380</v>
      </c>
      <c r="X344" s="2">
        <v>20255111026</v>
      </c>
      <c r="Y344" s="14">
        <v>45918</v>
      </c>
      <c r="Z344" s="14">
        <v>45924</v>
      </c>
      <c r="AA344" s="14">
        <v>45910</v>
      </c>
      <c r="AB344" s="14">
        <v>45929</v>
      </c>
      <c r="AC344" s="14">
        <v>45934</v>
      </c>
      <c r="AD344" s="2" t="s">
        <v>2310</v>
      </c>
      <c r="AE344" s="2"/>
      <c r="AF344" s="2">
        <v>7</v>
      </c>
      <c r="AG344" s="2">
        <v>12.27</v>
      </c>
      <c r="AH344" s="2"/>
      <c r="AI344" s="2" t="s">
        <v>180</v>
      </c>
      <c r="AJ344" s="2"/>
      <c r="AK344" s="14">
        <v>45921</v>
      </c>
      <c r="AL344" s="14">
        <v>45922</v>
      </c>
      <c r="AM344" s="14">
        <v>45923</v>
      </c>
      <c r="AN344" s="2"/>
      <c r="AO344" s="2">
        <v>4802830</v>
      </c>
      <c r="AP344" s="14">
        <v>45929</v>
      </c>
      <c r="AQ344" s="14">
        <v>45934</v>
      </c>
      <c r="AR344" s="15" t="s">
        <v>2498</v>
      </c>
      <c r="AS344" s="14">
        <v>45934</v>
      </c>
      <c r="AT344" s="44">
        <v>51574</v>
      </c>
      <c r="AV344" s="14">
        <v>45930</v>
      </c>
      <c r="AW344" s="14">
        <v>45931</v>
      </c>
      <c r="AY344" s="2">
        <v>5461197</v>
      </c>
      <c r="AZ344" s="32">
        <v>45964</v>
      </c>
      <c r="BA344" s="1">
        <v>20009390</v>
      </c>
      <c r="BB344" s="2">
        <v>3601690</v>
      </c>
      <c r="BC344" s="5">
        <v>45964</v>
      </c>
      <c r="BD344" s="14">
        <v>45964</v>
      </c>
      <c r="BF344" s="5">
        <v>45965</v>
      </c>
      <c r="BG344" s="5">
        <v>45967</v>
      </c>
      <c r="BH344" s="1" t="s">
        <v>2346</v>
      </c>
      <c r="BI344" s="1" t="s">
        <v>273</v>
      </c>
      <c r="BQ344" s="14">
        <v>45931</v>
      </c>
      <c r="BR344" s="5">
        <v>45962</v>
      </c>
    </row>
    <row r="345" spans="1:70" ht="18" customHeight="1" x14ac:dyDescent="0.3">
      <c r="A345" s="2">
        <v>345</v>
      </c>
      <c r="B345" s="2">
        <v>251017172</v>
      </c>
      <c r="C345" s="111">
        <v>45954</v>
      </c>
      <c r="D345" s="2">
        <v>164260.85999999999</v>
      </c>
      <c r="E345" s="2" t="s">
        <v>677</v>
      </c>
      <c r="F345" s="2" t="s">
        <v>1346</v>
      </c>
      <c r="G345" s="2" t="s">
        <v>476</v>
      </c>
      <c r="H345" s="2">
        <v>6</v>
      </c>
      <c r="I345" s="83">
        <v>51867</v>
      </c>
      <c r="J345" s="2" t="s">
        <v>142</v>
      </c>
      <c r="K345" s="2" t="s">
        <v>126</v>
      </c>
      <c r="L345" s="2" t="s">
        <v>854</v>
      </c>
      <c r="M345" s="134">
        <v>45958</v>
      </c>
      <c r="N345" s="56" t="s">
        <v>2650</v>
      </c>
      <c r="Q345" s="67">
        <f t="shared" si="40"/>
        <v>4</v>
      </c>
      <c r="R345" s="29">
        <f t="shared" si="33"/>
        <v>7</v>
      </c>
      <c r="T345" s="1">
        <v>1078</v>
      </c>
      <c r="U345" s="1" t="s">
        <v>2534</v>
      </c>
      <c r="V345" s="2" t="s">
        <v>755</v>
      </c>
      <c r="W345" s="1" t="s">
        <v>827</v>
      </c>
      <c r="X345" s="2" t="s">
        <v>2540</v>
      </c>
      <c r="Y345" s="14">
        <v>45957</v>
      </c>
      <c r="Z345" s="14">
        <v>45960</v>
      </c>
      <c r="AA345" s="14">
        <v>45958</v>
      </c>
      <c r="AB345" s="14">
        <v>45958</v>
      </c>
      <c r="AC345" s="14">
        <v>45962</v>
      </c>
      <c r="AD345" s="2">
        <v>60751010654</v>
      </c>
      <c r="AE345" s="2">
        <v>4840739336</v>
      </c>
      <c r="AF345" s="2">
        <v>6</v>
      </c>
      <c r="AG345" s="2">
        <v>22</v>
      </c>
      <c r="AH345" s="2"/>
      <c r="AI345" s="2" t="s">
        <v>179</v>
      </c>
      <c r="AJ345" s="2"/>
      <c r="AK345" s="14">
        <v>45957</v>
      </c>
      <c r="AL345" s="14">
        <v>45957</v>
      </c>
      <c r="AM345" s="14">
        <v>45957</v>
      </c>
      <c r="AN345" s="2"/>
      <c r="AO345" s="1">
        <v>5377112</v>
      </c>
      <c r="AP345" s="14">
        <v>45959</v>
      </c>
      <c r="AQ345" s="14">
        <v>45962</v>
      </c>
      <c r="AS345" s="2"/>
      <c r="AT345" s="44">
        <v>51946</v>
      </c>
      <c r="AV345" s="14">
        <v>45962</v>
      </c>
      <c r="AW345" s="14">
        <v>45964</v>
      </c>
      <c r="AY345" s="2">
        <v>5481941</v>
      </c>
      <c r="AZ345" s="5">
        <v>45965</v>
      </c>
      <c r="BA345" s="1">
        <v>14569938</v>
      </c>
      <c r="BB345" s="2">
        <v>2622589</v>
      </c>
      <c r="BC345" s="5">
        <v>45965</v>
      </c>
      <c r="BD345" s="14">
        <v>45966</v>
      </c>
      <c r="BF345" s="5">
        <v>45967</v>
      </c>
      <c r="BG345" s="5">
        <v>45969</v>
      </c>
      <c r="BH345" s="1" t="s">
        <v>2649</v>
      </c>
      <c r="BI345" s="1" t="s">
        <v>273</v>
      </c>
      <c r="BQ345" s="14">
        <v>45964</v>
      </c>
      <c r="BR345" s="14">
        <v>45964</v>
      </c>
    </row>
    <row r="346" spans="1:70" ht="18" customHeight="1" x14ac:dyDescent="0.3">
      <c r="A346" s="2">
        <v>346</v>
      </c>
      <c r="B346" s="2">
        <v>251015894</v>
      </c>
      <c r="C346" s="111">
        <v>45954</v>
      </c>
      <c r="D346" s="2">
        <v>136884.04999999999</v>
      </c>
      <c r="E346" s="2" t="s">
        <v>677</v>
      </c>
      <c r="F346" s="2" t="s">
        <v>1346</v>
      </c>
      <c r="G346" s="2" t="s">
        <v>476</v>
      </c>
      <c r="H346" s="2">
        <v>5</v>
      </c>
      <c r="I346" s="83">
        <v>51869</v>
      </c>
      <c r="J346" s="2" t="s">
        <v>142</v>
      </c>
      <c r="K346" s="2" t="s">
        <v>126</v>
      </c>
      <c r="L346" s="2" t="s">
        <v>854</v>
      </c>
      <c r="M346" s="134">
        <v>45958</v>
      </c>
      <c r="N346" s="56" t="s">
        <v>2650</v>
      </c>
      <c r="Q346" s="67">
        <f t="shared" si="40"/>
        <v>4</v>
      </c>
      <c r="R346" s="29">
        <f t="shared" si="33"/>
        <v>7</v>
      </c>
      <c r="T346" s="1">
        <v>898</v>
      </c>
      <c r="U346" s="1" t="s">
        <v>2534</v>
      </c>
      <c r="V346" s="2" t="s">
        <v>755</v>
      </c>
      <c r="W346" s="1" t="s">
        <v>827</v>
      </c>
      <c r="X346" s="2" t="s">
        <v>2539</v>
      </c>
      <c r="Y346" s="14">
        <v>45957</v>
      </c>
      <c r="Z346" s="14">
        <v>45960</v>
      </c>
      <c r="AA346" s="14">
        <v>45958</v>
      </c>
      <c r="AB346" s="14">
        <v>45958</v>
      </c>
      <c r="AC346" s="14">
        <v>45962</v>
      </c>
      <c r="AD346" s="2">
        <v>60751010654</v>
      </c>
      <c r="AE346" s="2">
        <v>4840739092</v>
      </c>
      <c r="AF346" s="2">
        <v>5</v>
      </c>
      <c r="AG346" s="2">
        <v>18</v>
      </c>
      <c r="AH346" s="2"/>
      <c r="AI346" s="2" t="s">
        <v>179</v>
      </c>
      <c r="AJ346" s="2"/>
      <c r="AK346" s="14">
        <v>45957</v>
      </c>
      <c r="AL346" s="14">
        <v>45957</v>
      </c>
      <c r="AM346" s="14">
        <v>45958</v>
      </c>
      <c r="AN346" s="2"/>
      <c r="AO346" s="1">
        <v>5377239</v>
      </c>
      <c r="AP346" s="14">
        <v>45959</v>
      </c>
      <c r="AQ346" s="14">
        <v>45962</v>
      </c>
      <c r="AS346" s="2"/>
      <c r="AT346" s="44">
        <v>51947</v>
      </c>
      <c r="AV346" s="14">
        <v>45962</v>
      </c>
      <c r="AW346" s="14">
        <v>45964</v>
      </c>
      <c r="AY346" s="2">
        <v>5481943</v>
      </c>
      <c r="AZ346" s="5">
        <v>45965</v>
      </c>
      <c r="BA346" s="1">
        <v>12141615</v>
      </c>
      <c r="BB346" s="2">
        <v>2185491</v>
      </c>
      <c r="BC346" s="5">
        <v>45965</v>
      </c>
      <c r="BD346" s="14">
        <v>45966</v>
      </c>
      <c r="BF346" s="5">
        <v>45967</v>
      </c>
      <c r="BG346" s="5">
        <v>45969</v>
      </c>
      <c r="BH346" s="1" t="s">
        <v>2649</v>
      </c>
      <c r="BI346" s="1" t="s">
        <v>273</v>
      </c>
      <c r="BQ346" s="14">
        <v>45964</v>
      </c>
      <c r="BR346" s="14">
        <v>45964</v>
      </c>
    </row>
    <row r="347" spans="1:70" ht="17.25" customHeight="1" x14ac:dyDescent="0.3">
      <c r="A347" s="2">
        <v>347</v>
      </c>
      <c r="B347" s="2">
        <v>251015027</v>
      </c>
      <c r="C347" s="111">
        <v>45954</v>
      </c>
      <c r="D347" s="2">
        <v>82130.429999999993</v>
      </c>
      <c r="E347" s="2" t="s">
        <v>677</v>
      </c>
      <c r="F347" s="2" t="s">
        <v>1346</v>
      </c>
      <c r="G347" s="2" t="s">
        <v>476</v>
      </c>
      <c r="H347" s="2">
        <v>3</v>
      </c>
      <c r="I347" s="83">
        <v>51870</v>
      </c>
      <c r="J347" s="2" t="s">
        <v>142</v>
      </c>
      <c r="K347" s="2" t="s">
        <v>126</v>
      </c>
      <c r="L347" s="2" t="s">
        <v>854</v>
      </c>
      <c r="M347" s="134">
        <v>45958</v>
      </c>
      <c r="N347" s="56" t="s">
        <v>2650</v>
      </c>
      <c r="Q347" s="67">
        <f t="shared" si="40"/>
        <v>4</v>
      </c>
      <c r="R347" s="29">
        <f t="shared" si="33"/>
        <v>7</v>
      </c>
      <c r="T347" s="1">
        <v>539</v>
      </c>
      <c r="U347" s="1" t="s">
        <v>2534</v>
      </c>
      <c r="V347" s="2" t="s">
        <v>755</v>
      </c>
      <c r="W347" s="1" t="s">
        <v>827</v>
      </c>
      <c r="X347" s="2" t="s">
        <v>2538</v>
      </c>
      <c r="Y347" s="14">
        <v>45957</v>
      </c>
      <c r="Z347" s="14">
        <v>45960</v>
      </c>
      <c r="AA347" s="14">
        <v>45958</v>
      </c>
      <c r="AB347" s="14">
        <v>45958</v>
      </c>
      <c r="AC347" s="14">
        <v>45962</v>
      </c>
      <c r="AD347" s="2">
        <v>60751010654</v>
      </c>
      <c r="AE347" s="2">
        <v>4840739093</v>
      </c>
      <c r="AF347" s="2">
        <v>3</v>
      </c>
      <c r="AG347" s="2">
        <v>11</v>
      </c>
      <c r="AH347" s="2"/>
      <c r="AI347" s="2" t="s">
        <v>179</v>
      </c>
      <c r="AJ347" s="2"/>
      <c r="AK347" s="14">
        <v>45957</v>
      </c>
      <c r="AL347" s="14">
        <v>45957</v>
      </c>
      <c r="AM347" s="14">
        <v>45958</v>
      </c>
      <c r="AN347" s="2"/>
      <c r="AO347" s="1">
        <v>5377238</v>
      </c>
      <c r="AP347" s="14">
        <v>45959</v>
      </c>
      <c r="AQ347" s="14">
        <v>45962</v>
      </c>
      <c r="AS347" s="2"/>
      <c r="AT347" s="44">
        <v>51948</v>
      </c>
      <c r="AV347" s="14">
        <v>45962</v>
      </c>
      <c r="AW347" s="14">
        <v>45964</v>
      </c>
      <c r="AY347" s="2">
        <v>5483051</v>
      </c>
      <c r="AZ347" s="5">
        <v>45965</v>
      </c>
      <c r="BA347" s="1">
        <v>7284969</v>
      </c>
      <c r="BB347" s="2">
        <v>1311295</v>
      </c>
      <c r="BC347" s="5">
        <v>45965</v>
      </c>
      <c r="BD347" s="14">
        <v>45966</v>
      </c>
      <c r="BF347" s="5">
        <v>45967</v>
      </c>
      <c r="BG347" s="5">
        <v>45969</v>
      </c>
      <c r="BH347" s="1" t="s">
        <v>2649</v>
      </c>
      <c r="BI347" s="1" t="s">
        <v>273</v>
      </c>
      <c r="BQ347" s="14">
        <v>45964</v>
      </c>
      <c r="BR347" s="14">
        <v>45964</v>
      </c>
    </row>
    <row r="348" spans="1:70" ht="18" customHeight="1" x14ac:dyDescent="0.3">
      <c r="A348" s="2">
        <v>348</v>
      </c>
      <c r="B348" s="2">
        <v>250908583</v>
      </c>
      <c r="C348" s="111">
        <v>45954</v>
      </c>
      <c r="D348" s="2">
        <v>12110.54</v>
      </c>
      <c r="E348" s="2" t="s">
        <v>677</v>
      </c>
      <c r="F348" s="2" t="s">
        <v>1260</v>
      </c>
      <c r="G348" s="2" t="s">
        <v>830</v>
      </c>
      <c r="H348" s="2">
        <v>2</v>
      </c>
      <c r="I348" s="83">
        <v>51871</v>
      </c>
      <c r="J348" s="2" t="s">
        <v>142</v>
      </c>
      <c r="K348" s="2" t="s">
        <v>126</v>
      </c>
      <c r="L348" s="2" t="s">
        <v>854</v>
      </c>
      <c r="M348" s="134">
        <v>45958</v>
      </c>
      <c r="N348" s="56" t="s">
        <v>2650</v>
      </c>
      <c r="Q348" s="67">
        <f t="shared" si="40"/>
        <v>4</v>
      </c>
      <c r="R348" s="29">
        <f t="shared" si="33"/>
        <v>7</v>
      </c>
      <c r="T348" s="1">
        <v>79</v>
      </c>
      <c r="U348" s="1" t="s">
        <v>833</v>
      </c>
      <c r="V348" s="2" t="s">
        <v>755</v>
      </c>
      <c r="W348" s="1" t="s">
        <v>827</v>
      </c>
      <c r="X348" s="2" t="s">
        <v>2541</v>
      </c>
      <c r="Y348" s="14">
        <v>45957</v>
      </c>
      <c r="Z348" s="14">
        <v>45960</v>
      </c>
      <c r="AA348" s="14">
        <v>45958</v>
      </c>
      <c r="AB348" s="14">
        <v>45958</v>
      </c>
      <c r="AC348" s="14">
        <v>45962</v>
      </c>
      <c r="AD348" s="2">
        <v>60751010654</v>
      </c>
      <c r="AE348" s="2">
        <v>4840739085</v>
      </c>
      <c r="AF348" s="2">
        <v>2</v>
      </c>
      <c r="AG348" s="2">
        <v>5</v>
      </c>
      <c r="AH348" s="2"/>
      <c r="AI348" s="2" t="s">
        <v>179</v>
      </c>
      <c r="AJ348" s="2"/>
      <c r="AK348" s="14">
        <v>45957</v>
      </c>
      <c r="AL348" s="14">
        <v>45957</v>
      </c>
      <c r="AM348" s="14">
        <v>45958</v>
      </c>
      <c r="AN348" s="2"/>
      <c r="AO348" s="1">
        <v>5377241</v>
      </c>
      <c r="AP348" s="14">
        <v>45959</v>
      </c>
      <c r="AQ348" s="14">
        <v>45962</v>
      </c>
      <c r="AS348" s="2"/>
      <c r="AT348" s="44">
        <v>51949</v>
      </c>
      <c r="AV348" s="14">
        <v>45962</v>
      </c>
      <c r="AW348" s="14">
        <v>45964</v>
      </c>
      <c r="AY348" s="2">
        <v>5483459</v>
      </c>
      <c r="AZ348" s="5">
        <v>45965</v>
      </c>
      <c r="BA348" s="1">
        <v>1074204.8999999999</v>
      </c>
      <c r="BB348" s="2">
        <v>193357</v>
      </c>
      <c r="BC348" s="5">
        <v>45965</v>
      </c>
      <c r="BD348" s="14">
        <v>45966</v>
      </c>
      <c r="BF348" s="5">
        <v>45967</v>
      </c>
      <c r="BG348" s="5">
        <v>45969</v>
      </c>
      <c r="BH348" s="1" t="s">
        <v>2649</v>
      </c>
      <c r="BI348" s="1" t="s">
        <v>273</v>
      </c>
      <c r="BQ348" s="14">
        <v>45964</v>
      </c>
      <c r="BR348" s="14">
        <v>45964</v>
      </c>
    </row>
    <row r="349" spans="1:70" ht="18" customHeight="1" x14ac:dyDescent="0.3">
      <c r="A349" s="2">
        <v>349</v>
      </c>
      <c r="B349" s="2" t="s">
        <v>2535</v>
      </c>
      <c r="C349" s="111">
        <v>45946</v>
      </c>
      <c r="D349" s="2">
        <v>65975</v>
      </c>
      <c r="E349" s="2" t="s">
        <v>677</v>
      </c>
      <c r="F349" s="2" t="s">
        <v>345</v>
      </c>
      <c r="G349" s="2" t="s">
        <v>346</v>
      </c>
      <c r="H349" s="2">
        <v>145</v>
      </c>
      <c r="I349" s="83">
        <v>51873</v>
      </c>
      <c r="J349" s="2" t="s">
        <v>142</v>
      </c>
      <c r="K349" s="2" t="s">
        <v>126</v>
      </c>
      <c r="L349" s="2" t="s">
        <v>854</v>
      </c>
      <c r="M349" s="134">
        <v>45959</v>
      </c>
      <c r="N349" s="56" t="s">
        <v>2651</v>
      </c>
      <c r="Q349" s="67">
        <f t="shared" si="40"/>
        <v>3</v>
      </c>
      <c r="R349" s="29">
        <f t="shared" si="33"/>
        <v>7</v>
      </c>
      <c r="T349" s="1"/>
      <c r="U349" s="1" t="s">
        <v>2456</v>
      </c>
      <c r="V349" s="2" t="s">
        <v>755</v>
      </c>
      <c r="W349" s="1" t="s">
        <v>827</v>
      </c>
      <c r="X349" s="2" t="s">
        <v>2598</v>
      </c>
      <c r="Y349" s="14">
        <v>45960</v>
      </c>
      <c r="Z349" s="14">
        <v>45966</v>
      </c>
      <c r="AA349" s="14">
        <v>45959</v>
      </c>
      <c r="AB349" s="14">
        <v>45959</v>
      </c>
      <c r="AC349" s="14">
        <v>45962</v>
      </c>
      <c r="AD349" s="2">
        <v>15705797293</v>
      </c>
      <c r="AE349" s="2">
        <v>412657785</v>
      </c>
      <c r="AF349" s="2">
        <v>1</v>
      </c>
      <c r="AG349" s="2">
        <v>18</v>
      </c>
      <c r="AH349" s="2"/>
      <c r="AI349" s="2" t="s">
        <v>179</v>
      </c>
      <c r="AJ349" s="2"/>
      <c r="AK349" s="14">
        <v>45957</v>
      </c>
      <c r="AL349" s="14">
        <v>45957</v>
      </c>
      <c r="AM349" s="14">
        <v>45958</v>
      </c>
      <c r="AN349" s="2"/>
      <c r="AO349" s="1">
        <v>5382804</v>
      </c>
      <c r="AP349" s="14">
        <v>45959</v>
      </c>
      <c r="AQ349" s="14">
        <v>45962</v>
      </c>
      <c r="AR349" s="15" t="s">
        <v>2642</v>
      </c>
      <c r="AS349" s="2"/>
      <c r="AT349" s="44">
        <v>51950</v>
      </c>
      <c r="AV349" s="14">
        <v>45964</v>
      </c>
      <c r="AW349" s="14">
        <v>45964</v>
      </c>
      <c r="AY349" s="2">
        <v>5483799</v>
      </c>
      <c r="AZ349" s="32">
        <v>45965</v>
      </c>
      <c r="BA349" s="1">
        <v>5851982.5</v>
      </c>
      <c r="BB349" s="2">
        <v>1053357</v>
      </c>
      <c r="BC349" s="5">
        <v>45965</v>
      </c>
      <c r="BD349" s="14">
        <v>45966</v>
      </c>
      <c r="BF349" s="5">
        <v>45968</v>
      </c>
      <c r="BG349" s="5">
        <v>45969</v>
      </c>
      <c r="BH349" s="1" t="s">
        <v>2649</v>
      </c>
      <c r="BI349" s="1" t="s">
        <v>273</v>
      </c>
      <c r="BQ349" s="14">
        <v>45964</v>
      </c>
      <c r="BR349" s="14">
        <v>45964</v>
      </c>
    </row>
    <row r="350" spans="1:70" ht="18" customHeight="1" x14ac:dyDescent="0.3">
      <c r="A350" s="2">
        <v>350</v>
      </c>
      <c r="B350" s="2" t="s">
        <v>2536</v>
      </c>
      <c r="C350" s="111">
        <v>45946</v>
      </c>
      <c r="D350" s="2">
        <v>910</v>
      </c>
      <c r="E350" s="2" t="s">
        <v>677</v>
      </c>
      <c r="F350" s="2" t="s">
        <v>345</v>
      </c>
      <c r="G350" s="2" t="s">
        <v>346</v>
      </c>
      <c r="H350" s="2">
        <v>2</v>
      </c>
      <c r="I350" s="83">
        <v>51875</v>
      </c>
      <c r="J350" s="2" t="s">
        <v>142</v>
      </c>
      <c r="K350" s="2" t="s">
        <v>126</v>
      </c>
      <c r="L350" s="2" t="s">
        <v>854</v>
      </c>
      <c r="M350" s="134">
        <v>45959</v>
      </c>
      <c r="N350" s="126" t="s">
        <v>2652</v>
      </c>
      <c r="Q350" s="67">
        <f t="shared" si="40"/>
        <v>3</v>
      </c>
      <c r="R350" s="29">
        <f t="shared" ref="R350:R413" si="41">BG350-AC350</f>
        <v>7</v>
      </c>
      <c r="T350" s="1"/>
      <c r="U350" s="8" t="s">
        <v>2537</v>
      </c>
      <c r="V350" s="2" t="s">
        <v>1179</v>
      </c>
      <c r="W350" s="2" t="s">
        <v>948</v>
      </c>
      <c r="X350" s="2" t="s">
        <v>2599</v>
      </c>
      <c r="Y350" s="14">
        <v>45960</v>
      </c>
      <c r="Z350" s="14">
        <v>45966</v>
      </c>
      <c r="AA350" s="14">
        <v>45959</v>
      </c>
      <c r="AB350" s="14">
        <v>45959</v>
      </c>
      <c r="AC350" s="14">
        <v>45962</v>
      </c>
      <c r="AD350" s="2">
        <v>15705797293</v>
      </c>
      <c r="AE350" s="2">
        <v>412657786</v>
      </c>
      <c r="AF350" s="2">
        <v>1</v>
      </c>
      <c r="AG350" s="2">
        <v>1</v>
      </c>
      <c r="AH350" s="2"/>
      <c r="AI350" s="2" t="s">
        <v>179</v>
      </c>
      <c r="AJ350" s="2"/>
      <c r="AK350" s="14">
        <v>45957</v>
      </c>
      <c r="AL350" s="14">
        <v>45958</v>
      </c>
      <c r="AM350" s="14">
        <v>45958</v>
      </c>
      <c r="AN350" s="2"/>
      <c r="AO350" s="1">
        <v>5381077</v>
      </c>
      <c r="AP350" s="14">
        <v>45959</v>
      </c>
      <c r="AQ350" s="14">
        <v>45962</v>
      </c>
      <c r="AR350" s="15" t="s">
        <v>2643</v>
      </c>
      <c r="AS350" s="2"/>
      <c r="AT350" s="44">
        <v>51951</v>
      </c>
      <c r="AV350" s="14">
        <v>45964</v>
      </c>
      <c r="AW350" s="14">
        <v>45964</v>
      </c>
      <c r="AY350" s="2">
        <v>5483969</v>
      </c>
      <c r="AZ350" s="5">
        <v>45965</v>
      </c>
      <c r="BA350" s="1">
        <v>80717</v>
      </c>
      <c r="BB350" s="2">
        <v>14529</v>
      </c>
      <c r="BC350" s="5">
        <v>45965</v>
      </c>
      <c r="BD350" s="5">
        <v>45965</v>
      </c>
      <c r="BF350" s="5">
        <v>45967</v>
      </c>
      <c r="BG350" s="5">
        <v>45969</v>
      </c>
      <c r="BH350" s="1" t="s">
        <v>2649</v>
      </c>
      <c r="BI350" s="1" t="s">
        <v>273</v>
      </c>
      <c r="BQ350" s="14">
        <v>45964</v>
      </c>
      <c r="BR350" s="14">
        <v>45964</v>
      </c>
    </row>
    <row r="351" spans="1:70" ht="18" customHeight="1" x14ac:dyDescent="0.3">
      <c r="A351" s="2">
        <v>351</v>
      </c>
      <c r="B351" s="2">
        <v>251017352</v>
      </c>
      <c r="C351" s="111">
        <v>45957</v>
      </c>
      <c r="D351" s="2">
        <v>27376.81</v>
      </c>
      <c r="E351" s="2" t="s">
        <v>677</v>
      </c>
      <c r="F351" s="2" t="s">
        <v>1346</v>
      </c>
      <c r="G351" s="2" t="s">
        <v>476</v>
      </c>
      <c r="H351" s="2">
        <v>1</v>
      </c>
      <c r="I351" s="83">
        <v>51889</v>
      </c>
      <c r="J351" s="2" t="s">
        <v>142</v>
      </c>
      <c r="K351" s="2" t="s">
        <v>126</v>
      </c>
      <c r="L351" s="2" t="s">
        <v>854</v>
      </c>
      <c r="M351" s="134">
        <v>45959</v>
      </c>
      <c r="N351" s="56" t="s">
        <v>2653</v>
      </c>
      <c r="O351" s="1">
        <v>3491</v>
      </c>
      <c r="Q351" s="67">
        <f t="shared" si="40"/>
        <v>5</v>
      </c>
      <c r="R351" s="29">
        <f t="shared" si="41"/>
        <v>5</v>
      </c>
      <c r="T351" s="1"/>
      <c r="U351" s="1" t="s">
        <v>2534</v>
      </c>
      <c r="V351" s="2" t="s">
        <v>755</v>
      </c>
      <c r="W351" s="1" t="s">
        <v>827</v>
      </c>
      <c r="X351" s="2" t="s">
        <v>2554</v>
      </c>
      <c r="Y351" s="14">
        <v>45958</v>
      </c>
      <c r="Z351" s="14">
        <v>45961</v>
      </c>
      <c r="AA351" s="14">
        <v>45959</v>
      </c>
      <c r="AB351" s="14">
        <v>45959</v>
      </c>
      <c r="AC351" s="14">
        <v>45964</v>
      </c>
      <c r="AD351" s="2">
        <v>60751026135</v>
      </c>
      <c r="AE351" s="2">
        <v>4840739432</v>
      </c>
      <c r="AF351" s="2">
        <v>1</v>
      </c>
      <c r="AG351" s="2">
        <v>3.5</v>
      </c>
      <c r="AH351" s="2"/>
      <c r="AI351" s="2" t="s">
        <v>179</v>
      </c>
      <c r="AJ351" s="2"/>
      <c r="AK351" s="14">
        <v>45958</v>
      </c>
      <c r="AL351" s="14">
        <v>45958</v>
      </c>
      <c r="AM351" s="14">
        <v>45958</v>
      </c>
      <c r="AN351" s="2"/>
      <c r="AO351" s="2">
        <v>5401843</v>
      </c>
      <c r="AP351" s="14">
        <v>45960</v>
      </c>
      <c r="AQ351" s="14">
        <v>45964</v>
      </c>
      <c r="AR351" s="121" t="s">
        <v>2678</v>
      </c>
      <c r="AS351" s="2"/>
      <c r="AT351" s="44">
        <v>51953</v>
      </c>
      <c r="AV351" s="14">
        <v>45964</v>
      </c>
      <c r="AW351" s="14">
        <v>45964</v>
      </c>
      <c r="AY351" s="2">
        <v>5522543</v>
      </c>
      <c r="AZ351" s="32">
        <v>45967</v>
      </c>
      <c r="BA351" s="1">
        <v>2428323</v>
      </c>
      <c r="BB351" s="2">
        <v>437098</v>
      </c>
      <c r="BC351" s="5">
        <v>45967</v>
      </c>
      <c r="BD351" s="14">
        <v>45967</v>
      </c>
      <c r="BF351" s="5">
        <v>45968</v>
      </c>
      <c r="BG351" s="5">
        <v>45969</v>
      </c>
      <c r="BH351" s="1" t="s">
        <v>2649</v>
      </c>
      <c r="BI351" s="1" t="s">
        <v>273</v>
      </c>
      <c r="BQ351" s="14">
        <v>45964</v>
      </c>
      <c r="BR351" s="1"/>
    </row>
    <row r="352" spans="1:70" ht="18" customHeight="1" x14ac:dyDescent="0.3">
      <c r="A352" s="2">
        <v>352</v>
      </c>
      <c r="B352" s="2">
        <v>251017547</v>
      </c>
      <c r="C352" s="111">
        <v>45957</v>
      </c>
      <c r="D352" s="2">
        <v>136884.04999999999</v>
      </c>
      <c r="E352" s="2" t="s">
        <v>677</v>
      </c>
      <c r="F352" s="2" t="s">
        <v>1346</v>
      </c>
      <c r="G352" s="2" t="s">
        <v>476</v>
      </c>
      <c r="H352" s="2">
        <v>5</v>
      </c>
      <c r="I352" s="83">
        <v>51890</v>
      </c>
      <c r="J352" s="2" t="s">
        <v>142</v>
      </c>
      <c r="K352" s="2" t="s">
        <v>126</v>
      </c>
      <c r="L352" s="2" t="s">
        <v>854</v>
      </c>
      <c r="M352" s="134">
        <v>45959</v>
      </c>
      <c r="N352" s="56" t="s">
        <v>2654</v>
      </c>
      <c r="O352" s="1">
        <v>2959</v>
      </c>
      <c r="Q352" s="67">
        <f t="shared" si="40"/>
        <v>5</v>
      </c>
      <c r="R352" s="29">
        <f t="shared" si="41"/>
        <v>5</v>
      </c>
      <c r="T352" s="1"/>
      <c r="U352" s="1" t="s">
        <v>2534</v>
      </c>
      <c r="V352" s="2" t="s">
        <v>755</v>
      </c>
      <c r="W352" s="1" t="s">
        <v>827</v>
      </c>
      <c r="X352" s="2" t="s">
        <v>2555</v>
      </c>
      <c r="Y352" s="14">
        <v>45958</v>
      </c>
      <c r="Z352" s="14">
        <v>45961</v>
      </c>
      <c r="AA352" s="14">
        <v>45959</v>
      </c>
      <c r="AB352" s="14">
        <v>45959</v>
      </c>
      <c r="AC352" s="14">
        <v>45964</v>
      </c>
      <c r="AD352" s="2">
        <v>60751026135</v>
      </c>
      <c r="AE352" s="2">
        <v>4840739433</v>
      </c>
      <c r="AF352" s="2">
        <v>5</v>
      </c>
      <c r="AG352" s="2">
        <v>18.5</v>
      </c>
      <c r="AH352" s="2"/>
      <c r="AI352" s="2" t="s">
        <v>179</v>
      </c>
      <c r="AJ352" s="2"/>
      <c r="AK352" s="14">
        <v>45958</v>
      </c>
      <c r="AL352" s="14">
        <v>45958</v>
      </c>
      <c r="AM352" s="14">
        <v>45958</v>
      </c>
      <c r="AN352" s="2"/>
      <c r="AO352" s="106">
        <v>5402670</v>
      </c>
      <c r="AP352" s="14">
        <v>45960</v>
      </c>
      <c r="AQ352" s="14">
        <v>45964</v>
      </c>
      <c r="AS352" s="2"/>
      <c r="AT352" s="44">
        <v>51954</v>
      </c>
      <c r="AV352" s="14">
        <v>45964</v>
      </c>
      <c r="AW352" s="14">
        <v>45964</v>
      </c>
      <c r="AY352" s="2">
        <v>5522620</v>
      </c>
      <c r="AZ352" s="32">
        <v>45967</v>
      </c>
      <c r="BA352" s="1">
        <v>12141615</v>
      </c>
      <c r="BB352" s="2">
        <v>2185491</v>
      </c>
      <c r="BC352" s="5">
        <v>45967</v>
      </c>
      <c r="BD352" s="14">
        <v>45967</v>
      </c>
      <c r="BF352" s="5">
        <v>45968</v>
      </c>
      <c r="BG352" s="5">
        <v>45969</v>
      </c>
      <c r="BH352" s="1" t="s">
        <v>2649</v>
      </c>
      <c r="BI352" s="1" t="s">
        <v>273</v>
      </c>
      <c r="BQ352" s="14">
        <v>45964</v>
      </c>
      <c r="BR352" s="1"/>
    </row>
    <row r="353" spans="1:70" ht="18" customHeight="1" x14ac:dyDescent="0.3">
      <c r="A353" s="2">
        <v>353</v>
      </c>
      <c r="B353" s="2">
        <v>251017865</v>
      </c>
      <c r="C353" s="111">
        <v>45956</v>
      </c>
      <c r="D353" s="2">
        <v>109507.24</v>
      </c>
      <c r="E353" s="2" t="s">
        <v>677</v>
      </c>
      <c r="F353" s="2" t="s">
        <v>1346</v>
      </c>
      <c r="G353" s="2" t="s">
        <v>476</v>
      </c>
      <c r="H353" s="2">
        <v>4</v>
      </c>
      <c r="I353" s="83">
        <v>51904</v>
      </c>
      <c r="J353" s="2" t="s">
        <v>142</v>
      </c>
      <c r="K353" s="2" t="s">
        <v>126</v>
      </c>
      <c r="L353" s="2" t="s">
        <v>854</v>
      </c>
      <c r="M353" s="134">
        <v>45960</v>
      </c>
      <c r="N353" s="56" t="s">
        <v>2655</v>
      </c>
      <c r="Q353" s="67">
        <f t="shared" si="40"/>
        <v>4</v>
      </c>
      <c r="R353" s="29">
        <f t="shared" si="41"/>
        <v>5</v>
      </c>
      <c r="T353" s="1"/>
      <c r="U353" s="1" t="s">
        <v>2534</v>
      </c>
      <c r="V353" s="2" t="s">
        <v>755</v>
      </c>
      <c r="W353" s="1" t="s">
        <v>827</v>
      </c>
      <c r="X353" s="2" t="s">
        <v>2553</v>
      </c>
      <c r="Y353" s="14">
        <v>45959</v>
      </c>
      <c r="Z353" s="14">
        <v>45962</v>
      </c>
      <c r="AA353" s="14">
        <v>45960</v>
      </c>
      <c r="AB353" s="14">
        <v>45960</v>
      </c>
      <c r="AC353" s="14">
        <v>45964</v>
      </c>
      <c r="AD353" s="2" t="s">
        <v>2548</v>
      </c>
      <c r="AE353" s="2" t="s">
        <v>2549</v>
      </c>
      <c r="AF353" s="2">
        <v>4</v>
      </c>
      <c r="AG353" s="2">
        <v>14.5</v>
      </c>
      <c r="AH353" s="2"/>
      <c r="AI353" s="2" t="s">
        <v>179</v>
      </c>
      <c r="AJ353" s="2"/>
      <c r="AK353" s="14">
        <v>45959</v>
      </c>
      <c r="AL353" s="14">
        <v>45960</v>
      </c>
      <c r="AM353" s="14">
        <v>45960</v>
      </c>
      <c r="AN353" s="2"/>
      <c r="AO353" s="2">
        <v>5415900</v>
      </c>
      <c r="AP353" s="14">
        <v>45961</v>
      </c>
      <c r="AQ353" s="14">
        <v>45964</v>
      </c>
      <c r="AS353" s="2"/>
      <c r="AT353" s="44">
        <v>51955</v>
      </c>
      <c r="AV353" s="14">
        <v>45964</v>
      </c>
      <c r="AW353" s="14">
        <v>45964</v>
      </c>
      <c r="AY353" s="2">
        <v>5522621</v>
      </c>
      <c r="AZ353" s="32">
        <v>45967</v>
      </c>
      <c r="BA353" s="1">
        <v>9713292</v>
      </c>
      <c r="BB353" s="2">
        <v>1748393</v>
      </c>
      <c r="BC353" s="5">
        <v>45967</v>
      </c>
      <c r="BD353" s="14">
        <v>45967</v>
      </c>
      <c r="BF353" s="5">
        <v>45968</v>
      </c>
      <c r="BG353" s="5">
        <v>45969</v>
      </c>
      <c r="BH353" s="1" t="s">
        <v>2649</v>
      </c>
      <c r="BI353" s="1" t="s">
        <v>273</v>
      </c>
      <c r="BQ353" s="14">
        <v>45964</v>
      </c>
      <c r="BR353" s="1"/>
    </row>
    <row r="354" spans="1:70" ht="18" customHeight="1" x14ac:dyDescent="0.3">
      <c r="A354" s="2">
        <v>354</v>
      </c>
      <c r="B354" s="8" t="s">
        <v>2476</v>
      </c>
      <c r="C354" s="8" t="s">
        <v>2477</v>
      </c>
      <c r="D354" s="8" t="s">
        <v>2478</v>
      </c>
      <c r="E354" s="2" t="s">
        <v>840</v>
      </c>
      <c r="F354" s="8" t="s">
        <v>2479</v>
      </c>
      <c r="G354" s="8" t="s">
        <v>2584</v>
      </c>
      <c r="H354" s="8" t="s">
        <v>2480</v>
      </c>
      <c r="I354" s="83">
        <v>51782</v>
      </c>
      <c r="J354" s="2" t="s">
        <v>1631</v>
      </c>
      <c r="K354" s="2" t="s">
        <v>126</v>
      </c>
      <c r="L354" s="2" t="s">
        <v>1632</v>
      </c>
      <c r="M354" s="134">
        <v>45950</v>
      </c>
      <c r="N354" s="56" t="s">
        <v>2684</v>
      </c>
      <c r="Q354" s="67">
        <f t="shared" ref="Q354:Q362" si="42">AQ354-AB354</f>
        <v>4</v>
      </c>
      <c r="R354" s="29">
        <f t="shared" si="41"/>
        <v>19</v>
      </c>
      <c r="T354" s="1"/>
      <c r="U354" s="8" t="s">
        <v>2481</v>
      </c>
      <c r="V354" s="2" t="s">
        <v>161</v>
      </c>
      <c r="W354" s="2" t="s">
        <v>454</v>
      </c>
      <c r="X354" s="2">
        <v>20255122018</v>
      </c>
      <c r="Y354" s="14">
        <v>45944</v>
      </c>
      <c r="Z354" s="14">
        <v>45954</v>
      </c>
      <c r="AA354" s="14">
        <v>45926</v>
      </c>
      <c r="AB354" s="14">
        <v>45950</v>
      </c>
      <c r="AC354" s="14">
        <v>45954</v>
      </c>
      <c r="AD354" s="2" t="s">
        <v>2474</v>
      </c>
      <c r="AE354" s="2"/>
      <c r="AF354" s="2">
        <v>5</v>
      </c>
      <c r="AG354" s="2">
        <v>3.33</v>
      </c>
      <c r="AH354" s="2"/>
      <c r="AI354" s="2" t="s">
        <v>180</v>
      </c>
      <c r="AJ354" s="2"/>
      <c r="AK354" s="14">
        <v>45946</v>
      </c>
      <c r="AL354" s="14">
        <v>45946</v>
      </c>
      <c r="AM354" s="14">
        <v>45947</v>
      </c>
      <c r="AN354" s="2"/>
      <c r="AO354" s="2">
        <v>5221350</v>
      </c>
      <c r="AP354" s="14">
        <v>45951</v>
      </c>
      <c r="AQ354" s="14">
        <v>45954</v>
      </c>
      <c r="AR354" s="15" t="s">
        <v>2636</v>
      </c>
      <c r="AS354" s="2"/>
      <c r="AT354" s="44">
        <v>51829</v>
      </c>
      <c r="AV354" s="14">
        <v>45952</v>
      </c>
      <c r="AW354" s="14">
        <v>45952</v>
      </c>
      <c r="AY354" s="2">
        <v>5597873</v>
      </c>
      <c r="AZ354" s="32">
        <v>45971</v>
      </c>
      <c r="BA354" s="1">
        <v>4368450</v>
      </c>
      <c r="BB354" s="2">
        <v>786321</v>
      </c>
      <c r="BC354" s="5">
        <v>45971</v>
      </c>
      <c r="BD354" s="14">
        <v>45971</v>
      </c>
      <c r="BF354" s="5">
        <v>45972</v>
      </c>
      <c r="BG354" s="5">
        <v>45973</v>
      </c>
      <c r="BH354" s="1" t="s">
        <v>2683</v>
      </c>
      <c r="BI354" s="1" t="s">
        <v>273</v>
      </c>
      <c r="BQ354" s="14">
        <v>45952</v>
      </c>
      <c r="BR354" s="5">
        <v>45968</v>
      </c>
    </row>
    <row r="355" spans="1:70" ht="18" customHeight="1" x14ac:dyDescent="0.3">
      <c r="A355" s="2">
        <v>355</v>
      </c>
      <c r="B355" s="2">
        <v>7006058</v>
      </c>
      <c r="C355" s="111">
        <v>45924</v>
      </c>
      <c r="D355" s="2">
        <v>10385</v>
      </c>
      <c r="E355" s="2" t="s">
        <v>840</v>
      </c>
      <c r="F355" s="8" t="s">
        <v>219</v>
      </c>
      <c r="G355" s="8" t="s">
        <v>2582</v>
      </c>
      <c r="H355" s="8" t="s">
        <v>1493</v>
      </c>
      <c r="I355" s="83">
        <v>51842</v>
      </c>
      <c r="J355" s="2" t="s">
        <v>142</v>
      </c>
      <c r="K355" s="2" t="s">
        <v>126</v>
      </c>
      <c r="L355" s="2" t="s">
        <v>854</v>
      </c>
      <c r="M355" s="134">
        <v>45957</v>
      </c>
      <c r="N355" s="56" t="s">
        <v>2685</v>
      </c>
      <c r="Q355" s="67">
        <f t="shared" si="42"/>
        <v>2</v>
      </c>
      <c r="R355" s="29">
        <f t="shared" si="41"/>
        <v>14</v>
      </c>
      <c r="T355" s="1"/>
      <c r="U355" s="8" t="s">
        <v>2481</v>
      </c>
      <c r="V355" s="2" t="s">
        <v>161</v>
      </c>
      <c r="W355" s="2" t="s">
        <v>454</v>
      </c>
      <c r="X355" s="2" t="s">
        <v>2523</v>
      </c>
      <c r="Y355" s="14">
        <v>45953</v>
      </c>
      <c r="Z355" s="14">
        <v>45957</v>
      </c>
      <c r="AA355" s="14">
        <v>45957</v>
      </c>
      <c r="AB355" s="14">
        <v>45957</v>
      </c>
      <c r="AC355" s="14">
        <v>45959</v>
      </c>
      <c r="AD355" s="2">
        <v>17604825925</v>
      </c>
      <c r="AE355" s="2" t="s">
        <v>2524</v>
      </c>
      <c r="AF355" s="2">
        <v>1</v>
      </c>
      <c r="AG355" s="2">
        <v>107</v>
      </c>
      <c r="AH355" s="2"/>
      <c r="AI355" s="2" t="s">
        <v>629</v>
      </c>
      <c r="AJ355" s="2"/>
      <c r="AK355" s="14">
        <v>45954</v>
      </c>
      <c r="AL355" s="14">
        <v>45954</v>
      </c>
      <c r="AM355" s="14">
        <v>45955</v>
      </c>
      <c r="AN355" s="2"/>
      <c r="AO355" s="2">
        <v>5339577</v>
      </c>
      <c r="AP355" s="14">
        <v>45957</v>
      </c>
      <c r="AQ355" s="14">
        <v>45959</v>
      </c>
      <c r="AR355" s="15" t="s">
        <v>2635</v>
      </c>
      <c r="AS355" s="2"/>
      <c r="AT355" s="44">
        <v>51918</v>
      </c>
      <c r="AV355" s="14">
        <v>45960</v>
      </c>
      <c r="AW355" s="14">
        <v>45961</v>
      </c>
      <c r="AY355" s="2">
        <v>5597871</v>
      </c>
      <c r="AZ355" s="32">
        <v>45971</v>
      </c>
      <c r="BA355" s="1">
        <v>929458</v>
      </c>
      <c r="BB355" s="2">
        <v>167302</v>
      </c>
      <c r="BC355" s="5">
        <v>45971</v>
      </c>
      <c r="BD355" s="14">
        <v>45971</v>
      </c>
      <c r="BF355" s="5">
        <v>45972</v>
      </c>
      <c r="BG355" s="5">
        <v>45973</v>
      </c>
      <c r="BH355" s="1" t="s">
        <v>2683</v>
      </c>
      <c r="BI355" s="1" t="s">
        <v>273</v>
      </c>
      <c r="BQ355" s="14">
        <v>45961</v>
      </c>
      <c r="BR355" s="5">
        <v>45968</v>
      </c>
    </row>
    <row r="356" spans="1:70" ht="18" customHeight="1" x14ac:dyDescent="0.3">
      <c r="A356" s="2">
        <v>356</v>
      </c>
      <c r="B356" s="2">
        <v>6943862</v>
      </c>
      <c r="C356" s="111">
        <v>45834</v>
      </c>
      <c r="D356" s="2">
        <v>23270</v>
      </c>
      <c r="E356" s="2" t="s">
        <v>840</v>
      </c>
      <c r="F356" s="8" t="s">
        <v>2448</v>
      </c>
      <c r="G356" s="8" t="s">
        <v>1332</v>
      </c>
      <c r="H356" s="8" t="s">
        <v>770</v>
      </c>
      <c r="I356" s="83">
        <v>51832</v>
      </c>
      <c r="J356" s="2" t="s">
        <v>142</v>
      </c>
      <c r="K356" s="2" t="s">
        <v>126</v>
      </c>
      <c r="L356" s="2" t="s">
        <v>854</v>
      </c>
      <c r="M356" s="134">
        <v>45957</v>
      </c>
      <c r="N356" s="56" t="s">
        <v>2719</v>
      </c>
      <c r="Q356" s="67">
        <f t="shared" si="42"/>
        <v>2</v>
      </c>
      <c r="R356" s="29">
        <f t="shared" si="41"/>
        <v>17</v>
      </c>
      <c r="T356" s="1">
        <v>154</v>
      </c>
      <c r="U356" s="1" t="s">
        <v>2304</v>
      </c>
      <c r="V356" s="1" t="s">
        <v>645</v>
      </c>
      <c r="W356" s="79" t="s">
        <v>426</v>
      </c>
      <c r="X356" s="2">
        <v>20255126402</v>
      </c>
      <c r="Y356" s="14">
        <v>45954</v>
      </c>
      <c r="Z356" s="14">
        <v>45959</v>
      </c>
      <c r="AA356" s="14">
        <v>45956</v>
      </c>
      <c r="AB356" s="14">
        <v>45957</v>
      </c>
      <c r="AC356" s="14">
        <v>45959</v>
      </c>
      <c r="AD356" s="50" t="s">
        <v>2515</v>
      </c>
      <c r="AE356" s="2" t="s">
        <v>2516</v>
      </c>
      <c r="AF356" s="2">
        <v>1</v>
      </c>
      <c r="AG356" s="2">
        <v>245</v>
      </c>
      <c r="AH356" s="2"/>
      <c r="AI356" s="2" t="s">
        <v>629</v>
      </c>
      <c r="AJ356" s="2"/>
      <c r="AK356" s="14">
        <v>45952</v>
      </c>
      <c r="AL356" s="14">
        <v>45952</v>
      </c>
      <c r="AM356" s="14">
        <v>45952</v>
      </c>
      <c r="AN356" s="2"/>
      <c r="AO356" s="2">
        <v>5338861</v>
      </c>
      <c r="AP356" s="14">
        <v>45957</v>
      </c>
      <c r="AQ356" s="14">
        <v>45959</v>
      </c>
      <c r="AR356" s="15" t="s">
        <v>2545</v>
      </c>
      <c r="AS356" s="2"/>
      <c r="AT356" s="44">
        <v>51897</v>
      </c>
      <c r="AV356" s="14">
        <v>45960</v>
      </c>
      <c r="AW356" s="14">
        <v>45964</v>
      </c>
      <c r="AY356" s="2">
        <v>5597872</v>
      </c>
      <c r="AZ356" s="32">
        <v>45971</v>
      </c>
      <c r="BA356" s="1">
        <v>2082665</v>
      </c>
      <c r="BB356" s="2">
        <v>374880</v>
      </c>
      <c r="BC356" s="5">
        <v>45971</v>
      </c>
      <c r="BD356" s="14">
        <v>45941</v>
      </c>
      <c r="BF356" s="5">
        <v>45973</v>
      </c>
      <c r="BG356" s="5">
        <v>45976</v>
      </c>
      <c r="BH356" s="1" t="s">
        <v>2717</v>
      </c>
      <c r="BI356" s="1" t="s">
        <v>273</v>
      </c>
      <c r="BQ356" s="14">
        <v>45964</v>
      </c>
      <c r="BR356" s="5">
        <v>45967</v>
      </c>
    </row>
    <row r="357" spans="1:70" ht="18" customHeight="1" x14ac:dyDescent="0.3">
      <c r="A357" s="2">
        <v>357</v>
      </c>
      <c r="B357" s="2">
        <v>6996279</v>
      </c>
      <c r="C357" s="111">
        <v>45953</v>
      </c>
      <c r="D357" s="2">
        <v>1038.5</v>
      </c>
      <c r="E357" s="2" t="s">
        <v>840</v>
      </c>
      <c r="F357" s="2" t="s">
        <v>2645</v>
      </c>
      <c r="G357" s="2" t="s">
        <v>2646</v>
      </c>
      <c r="H357" s="2">
        <v>1</v>
      </c>
      <c r="I357" s="83">
        <v>52034</v>
      </c>
      <c r="J357" s="2" t="s">
        <v>142</v>
      </c>
      <c r="K357" s="2" t="s">
        <v>126</v>
      </c>
      <c r="L357" s="2" t="s">
        <v>854</v>
      </c>
      <c r="M357" s="134">
        <v>45970</v>
      </c>
      <c r="N357" s="56" t="s">
        <v>2718</v>
      </c>
      <c r="Q357" s="67">
        <f t="shared" si="42"/>
        <v>2</v>
      </c>
      <c r="R357" s="29">
        <f t="shared" si="41"/>
        <v>4</v>
      </c>
      <c r="T357" s="1">
        <v>7</v>
      </c>
      <c r="U357" s="1" t="s">
        <v>2647</v>
      </c>
      <c r="V357" s="1" t="s">
        <v>645</v>
      </c>
      <c r="W357" s="79" t="s">
        <v>426</v>
      </c>
      <c r="X357" s="2">
        <v>20255131413</v>
      </c>
      <c r="Y357" s="14">
        <v>45967</v>
      </c>
      <c r="Z357" s="14">
        <v>45973</v>
      </c>
      <c r="AA357" s="14">
        <v>45970</v>
      </c>
      <c r="AB357" s="14">
        <v>45970</v>
      </c>
      <c r="AC357" s="14">
        <v>45972</v>
      </c>
      <c r="AD357" s="2" t="s">
        <v>2656</v>
      </c>
      <c r="AE357" s="2" t="s">
        <v>2648</v>
      </c>
      <c r="AF357" s="2">
        <v>1</v>
      </c>
      <c r="AG357" s="2">
        <v>9</v>
      </c>
      <c r="AH357" s="2"/>
      <c r="AI357" s="2" t="s">
        <v>180</v>
      </c>
      <c r="AJ357" s="2"/>
      <c r="AK357" s="14">
        <v>45969</v>
      </c>
      <c r="AL357" s="14">
        <v>45969</v>
      </c>
      <c r="AM357" s="14">
        <v>45970</v>
      </c>
      <c r="AN357" s="2"/>
      <c r="AO357" s="2">
        <v>5598980</v>
      </c>
      <c r="AP357" s="14">
        <v>45971</v>
      </c>
      <c r="AQ357" s="14">
        <v>45972</v>
      </c>
      <c r="AR357" s="15" t="s">
        <v>2686</v>
      </c>
      <c r="AS357" s="2"/>
      <c r="AT357" s="44">
        <v>52053</v>
      </c>
      <c r="AV357" s="14">
        <v>45971</v>
      </c>
      <c r="AW357" s="14">
        <v>45972</v>
      </c>
      <c r="AY357" s="2">
        <v>5666230</v>
      </c>
      <c r="AZ357" s="5">
        <v>45974</v>
      </c>
      <c r="BA357" s="1">
        <v>92946</v>
      </c>
      <c r="BB357" s="2">
        <v>16730</v>
      </c>
      <c r="BC357" s="5">
        <v>45974</v>
      </c>
      <c r="BD357" s="14">
        <v>45975</v>
      </c>
      <c r="BF357" s="5">
        <v>45975</v>
      </c>
      <c r="BG357" s="5">
        <v>45976</v>
      </c>
      <c r="BH357" s="1" t="s">
        <v>2717</v>
      </c>
      <c r="BI357" s="1" t="s">
        <v>273</v>
      </c>
      <c r="BQ357" s="14">
        <v>45973</v>
      </c>
      <c r="BR357" s="5">
        <v>45974</v>
      </c>
    </row>
    <row r="358" spans="1:70" ht="18" customHeight="1" x14ac:dyDescent="0.3">
      <c r="A358" s="2">
        <v>358</v>
      </c>
      <c r="B358" s="8" t="s">
        <v>2556</v>
      </c>
      <c r="C358" s="8" t="s">
        <v>2557</v>
      </c>
      <c r="D358" s="8" t="s">
        <v>2558</v>
      </c>
      <c r="E358" s="2" t="s">
        <v>840</v>
      </c>
      <c r="F358" s="8" t="s">
        <v>1369</v>
      </c>
      <c r="G358" s="8" t="s">
        <v>2586</v>
      </c>
      <c r="H358" s="8" t="s">
        <v>2559</v>
      </c>
      <c r="I358" s="83">
        <v>51913</v>
      </c>
      <c r="J358" s="2" t="s">
        <v>142</v>
      </c>
      <c r="K358" s="2" t="s">
        <v>126</v>
      </c>
      <c r="L358" s="2" t="s">
        <v>854</v>
      </c>
      <c r="M358" s="134">
        <v>45960</v>
      </c>
      <c r="N358" s="56" t="s">
        <v>2726</v>
      </c>
      <c r="Q358" s="67">
        <f t="shared" si="42"/>
        <v>4</v>
      </c>
      <c r="R358" s="29">
        <f t="shared" si="41"/>
        <v>12</v>
      </c>
      <c r="T358" s="1">
        <v>1232</v>
      </c>
      <c r="U358" s="8" t="s">
        <v>2560</v>
      </c>
      <c r="V358" s="1" t="s">
        <v>626</v>
      </c>
      <c r="W358" s="1" t="s">
        <v>627</v>
      </c>
      <c r="X358" s="2">
        <v>20255127286</v>
      </c>
      <c r="Y358" s="14">
        <v>45957</v>
      </c>
      <c r="Z358" s="14">
        <v>45962</v>
      </c>
      <c r="AA358" s="14">
        <v>45960</v>
      </c>
      <c r="AB358" s="14">
        <v>45960</v>
      </c>
      <c r="AC358" s="14">
        <v>45964</v>
      </c>
      <c r="AD358" s="2">
        <v>21706432403</v>
      </c>
      <c r="AE358" s="2" t="s">
        <v>2561</v>
      </c>
      <c r="AF358" s="2">
        <v>6</v>
      </c>
      <c r="AG358" s="2">
        <v>1560</v>
      </c>
      <c r="AH358" s="2"/>
      <c r="AI358" s="2" t="s">
        <v>180</v>
      </c>
      <c r="AJ358" s="2"/>
      <c r="AK358" s="14">
        <v>45959</v>
      </c>
      <c r="AL358" s="14">
        <v>45960</v>
      </c>
      <c r="AM358" s="14">
        <v>45960</v>
      </c>
      <c r="AN358" s="2"/>
      <c r="AO358" s="2">
        <v>5416721</v>
      </c>
      <c r="AP358" s="14">
        <v>45961</v>
      </c>
      <c r="AQ358" s="14">
        <v>45964</v>
      </c>
      <c r="AR358" s="15" t="s">
        <v>2639</v>
      </c>
      <c r="AS358" s="2"/>
      <c r="AT358" s="44">
        <v>51957</v>
      </c>
      <c r="AV358" s="14">
        <v>45964</v>
      </c>
      <c r="AW358" s="14">
        <v>45964</v>
      </c>
      <c r="AY358" s="2">
        <v>5665025</v>
      </c>
      <c r="AZ358" s="32">
        <v>45974</v>
      </c>
      <c r="BA358" s="1">
        <v>16661320</v>
      </c>
      <c r="BB358" s="2">
        <v>2999038</v>
      </c>
      <c r="BC358" s="5">
        <v>45974</v>
      </c>
      <c r="BD358" s="14">
        <v>45975</v>
      </c>
      <c r="BF358" s="5">
        <v>45975</v>
      </c>
      <c r="BG358" s="5">
        <v>45976</v>
      </c>
      <c r="BH358" s="1" t="s">
        <v>2723</v>
      </c>
      <c r="BI358" s="1" t="s">
        <v>273</v>
      </c>
      <c r="BQ358" s="14">
        <v>45964</v>
      </c>
      <c r="BR358" s="5">
        <v>45973</v>
      </c>
    </row>
    <row r="359" spans="1:70" ht="18" customHeight="1" x14ac:dyDescent="0.3">
      <c r="A359" s="2">
        <v>359</v>
      </c>
      <c r="B359" s="2">
        <v>7019079</v>
      </c>
      <c r="C359" s="111">
        <v>45947</v>
      </c>
      <c r="D359" s="2">
        <v>116350</v>
      </c>
      <c r="E359" s="2" t="s">
        <v>840</v>
      </c>
      <c r="F359" s="8" t="s">
        <v>1382</v>
      </c>
      <c r="G359" s="8" t="s">
        <v>1383</v>
      </c>
      <c r="H359" s="8" t="s">
        <v>749</v>
      </c>
      <c r="I359" s="83">
        <v>51932</v>
      </c>
      <c r="J359" s="2" t="s">
        <v>142</v>
      </c>
      <c r="K359" s="2" t="s">
        <v>126</v>
      </c>
      <c r="L359" s="2" t="s">
        <v>854</v>
      </c>
      <c r="M359" s="134">
        <v>45964</v>
      </c>
      <c r="N359" s="56" t="s">
        <v>2725</v>
      </c>
      <c r="Q359" s="67">
        <f t="shared" si="42"/>
        <v>4</v>
      </c>
      <c r="R359" s="29">
        <f t="shared" si="41"/>
        <v>9</v>
      </c>
      <c r="T359" s="1"/>
      <c r="U359" s="8" t="s">
        <v>2560</v>
      </c>
      <c r="V359" s="1" t="s">
        <v>626</v>
      </c>
      <c r="W359" s="1" t="s">
        <v>627</v>
      </c>
      <c r="X359" s="2">
        <v>20255127292</v>
      </c>
      <c r="Y359" s="14">
        <v>45957</v>
      </c>
      <c r="Z359" s="14">
        <v>45962</v>
      </c>
      <c r="AA359" s="14">
        <v>45963</v>
      </c>
      <c r="AB359" s="14">
        <v>45963</v>
      </c>
      <c r="AC359" s="14">
        <v>45967</v>
      </c>
      <c r="AD359" s="2">
        <v>17615840635</v>
      </c>
      <c r="AE359" s="2" t="s">
        <v>2566</v>
      </c>
      <c r="AF359" s="2">
        <v>4</v>
      </c>
      <c r="AG359" s="2">
        <v>979.5</v>
      </c>
      <c r="AH359" s="2"/>
      <c r="AI359" s="2" t="s">
        <v>180</v>
      </c>
      <c r="AJ359" s="2"/>
      <c r="AK359" s="14">
        <v>45961</v>
      </c>
      <c r="AL359" s="14">
        <v>45961</v>
      </c>
      <c r="AM359" s="14">
        <v>45961</v>
      </c>
      <c r="AN359" s="2"/>
      <c r="AO359" s="2">
        <v>5463517</v>
      </c>
      <c r="AP359" s="14">
        <v>45964</v>
      </c>
      <c r="AQ359" s="14">
        <v>45967</v>
      </c>
      <c r="AR359" s="15" t="s">
        <v>2640</v>
      </c>
      <c r="AS359" s="2"/>
      <c r="AT359" s="44">
        <v>51986</v>
      </c>
      <c r="AV359" s="14">
        <v>45966</v>
      </c>
      <c r="AW359" s="14">
        <v>45966</v>
      </c>
      <c r="AY359" s="2">
        <v>5665079</v>
      </c>
      <c r="AZ359" s="5">
        <v>45974</v>
      </c>
      <c r="BA359" s="1">
        <v>10413325</v>
      </c>
      <c r="BB359" s="2">
        <v>1874399</v>
      </c>
      <c r="BC359" s="5">
        <v>45974</v>
      </c>
      <c r="BD359" s="14">
        <v>45974</v>
      </c>
      <c r="BF359" s="5">
        <v>45975</v>
      </c>
      <c r="BG359" s="5">
        <v>45976</v>
      </c>
      <c r="BH359" s="1" t="s">
        <v>2723</v>
      </c>
      <c r="BI359" s="1" t="s">
        <v>273</v>
      </c>
      <c r="BQ359" s="14">
        <v>45966</v>
      </c>
      <c r="BR359" s="5">
        <v>45973</v>
      </c>
    </row>
    <row r="360" spans="1:70" ht="18" customHeight="1" x14ac:dyDescent="0.3">
      <c r="A360" s="2">
        <v>360</v>
      </c>
      <c r="B360" s="2">
        <v>7019077</v>
      </c>
      <c r="C360" s="111">
        <v>45947</v>
      </c>
      <c r="D360" s="2">
        <v>116350</v>
      </c>
      <c r="E360" s="2" t="s">
        <v>840</v>
      </c>
      <c r="F360" s="8" t="s">
        <v>1382</v>
      </c>
      <c r="G360" s="8" t="s">
        <v>1383</v>
      </c>
      <c r="H360" s="8" t="s">
        <v>749</v>
      </c>
      <c r="I360" s="83">
        <v>51933</v>
      </c>
      <c r="J360" s="2" t="s">
        <v>142</v>
      </c>
      <c r="K360" s="2" t="s">
        <v>126</v>
      </c>
      <c r="L360" s="2" t="s">
        <v>854</v>
      </c>
      <c r="M360" s="134">
        <v>45964</v>
      </c>
      <c r="N360" s="56" t="s">
        <v>2721</v>
      </c>
      <c r="Q360" s="67">
        <f t="shared" si="42"/>
        <v>4</v>
      </c>
      <c r="R360" s="29">
        <f t="shared" si="41"/>
        <v>9</v>
      </c>
      <c r="T360" s="1">
        <v>770</v>
      </c>
      <c r="U360" s="8" t="s">
        <v>2560</v>
      </c>
      <c r="V360" s="1" t="s">
        <v>626</v>
      </c>
      <c r="W360" s="1" t="s">
        <v>627</v>
      </c>
      <c r="X360" s="2">
        <v>20255127287</v>
      </c>
      <c r="Y360" s="14">
        <v>45957</v>
      </c>
      <c r="Z360" s="14">
        <v>45962</v>
      </c>
      <c r="AA360" s="14">
        <v>45963</v>
      </c>
      <c r="AB360" s="14">
        <v>45963</v>
      </c>
      <c r="AC360" s="14">
        <v>45967</v>
      </c>
      <c r="AD360" s="2">
        <v>17615840635</v>
      </c>
      <c r="AE360" s="2" t="s">
        <v>2567</v>
      </c>
      <c r="AF360" s="2">
        <v>4</v>
      </c>
      <c r="AG360" s="2">
        <v>979.5</v>
      </c>
      <c r="AH360" s="2"/>
      <c r="AI360" s="2" t="s">
        <v>180</v>
      </c>
      <c r="AJ360" s="2"/>
      <c r="AK360" s="14">
        <v>45961</v>
      </c>
      <c r="AL360" s="14">
        <v>45961</v>
      </c>
      <c r="AM360" s="14">
        <v>45961</v>
      </c>
      <c r="AN360" s="2"/>
      <c r="AO360" s="2">
        <v>5465709</v>
      </c>
      <c r="AP360" s="14">
        <v>45964</v>
      </c>
      <c r="AQ360" s="14">
        <v>45967</v>
      </c>
      <c r="AR360" s="15" t="s">
        <v>2640</v>
      </c>
      <c r="AS360" s="2"/>
      <c r="AT360" s="44">
        <v>51988</v>
      </c>
      <c r="AV360" s="14">
        <v>45966</v>
      </c>
      <c r="AW360" s="14">
        <v>45966</v>
      </c>
      <c r="AY360" s="2">
        <v>5665024</v>
      </c>
      <c r="AZ360" s="5">
        <v>45974</v>
      </c>
      <c r="BA360" s="1">
        <v>10413325</v>
      </c>
      <c r="BB360" s="2">
        <v>1874399</v>
      </c>
      <c r="BC360" s="5">
        <v>45974</v>
      </c>
      <c r="BD360" s="14">
        <v>45975</v>
      </c>
      <c r="BF360" s="5">
        <v>45975</v>
      </c>
      <c r="BG360" s="5">
        <v>45976</v>
      </c>
      <c r="BH360" s="1" t="s">
        <v>2720</v>
      </c>
      <c r="BI360" s="1" t="s">
        <v>282</v>
      </c>
      <c r="BQ360" s="14">
        <v>45966</v>
      </c>
      <c r="BR360" s="5">
        <v>45973</v>
      </c>
    </row>
    <row r="361" spans="1:70" ht="18" customHeight="1" x14ac:dyDescent="0.3">
      <c r="A361" s="2">
        <v>361</v>
      </c>
      <c r="B361" s="8" t="s">
        <v>2568</v>
      </c>
      <c r="C361" s="8" t="s">
        <v>2557</v>
      </c>
      <c r="D361" s="8" t="s">
        <v>2558</v>
      </c>
      <c r="E361" s="2" t="s">
        <v>840</v>
      </c>
      <c r="F361" s="8" t="s">
        <v>2569</v>
      </c>
      <c r="G361" s="8" t="s">
        <v>2570</v>
      </c>
      <c r="H361" s="8" t="s">
        <v>2559</v>
      </c>
      <c r="I361" s="83">
        <v>51934</v>
      </c>
      <c r="J361" s="2" t="s">
        <v>142</v>
      </c>
      <c r="K361" s="2" t="s">
        <v>126</v>
      </c>
      <c r="L361" s="2" t="s">
        <v>854</v>
      </c>
      <c r="M361" s="134">
        <v>45967</v>
      </c>
      <c r="N361" s="56" t="s">
        <v>2724</v>
      </c>
      <c r="O361" s="1">
        <v>15865.2</v>
      </c>
      <c r="Q361" s="67">
        <f t="shared" si="42"/>
        <v>5</v>
      </c>
      <c r="R361" s="29">
        <f t="shared" si="41"/>
        <v>4</v>
      </c>
      <c r="T361" s="1">
        <v>1232</v>
      </c>
      <c r="U361" s="8" t="s">
        <v>2560</v>
      </c>
      <c r="V361" s="1" t="s">
        <v>626</v>
      </c>
      <c r="W361" s="1" t="s">
        <v>627</v>
      </c>
      <c r="X361" s="2">
        <v>20255127832</v>
      </c>
      <c r="Y361" s="14">
        <v>45957</v>
      </c>
      <c r="Z361" s="14">
        <v>45962</v>
      </c>
      <c r="AA361" s="14">
        <v>45967</v>
      </c>
      <c r="AB361" s="14">
        <v>45967</v>
      </c>
      <c r="AC361" s="14">
        <v>45972</v>
      </c>
      <c r="AD361" s="2">
        <v>21707105044</v>
      </c>
      <c r="AE361" s="2" t="s">
        <v>2571</v>
      </c>
      <c r="AF361" s="2">
        <v>6</v>
      </c>
      <c r="AG361" s="2">
        <v>1560</v>
      </c>
      <c r="AH361" s="2"/>
      <c r="AI361" s="2" t="s">
        <v>180</v>
      </c>
      <c r="AJ361" s="2"/>
      <c r="AK361" s="14">
        <v>45961</v>
      </c>
      <c r="AL361" s="14">
        <v>45962</v>
      </c>
      <c r="AM361" s="14">
        <v>45962</v>
      </c>
      <c r="AN361" s="2"/>
      <c r="AO361" s="2">
        <v>5552765</v>
      </c>
      <c r="AP361" s="14">
        <v>45968</v>
      </c>
      <c r="AQ361" s="14">
        <v>45972</v>
      </c>
      <c r="AR361" s="121" t="s">
        <v>2662</v>
      </c>
      <c r="AS361" s="2"/>
      <c r="AT361" s="44">
        <v>52025</v>
      </c>
      <c r="AV361" s="14">
        <v>45969</v>
      </c>
      <c r="AW361" s="14">
        <v>45970</v>
      </c>
      <c r="AY361" s="2">
        <v>5665207</v>
      </c>
      <c r="AZ361" s="5">
        <v>45974</v>
      </c>
      <c r="BA361" s="1">
        <v>16661320</v>
      </c>
      <c r="BB361" s="2">
        <v>2999038</v>
      </c>
      <c r="BC361" s="5">
        <v>45974</v>
      </c>
      <c r="BD361" s="14">
        <v>45975</v>
      </c>
      <c r="BF361" s="5">
        <v>45975</v>
      </c>
      <c r="BG361" s="5">
        <v>45976</v>
      </c>
      <c r="BH361" s="1" t="s">
        <v>2723</v>
      </c>
      <c r="BI361" s="1" t="s">
        <v>273</v>
      </c>
      <c r="BQ361" s="14">
        <v>45970</v>
      </c>
      <c r="BR361" s="5">
        <v>45973</v>
      </c>
    </row>
    <row r="362" spans="1:70" ht="18" customHeight="1" x14ac:dyDescent="0.3">
      <c r="A362" s="2">
        <v>362</v>
      </c>
      <c r="B362" s="8" t="s">
        <v>2573</v>
      </c>
      <c r="C362" s="8" t="s">
        <v>2557</v>
      </c>
      <c r="D362" s="8" t="s">
        <v>2574</v>
      </c>
      <c r="E362" s="2" t="s">
        <v>840</v>
      </c>
      <c r="F362" s="8" t="s">
        <v>2575</v>
      </c>
      <c r="G362" s="8" t="s">
        <v>2587</v>
      </c>
      <c r="H362" s="8" t="s">
        <v>2576</v>
      </c>
      <c r="I362" s="83">
        <v>51935</v>
      </c>
      <c r="J362" s="2" t="s">
        <v>142</v>
      </c>
      <c r="K362" s="2" t="s">
        <v>126</v>
      </c>
      <c r="L362" s="2" t="s">
        <v>854</v>
      </c>
      <c r="M362" s="134">
        <v>45964</v>
      </c>
      <c r="N362" s="56" t="s">
        <v>2722</v>
      </c>
      <c r="Q362" s="67">
        <f t="shared" si="42"/>
        <v>4</v>
      </c>
      <c r="R362" s="29">
        <f t="shared" si="41"/>
        <v>9</v>
      </c>
      <c r="T362" s="1">
        <v>413</v>
      </c>
      <c r="U362" s="8" t="s">
        <v>2577</v>
      </c>
      <c r="V362" s="1" t="s">
        <v>626</v>
      </c>
      <c r="W362" s="1" t="s">
        <v>627</v>
      </c>
      <c r="X362" s="2">
        <v>20255127288</v>
      </c>
      <c r="Y362" s="14">
        <v>45957</v>
      </c>
      <c r="Z362" s="14">
        <v>45962</v>
      </c>
      <c r="AA362" s="14">
        <v>45963</v>
      </c>
      <c r="AB362" s="14">
        <v>45963</v>
      </c>
      <c r="AC362" s="14">
        <v>45967</v>
      </c>
      <c r="AD362" s="2">
        <v>17615840635</v>
      </c>
      <c r="AE362" s="2" t="s">
        <v>2572</v>
      </c>
      <c r="AF362" s="2">
        <v>3</v>
      </c>
      <c r="AG362" s="2">
        <v>585</v>
      </c>
      <c r="AH362" s="2"/>
      <c r="AI362" s="2" t="s">
        <v>180</v>
      </c>
      <c r="AJ362" s="2"/>
      <c r="AK362" s="14">
        <v>45961</v>
      </c>
      <c r="AL362" s="14">
        <v>45962</v>
      </c>
      <c r="AM362" s="14">
        <v>45962</v>
      </c>
      <c r="AN362" s="2"/>
      <c r="AO362" s="2">
        <v>5464850</v>
      </c>
      <c r="AP362" s="14">
        <v>45964</v>
      </c>
      <c r="AQ362" s="14">
        <v>45967</v>
      </c>
      <c r="AR362" s="15" t="s">
        <v>2641</v>
      </c>
      <c r="AS362" s="2"/>
      <c r="AT362" s="44">
        <v>51989</v>
      </c>
      <c r="AV362" s="14">
        <v>45966</v>
      </c>
      <c r="AW362" s="14">
        <v>45967</v>
      </c>
      <c r="AY362" s="2">
        <v>5665861</v>
      </c>
      <c r="AZ362" s="5">
        <v>45974</v>
      </c>
      <c r="BA362" s="1">
        <v>5576745</v>
      </c>
      <c r="BB362" s="2">
        <v>1003814</v>
      </c>
      <c r="BC362" s="5">
        <v>45974</v>
      </c>
      <c r="BD362" s="14">
        <v>45975</v>
      </c>
      <c r="BF362" s="5">
        <v>45975</v>
      </c>
      <c r="BG362" s="5">
        <v>45976</v>
      </c>
      <c r="BH362" s="1" t="s">
        <v>2720</v>
      </c>
      <c r="BI362" s="1" t="s">
        <v>273</v>
      </c>
      <c r="BQ362" s="14">
        <v>45967</v>
      </c>
      <c r="BR362" s="5">
        <v>45973</v>
      </c>
    </row>
    <row r="363" spans="1:70" ht="18" customHeight="1" x14ac:dyDescent="0.3">
      <c r="A363" s="2">
        <v>363</v>
      </c>
      <c r="B363" s="2">
        <v>251017867</v>
      </c>
      <c r="C363" s="111">
        <v>45958</v>
      </c>
      <c r="D363" s="2">
        <v>27376.81</v>
      </c>
      <c r="E363" s="2" t="s">
        <v>677</v>
      </c>
      <c r="F363" s="2" t="s">
        <v>2546</v>
      </c>
      <c r="G363" s="2" t="s">
        <v>476</v>
      </c>
      <c r="H363" s="2">
        <v>1</v>
      </c>
      <c r="I363" s="83">
        <v>51905</v>
      </c>
      <c r="J363" s="2" t="s">
        <v>142</v>
      </c>
      <c r="K363" s="2" t="s">
        <v>126</v>
      </c>
      <c r="L363" s="2" t="s">
        <v>854</v>
      </c>
      <c r="M363" s="134">
        <v>45960</v>
      </c>
      <c r="N363" s="56" t="s">
        <v>2747</v>
      </c>
      <c r="Q363" s="67">
        <f t="shared" ref="Q363:Q368" si="43">AQ363-AB363</f>
        <v>4</v>
      </c>
      <c r="R363" s="29">
        <f t="shared" si="41"/>
        <v>17</v>
      </c>
      <c r="T363" s="1">
        <v>180</v>
      </c>
      <c r="U363" s="1" t="s">
        <v>2219</v>
      </c>
      <c r="V363" s="2" t="s">
        <v>755</v>
      </c>
      <c r="W363" s="1" t="s">
        <v>827</v>
      </c>
      <c r="X363" s="2" t="s">
        <v>2552</v>
      </c>
      <c r="Y363" s="14">
        <v>45959</v>
      </c>
      <c r="Z363" s="14">
        <v>45962</v>
      </c>
      <c r="AA363" s="14">
        <v>45960</v>
      </c>
      <c r="AB363" s="14">
        <v>45960</v>
      </c>
      <c r="AC363" s="14">
        <v>45964</v>
      </c>
      <c r="AD363" s="2" t="s">
        <v>2548</v>
      </c>
      <c r="AE363" s="2" t="s">
        <v>2550</v>
      </c>
      <c r="AF363" s="2">
        <v>1</v>
      </c>
      <c r="AG363" s="2">
        <v>3.5</v>
      </c>
      <c r="AH363" s="2"/>
      <c r="AI363" s="2" t="s">
        <v>179</v>
      </c>
      <c r="AJ363" s="2"/>
      <c r="AK363" s="14">
        <v>45959</v>
      </c>
      <c r="AL363" s="14">
        <v>45960</v>
      </c>
      <c r="AM363" s="14">
        <v>45960</v>
      </c>
      <c r="AN363" s="2"/>
      <c r="AO363" s="2">
        <v>5415901</v>
      </c>
      <c r="AP363" s="14">
        <v>45961</v>
      </c>
      <c r="AQ363" s="14">
        <v>45964</v>
      </c>
      <c r="AS363" s="2"/>
      <c r="AT363" s="44">
        <v>51956</v>
      </c>
      <c r="AV363" s="14">
        <v>45964</v>
      </c>
      <c r="AW363" s="14">
        <v>45964</v>
      </c>
      <c r="AY363" s="2">
        <v>5482410</v>
      </c>
      <c r="AZ363" s="5">
        <v>45965</v>
      </c>
      <c r="BA363" s="1">
        <v>2428323</v>
      </c>
      <c r="BB363" s="2">
        <v>437098</v>
      </c>
      <c r="BC363" s="5">
        <v>45965</v>
      </c>
      <c r="BD363" s="14">
        <v>45966</v>
      </c>
      <c r="BF363" s="5">
        <v>45973</v>
      </c>
      <c r="BG363" s="5">
        <v>45981</v>
      </c>
      <c r="BH363" s="1" t="s">
        <v>1967</v>
      </c>
      <c r="BI363" s="1" t="s">
        <v>273</v>
      </c>
      <c r="BQ363" s="14">
        <v>45964</v>
      </c>
      <c r="BR363" s="5">
        <v>45964</v>
      </c>
    </row>
    <row r="364" spans="1:70" ht="18" customHeight="1" x14ac:dyDescent="0.3">
      <c r="A364" s="2">
        <v>364</v>
      </c>
      <c r="B364" s="2">
        <v>251104808</v>
      </c>
      <c r="C364" s="111">
        <v>45971</v>
      </c>
      <c r="D364" s="2">
        <v>164260.85999999999</v>
      </c>
      <c r="E364" s="2" t="s">
        <v>677</v>
      </c>
      <c r="F364" s="2" t="s">
        <v>1346</v>
      </c>
      <c r="G364" s="2" t="s">
        <v>476</v>
      </c>
      <c r="H364" s="2">
        <v>6</v>
      </c>
      <c r="I364" s="83">
        <v>52080</v>
      </c>
      <c r="J364" s="2" t="s">
        <v>142</v>
      </c>
      <c r="K364" s="2" t="s">
        <v>126</v>
      </c>
      <c r="L364" s="2" t="s">
        <v>854</v>
      </c>
      <c r="M364" s="134">
        <v>45975</v>
      </c>
      <c r="N364" s="56" t="s">
        <v>2748</v>
      </c>
      <c r="Q364" s="67">
        <f t="shared" si="43"/>
        <v>3</v>
      </c>
      <c r="R364" s="29">
        <f t="shared" si="41"/>
        <v>3</v>
      </c>
      <c r="T364" s="1"/>
      <c r="U364" s="1" t="s">
        <v>2219</v>
      </c>
      <c r="V364" s="2" t="s">
        <v>755</v>
      </c>
      <c r="W364" s="1" t="s">
        <v>827</v>
      </c>
      <c r="X364" s="2" t="s">
        <v>2688</v>
      </c>
      <c r="Y364" s="14">
        <v>45972</v>
      </c>
      <c r="Z364" s="14">
        <v>45975</v>
      </c>
      <c r="AA364" s="14">
        <v>45975</v>
      </c>
      <c r="AB364" s="14">
        <v>45975</v>
      </c>
      <c r="AC364" s="14">
        <v>45978</v>
      </c>
      <c r="AD364" s="2">
        <v>60751026426</v>
      </c>
      <c r="AE364" s="2">
        <v>4840741588</v>
      </c>
      <c r="AF364" s="2">
        <v>6</v>
      </c>
      <c r="AG364" s="2">
        <v>24.5</v>
      </c>
      <c r="AH364" s="2"/>
      <c r="AI364" s="2" t="s">
        <v>180</v>
      </c>
      <c r="AJ364" s="2"/>
      <c r="AK364" s="14">
        <v>45974</v>
      </c>
      <c r="AL364" s="14">
        <v>45974</v>
      </c>
      <c r="AM364" s="14">
        <v>45974</v>
      </c>
      <c r="AN364" s="2"/>
      <c r="AO364" s="2">
        <v>5695594</v>
      </c>
      <c r="AP364" s="14">
        <v>45975</v>
      </c>
      <c r="AQ364" s="14">
        <v>45978</v>
      </c>
      <c r="AS364" s="2"/>
      <c r="AT364" s="138">
        <v>52119</v>
      </c>
      <c r="AV364" s="14">
        <v>45976</v>
      </c>
      <c r="AW364" s="14">
        <v>45978</v>
      </c>
      <c r="AY364" s="2">
        <v>5763378</v>
      </c>
      <c r="AZ364" s="5">
        <v>45979</v>
      </c>
      <c r="BA364" s="1">
        <v>14701346.970000001</v>
      </c>
      <c r="BB364" s="2">
        <v>2646243</v>
      </c>
      <c r="BC364" s="5">
        <v>45979</v>
      </c>
      <c r="BD364" s="14">
        <v>45979</v>
      </c>
      <c r="BF364" s="5">
        <v>45980</v>
      </c>
      <c r="BG364" s="5">
        <v>45981</v>
      </c>
      <c r="BH364" s="1" t="s">
        <v>1967</v>
      </c>
      <c r="BI364" s="1" t="s">
        <v>273</v>
      </c>
      <c r="BQ364" s="14">
        <v>45978</v>
      </c>
      <c r="BR364" s="5">
        <v>45978</v>
      </c>
    </row>
    <row r="365" spans="1:70" ht="18" customHeight="1" x14ac:dyDescent="0.3">
      <c r="A365" s="2">
        <v>365</v>
      </c>
      <c r="B365" s="2">
        <v>7010396</v>
      </c>
      <c r="C365" s="111">
        <v>45929</v>
      </c>
      <c r="D365" s="2">
        <v>75850</v>
      </c>
      <c r="E365" s="2" t="s">
        <v>840</v>
      </c>
      <c r="F365" s="8" t="s">
        <v>2525</v>
      </c>
      <c r="G365" s="8" t="s">
        <v>2580</v>
      </c>
      <c r="H365" s="8" t="s">
        <v>446</v>
      </c>
      <c r="I365" s="83">
        <v>52056</v>
      </c>
      <c r="J365" s="2" t="s">
        <v>142</v>
      </c>
      <c r="K365" s="2" t="s">
        <v>126</v>
      </c>
      <c r="L365" s="2" t="s">
        <v>854</v>
      </c>
      <c r="M365" s="134">
        <v>45974</v>
      </c>
      <c r="N365" s="56" t="s">
        <v>2750</v>
      </c>
      <c r="Q365" s="67">
        <f t="shared" si="43"/>
        <v>4</v>
      </c>
      <c r="R365" s="29">
        <f t="shared" si="41"/>
        <v>4</v>
      </c>
      <c r="T365" s="1">
        <v>502</v>
      </c>
      <c r="U365" s="1" t="s">
        <v>2675</v>
      </c>
      <c r="V365" s="1" t="s">
        <v>204</v>
      </c>
      <c r="W365" s="1" t="s">
        <v>203</v>
      </c>
      <c r="X365" s="2" t="s">
        <v>2676</v>
      </c>
      <c r="Y365" s="14">
        <v>45972</v>
      </c>
      <c r="Z365" s="14">
        <v>45974</v>
      </c>
      <c r="AA365" s="14">
        <v>45974</v>
      </c>
      <c r="AB365" s="14">
        <v>45974</v>
      </c>
      <c r="AC365" s="14">
        <v>45978</v>
      </c>
      <c r="AD365" s="2">
        <v>17615752682</v>
      </c>
      <c r="AE365" s="2" t="s">
        <v>2677</v>
      </c>
      <c r="AF365" s="2">
        <v>1</v>
      </c>
      <c r="AG365" s="2">
        <v>208</v>
      </c>
      <c r="AH365" s="2"/>
      <c r="AI365" s="2" t="s">
        <v>629</v>
      </c>
      <c r="AJ365" s="2"/>
      <c r="AK365" s="14">
        <v>45972</v>
      </c>
      <c r="AL365" s="14">
        <v>45972</v>
      </c>
      <c r="AM365" s="14">
        <v>45973</v>
      </c>
      <c r="AN365" s="2"/>
      <c r="AO365" s="2">
        <v>5693981</v>
      </c>
      <c r="AP365" s="14">
        <v>45975</v>
      </c>
      <c r="AQ365" s="14">
        <v>45978</v>
      </c>
      <c r="AS365" s="2"/>
      <c r="AT365" s="138">
        <v>52120</v>
      </c>
      <c r="AV365" s="14">
        <v>45976</v>
      </c>
      <c r="AW365" s="14">
        <v>45978</v>
      </c>
      <c r="AY365" s="2">
        <v>5763620</v>
      </c>
      <c r="AZ365" s="5">
        <v>45979</v>
      </c>
      <c r="BA365" s="1">
        <v>6788575</v>
      </c>
      <c r="BB365" s="2">
        <v>1221944</v>
      </c>
      <c r="BC365" s="5">
        <v>45979</v>
      </c>
      <c r="BD365" s="14">
        <v>45980</v>
      </c>
      <c r="BF365" s="5">
        <v>45981</v>
      </c>
      <c r="BG365" s="5">
        <v>45982</v>
      </c>
      <c r="BH365" s="1" t="s">
        <v>2749</v>
      </c>
      <c r="BI365" s="1" t="s">
        <v>273</v>
      </c>
      <c r="BQ365" s="14">
        <v>45978</v>
      </c>
      <c r="BR365" s="5">
        <v>45978</v>
      </c>
    </row>
    <row r="366" spans="1:70" ht="18" customHeight="1" x14ac:dyDescent="0.3">
      <c r="A366" s="2">
        <v>366</v>
      </c>
      <c r="B366" s="2">
        <v>7010540</v>
      </c>
      <c r="C366" s="111">
        <v>45930</v>
      </c>
      <c r="D366" s="2">
        <v>14539</v>
      </c>
      <c r="E366" s="2" t="s">
        <v>840</v>
      </c>
      <c r="F366" s="8" t="s">
        <v>540</v>
      </c>
      <c r="G366" s="8" t="s">
        <v>1335</v>
      </c>
      <c r="H366" s="8" t="s">
        <v>2703</v>
      </c>
      <c r="I366" s="83">
        <v>52100</v>
      </c>
      <c r="J366" s="2" t="s">
        <v>1631</v>
      </c>
      <c r="K366" s="2" t="s">
        <v>126</v>
      </c>
      <c r="L366" s="2" t="s">
        <v>1632</v>
      </c>
      <c r="M366" s="134">
        <v>45975</v>
      </c>
      <c r="N366" s="56" t="s">
        <v>2807</v>
      </c>
      <c r="Q366" s="67">
        <f t="shared" si="43"/>
        <v>3</v>
      </c>
      <c r="R366" s="29">
        <f t="shared" si="41"/>
        <v>12</v>
      </c>
      <c r="T366" s="1"/>
      <c r="U366" s="2" t="s">
        <v>2704</v>
      </c>
      <c r="V366" s="1" t="s">
        <v>645</v>
      </c>
      <c r="W366" s="79" t="s">
        <v>426</v>
      </c>
      <c r="X366" s="2">
        <v>20255132542</v>
      </c>
      <c r="Y366" s="14">
        <v>45971</v>
      </c>
      <c r="Z366" s="14">
        <v>45978</v>
      </c>
      <c r="AA366" s="14">
        <v>45954</v>
      </c>
      <c r="AB366" s="14">
        <v>45977</v>
      </c>
      <c r="AC366" s="14">
        <v>45980</v>
      </c>
      <c r="AD366" s="2" t="s">
        <v>2705</v>
      </c>
      <c r="AE366" s="2"/>
      <c r="AF366" s="2">
        <v>1</v>
      </c>
      <c r="AG366" s="2">
        <v>1.1399999999999999</v>
      </c>
      <c r="AH366" s="2"/>
      <c r="AI366" s="2" t="s">
        <v>180</v>
      </c>
      <c r="AJ366" s="2"/>
      <c r="AK366" s="14">
        <v>45974</v>
      </c>
      <c r="AL366" s="14">
        <v>45974</v>
      </c>
      <c r="AM366" s="14">
        <v>45975</v>
      </c>
      <c r="AN366" s="2"/>
      <c r="AO366" s="2">
        <v>5748031</v>
      </c>
      <c r="AP366" s="14">
        <v>45978</v>
      </c>
      <c r="AQ366" s="14">
        <v>45980</v>
      </c>
      <c r="AR366" s="15" t="s">
        <v>2776</v>
      </c>
      <c r="AS366" s="2"/>
      <c r="AT366" s="44">
        <v>52154</v>
      </c>
      <c r="AV366" s="14">
        <v>45979</v>
      </c>
      <c r="AW366" s="14">
        <v>45980</v>
      </c>
      <c r="AY366" s="2">
        <v>5878294</v>
      </c>
      <c r="AZ366" s="5">
        <v>45985</v>
      </c>
      <c r="BA366" s="1">
        <v>1301241</v>
      </c>
      <c r="BB366" s="2">
        <v>234223</v>
      </c>
      <c r="BC366" s="5">
        <v>45985</v>
      </c>
      <c r="BD366" s="14">
        <v>45985</v>
      </c>
      <c r="BF366" s="5">
        <v>45986</v>
      </c>
      <c r="BG366" s="5">
        <v>45992</v>
      </c>
      <c r="BH366" s="1" t="s">
        <v>2806</v>
      </c>
      <c r="BI366" s="1" t="s">
        <v>273</v>
      </c>
      <c r="BQ366" s="14">
        <v>45980</v>
      </c>
      <c r="BR366" s="5">
        <v>45982</v>
      </c>
    </row>
    <row r="367" spans="1:70" ht="18" customHeight="1" x14ac:dyDescent="0.3">
      <c r="A367" s="2">
        <v>367</v>
      </c>
      <c r="B367" s="2">
        <v>7040194</v>
      </c>
      <c r="C367" s="111">
        <v>45971</v>
      </c>
      <c r="D367" s="2">
        <v>44213</v>
      </c>
      <c r="E367" s="2" t="s">
        <v>840</v>
      </c>
      <c r="F367" s="8" t="s">
        <v>2448</v>
      </c>
      <c r="G367" s="8" t="s">
        <v>1332</v>
      </c>
      <c r="H367" s="8" t="s">
        <v>822</v>
      </c>
      <c r="I367" s="83">
        <v>52175</v>
      </c>
      <c r="J367" s="2" t="s">
        <v>142</v>
      </c>
      <c r="K367" s="2" t="s">
        <v>126</v>
      </c>
      <c r="L367" s="2" t="s">
        <v>854</v>
      </c>
      <c r="M367" s="134">
        <v>45984</v>
      </c>
      <c r="N367" s="56" t="s">
        <v>2808</v>
      </c>
      <c r="Q367" s="67">
        <f t="shared" si="43"/>
        <v>2</v>
      </c>
      <c r="R367" s="29">
        <f t="shared" si="41"/>
        <v>6</v>
      </c>
      <c r="T367" s="1"/>
      <c r="U367" s="1" t="s">
        <v>2449</v>
      </c>
      <c r="V367" s="1" t="s">
        <v>645</v>
      </c>
      <c r="W367" s="79" t="s">
        <v>426</v>
      </c>
      <c r="X367" s="2">
        <v>20255136319</v>
      </c>
      <c r="Y367" s="14">
        <v>45980</v>
      </c>
      <c r="Z367" s="14">
        <v>45983</v>
      </c>
      <c r="AA367" s="14">
        <v>45984</v>
      </c>
      <c r="AB367" s="14">
        <v>45984</v>
      </c>
      <c r="AC367" s="14">
        <v>45986</v>
      </c>
      <c r="AD367" s="2">
        <v>17620972254</v>
      </c>
      <c r="AE367" s="2" t="s">
        <v>2732</v>
      </c>
      <c r="AF367" s="2">
        <v>2</v>
      </c>
      <c r="AG367" s="2">
        <v>409</v>
      </c>
      <c r="AH367" s="2"/>
      <c r="AI367" s="2" t="s">
        <v>180</v>
      </c>
      <c r="AJ367" s="2"/>
      <c r="AK367" s="14">
        <v>45981</v>
      </c>
      <c r="AL367" s="14">
        <v>45981</v>
      </c>
      <c r="AM367" s="14">
        <v>45981</v>
      </c>
      <c r="AN367" s="2"/>
      <c r="AO367" s="2">
        <v>5880213</v>
      </c>
      <c r="AP367" s="14">
        <v>45985</v>
      </c>
      <c r="AQ367" s="14">
        <v>45986</v>
      </c>
      <c r="AR367" s="15" t="s">
        <v>2767</v>
      </c>
      <c r="AS367" s="2"/>
      <c r="AT367" s="44">
        <v>52209</v>
      </c>
      <c r="AV367" s="14">
        <v>45986</v>
      </c>
      <c r="AW367" s="14">
        <v>45986</v>
      </c>
      <c r="AY367" s="2">
        <v>5943035</v>
      </c>
      <c r="AZ367" s="5">
        <v>45988</v>
      </c>
      <c r="BA367" s="1">
        <v>3957063.5</v>
      </c>
      <c r="BB367" s="2">
        <v>712271</v>
      </c>
      <c r="BC367" s="5">
        <v>45988</v>
      </c>
      <c r="BD367" s="14">
        <v>45989</v>
      </c>
      <c r="BF367" s="5">
        <v>45990</v>
      </c>
      <c r="BG367" s="5">
        <v>45992</v>
      </c>
      <c r="BH367" s="1" t="s">
        <v>2806</v>
      </c>
      <c r="BI367" s="1" t="s">
        <v>273</v>
      </c>
      <c r="BQ367" s="14">
        <v>45986</v>
      </c>
      <c r="BR367" s="5">
        <v>45987</v>
      </c>
    </row>
    <row r="368" spans="1:70" ht="18" customHeight="1" x14ac:dyDescent="0.3">
      <c r="A368" s="2">
        <v>368</v>
      </c>
      <c r="B368" s="8" t="s">
        <v>2740</v>
      </c>
      <c r="C368" s="8" t="s">
        <v>2741</v>
      </c>
      <c r="D368" s="7" t="s">
        <v>2742</v>
      </c>
      <c r="E368" s="2" t="s">
        <v>840</v>
      </c>
      <c r="F368" s="8" t="s">
        <v>1104</v>
      </c>
      <c r="G368" s="8" t="s">
        <v>2743</v>
      </c>
      <c r="H368" s="8" t="s">
        <v>2744</v>
      </c>
      <c r="I368" s="83">
        <v>52185</v>
      </c>
      <c r="J368" s="2" t="s">
        <v>142</v>
      </c>
      <c r="K368" s="2" t="s">
        <v>126</v>
      </c>
      <c r="L368" s="2" t="s">
        <v>854</v>
      </c>
      <c r="M368" s="134">
        <v>45984</v>
      </c>
      <c r="N368" s="56" t="s">
        <v>2824</v>
      </c>
      <c r="Q368" s="67">
        <f t="shared" si="43"/>
        <v>2</v>
      </c>
      <c r="R368" s="29">
        <f t="shared" si="41"/>
        <v>10</v>
      </c>
      <c r="T368" s="1"/>
      <c r="U368" s="8" t="s">
        <v>2745</v>
      </c>
      <c r="V368" s="1" t="s">
        <v>626</v>
      </c>
      <c r="W368" s="1" t="s">
        <v>627</v>
      </c>
      <c r="X368" s="2">
        <v>20255136352</v>
      </c>
      <c r="Y368" s="14">
        <v>45980</v>
      </c>
      <c r="Z368" s="14">
        <v>45985</v>
      </c>
      <c r="AA368" s="14">
        <v>45984</v>
      </c>
      <c r="AB368" s="14">
        <v>45984</v>
      </c>
      <c r="AC368" s="14">
        <v>45986</v>
      </c>
      <c r="AD368" s="2">
        <v>17620972254</v>
      </c>
      <c r="AE368" s="2" t="s">
        <v>2746</v>
      </c>
      <c r="AF368" s="2">
        <v>5</v>
      </c>
      <c r="AG368" s="2">
        <v>1209.5</v>
      </c>
      <c r="AH368" s="2"/>
      <c r="AI368" s="2" t="s">
        <v>180</v>
      </c>
      <c r="AJ368" s="2"/>
      <c r="AK368" s="14">
        <v>45981</v>
      </c>
      <c r="AL368" s="14">
        <v>45982</v>
      </c>
      <c r="AM368" s="14">
        <v>45982</v>
      </c>
      <c r="AN368" s="2"/>
      <c r="AO368" s="2">
        <v>5882179</v>
      </c>
      <c r="AP368" s="14">
        <v>45985</v>
      </c>
      <c r="AQ368" s="14">
        <v>45986</v>
      </c>
      <c r="AR368" s="15" t="s">
        <v>2777</v>
      </c>
      <c r="AS368" s="2"/>
      <c r="AT368" s="44">
        <v>52210</v>
      </c>
      <c r="AV368" s="14">
        <v>45986</v>
      </c>
      <c r="AW368" s="14">
        <v>45986</v>
      </c>
      <c r="AY368" s="142">
        <v>6079224</v>
      </c>
      <c r="AZ368" s="130">
        <v>45995</v>
      </c>
      <c r="BA368" s="1">
        <v>11153490</v>
      </c>
      <c r="BB368" s="2">
        <v>2007628</v>
      </c>
      <c r="BC368" s="5">
        <v>45995</v>
      </c>
      <c r="BD368" s="14">
        <v>45995</v>
      </c>
      <c r="BF368" s="5">
        <v>45996</v>
      </c>
      <c r="BG368" s="5">
        <v>45996</v>
      </c>
      <c r="BH368" s="1" t="s">
        <v>2823</v>
      </c>
      <c r="BI368" s="1" t="s">
        <v>273</v>
      </c>
      <c r="BQ368" s="14">
        <v>45986</v>
      </c>
      <c r="BR368" s="5">
        <v>45629</v>
      </c>
    </row>
    <row r="369" spans="1:70" ht="18" customHeight="1" x14ac:dyDescent="0.3">
      <c r="A369" s="2">
        <v>369</v>
      </c>
      <c r="B369" s="2">
        <v>7011091</v>
      </c>
      <c r="C369" s="111">
        <v>45930</v>
      </c>
      <c r="D369" s="2">
        <v>49848</v>
      </c>
      <c r="E369" s="2" t="s">
        <v>840</v>
      </c>
      <c r="F369" s="8" t="s">
        <v>2668</v>
      </c>
      <c r="G369" s="8" t="s">
        <v>2582</v>
      </c>
      <c r="H369" s="8" t="s">
        <v>423</v>
      </c>
      <c r="I369" s="83">
        <v>52058</v>
      </c>
      <c r="J369" s="2" t="s">
        <v>142</v>
      </c>
      <c r="K369" s="2" t="s">
        <v>126</v>
      </c>
      <c r="L369" s="2" t="s">
        <v>854</v>
      </c>
      <c r="M369" s="134">
        <v>45974</v>
      </c>
      <c r="N369" s="56" t="s">
        <v>2831</v>
      </c>
      <c r="Q369" s="67">
        <f>AQ369-AB369</f>
        <v>4</v>
      </c>
      <c r="R369" s="29">
        <f t="shared" si="41"/>
        <v>21</v>
      </c>
      <c r="T369" s="1"/>
      <c r="U369" s="1" t="s">
        <v>2669</v>
      </c>
      <c r="V369" s="2" t="s">
        <v>161</v>
      </c>
      <c r="W369" s="2" t="s">
        <v>454</v>
      </c>
      <c r="X369" s="2" t="s">
        <v>2671</v>
      </c>
      <c r="Y369" s="14">
        <v>45972</v>
      </c>
      <c r="Z369" s="14">
        <v>45974</v>
      </c>
      <c r="AA369" s="14">
        <v>45974</v>
      </c>
      <c r="AB369" s="14">
        <v>45974</v>
      </c>
      <c r="AC369" s="14">
        <v>45978</v>
      </c>
      <c r="AD369" s="2">
        <v>17615752682</v>
      </c>
      <c r="AE369" s="2" t="s">
        <v>2673</v>
      </c>
      <c r="AF369" s="2">
        <v>2</v>
      </c>
      <c r="AG369" s="2">
        <v>516</v>
      </c>
      <c r="AH369" s="2"/>
      <c r="AI369" s="2" t="s">
        <v>629</v>
      </c>
      <c r="AJ369" s="2"/>
      <c r="AK369" s="14">
        <v>45972</v>
      </c>
      <c r="AL369" s="14">
        <v>45972</v>
      </c>
      <c r="AM369" s="14">
        <v>45973</v>
      </c>
      <c r="AN369" s="2"/>
      <c r="AO369" s="2">
        <v>5694212</v>
      </c>
      <c r="AP369" s="14">
        <v>45975</v>
      </c>
      <c r="AQ369" s="14">
        <v>45978</v>
      </c>
      <c r="AR369" s="15" t="s">
        <v>2768</v>
      </c>
      <c r="AS369" s="2"/>
      <c r="AT369" s="44">
        <v>52121</v>
      </c>
      <c r="AV369" s="14">
        <v>45976</v>
      </c>
      <c r="AW369" s="14">
        <v>45978</v>
      </c>
      <c r="AY369" s="142">
        <v>6079558</v>
      </c>
      <c r="AZ369" s="5">
        <v>45995</v>
      </c>
      <c r="BA369" s="1">
        <v>4461396</v>
      </c>
      <c r="BB369" s="2">
        <v>803051</v>
      </c>
      <c r="BC369" s="5">
        <v>45995</v>
      </c>
      <c r="BD369" s="14">
        <v>45995</v>
      </c>
      <c r="BF369" s="5">
        <v>45996</v>
      </c>
      <c r="BG369" s="5">
        <v>45999</v>
      </c>
      <c r="BH369" s="1" t="s">
        <v>2830</v>
      </c>
      <c r="BI369" s="1" t="s">
        <v>273</v>
      </c>
      <c r="BM369" s="15" t="s">
        <v>2828</v>
      </c>
      <c r="BQ369" s="14">
        <v>45978</v>
      </c>
      <c r="BR369" s="5">
        <v>45993</v>
      </c>
    </row>
    <row r="370" spans="1:70" ht="18" customHeight="1" x14ac:dyDescent="0.3">
      <c r="A370" s="2">
        <v>370</v>
      </c>
      <c r="B370" s="2">
        <v>7009686</v>
      </c>
      <c r="C370" s="111">
        <v>45929</v>
      </c>
      <c r="D370" s="2">
        <v>75850</v>
      </c>
      <c r="E370" s="2" t="s">
        <v>840</v>
      </c>
      <c r="F370" s="8" t="s">
        <v>2525</v>
      </c>
      <c r="G370" s="8" t="s">
        <v>2580</v>
      </c>
      <c r="H370" s="8" t="s">
        <v>446</v>
      </c>
      <c r="I370" s="83">
        <v>52059</v>
      </c>
      <c r="J370" s="2" t="s">
        <v>142</v>
      </c>
      <c r="K370" s="2" t="s">
        <v>126</v>
      </c>
      <c r="L370" s="2" t="s">
        <v>854</v>
      </c>
      <c r="M370" s="134">
        <v>45974</v>
      </c>
      <c r="N370" s="56" t="s">
        <v>2832</v>
      </c>
      <c r="Q370" s="67">
        <f>AQ370-AB370</f>
        <v>4</v>
      </c>
      <c r="R370" s="29">
        <f t="shared" si="41"/>
        <v>21</v>
      </c>
      <c r="T370" s="1"/>
      <c r="U370" s="1" t="s">
        <v>2670</v>
      </c>
      <c r="V370" s="2" t="s">
        <v>161</v>
      </c>
      <c r="W370" s="2" t="s">
        <v>454</v>
      </c>
      <c r="X370" s="2" t="s">
        <v>2672</v>
      </c>
      <c r="Y370" s="14">
        <v>45972</v>
      </c>
      <c r="Z370" s="14">
        <v>45974</v>
      </c>
      <c r="AA370" s="14">
        <v>45974</v>
      </c>
      <c r="AB370" s="14">
        <v>45974</v>
      </c>
      <c r="AC370" s="14">
        <v>45978</v>
      </c>
      <c r="AD370" s="2">
        <v>17615752682</v>
      </c>
      <c r="AE370" s="2" t="s">
        <v>2674</v>
      </c>
      <c r="AF370" s="2">
        <v>1</v>
      </c>
      <c r="AG370" s="2">
        <v>190</v>
      </c>
      <c r="AH370" s="2"/>
      <c r="AI370" s="2" t="s">
        <v>629</v>
      </c>
      <c r="AJ370" s="2"/>
      <c r="AK370" s="14">
        <v>45972</v>
      </c>
      <c r="AL370" s="14">
        <v>45972</v>
      </c>
      <c r="AM370" s="14">
        <v>45972</v>
      </c>
      <c r="AN370" s="2"/>
      <c r="AO370" s="2">
        <v>5695598</v>
      </c>
      <c r="AP370" s="14">
        <v>45975</v>
      </c>
      <c r="AQ370" s="14">
        <v>45978</v>
      </c>
      <c r="AR370" s="15" t="s">
        <v>2769</v>
      </c>
      <c r="AS370" s="2"/>
      <c r="AT370" s="44">
        <v>52122</v>
      </c>
      <c r="AV370" s="14">
        <v>45976</v>
      </c>
      <c r="AW370" s="14">
        <v>45978</v>
      </c>
      <c r="AY370" s="142">
        <v>6079935</v>
      </c>
      <c r="AZ370" s="5">
        <v>45995</v>
      </c>
      <c r="BA370" s="1">
        <v>6788575</v>
      </c>
      <c r="BB370" s="2">
        <v>1221944</v>
      </c>
      <c r="BC370" s="5">
        <v>45995</v>
      </c>
      <c r="BD370" s="14">
        <v>45995</v>
      </c>
      <c r="BF370" s="5">
        <v>45996</v>
      </c>
      <c r="BG370" s="5">
        <v>45999</v>
      </c>
      <c r="BH370" s="1" t="s">
        <v>2830</v>
      </c>
      <c r="BI370" s="1" t="s">
        <v>273</v>
      </c>
      <c r="BM370" s="15" t="s">
        <v>2828</v>
      </c>
      <c r="BQ370" s="14">
        <v>45978</v>
      </c>
      <c r="BR370" s="5">
        <v>45993</v>
      </c>
    </row>
    <row r="371" spans="1:70" ht="18" customHeight="1" x14ac:dyDescent="0.3">
      <c r="A371" s="2">
        <v>371</v>
      </c>
      <c r="B371" s="2">
        <v>251104052</v>
      </c>
      <c r="C371" s="111">
        <v>45981</v>
      </c>
      <c r="D371" s="2">
        <v>37272.120000000003</v>
      </c>
      <c r="E371" s="2" t="s">
        <v>677</v>
      </c>
      <c r="F371" s="2" t="s">
        <v>2751</v>
      </c>
      <c r="G371" s="2" t="s">
        <v>2752</v>
      </c>
      <c r="H371" s="2">
        <v>2</v>
      </c>
      <c r="I371" s="83">
        <v>52205</v>
      </c>
      <c r="J371" s="2" t="s">
        <v>142</v>
      </c>
      <c r="K371" s="2" t="s">
        <v>126</v>
      </c>
      <c r="L371" s="2" t="s">
        <v>854</v>
      </c>
      <c r="M371" s="134">
        <v>45987</v>
      </c>
      <c r="N371" s="56" t="s">
        <v>2844</v>
      </c>
      <c r="Q371" s="67">
        <f t="shared" ref="Q371:Q372" si="44">AQ371-AB371</f>
        <v>3</v>
      </c>
      <c r="R371" s="29">
        <f t="shared" si="41"/>
        <v>12</v>
      </c>
      <c r="T371" s="1"/>
      <c r="U371" s="1" t="s">
        <v>2219</v>
      </c>
      <c r="V371" s="2" t="s">
        <v>755</v>
      </c>
      <c r="W371" s="1" t="s">
        <v>827</v>
      </c>
      <c r="X371" s="2" t="s">
        <v>2753</v>
      </c>
      <c r="Y371" s="14">
        <v>45982</v>
      </c>
      <c r="Z371" s="14">
        <v>45987</v>
      </c>
      <c r="AA371" s="14">
        <v>45986</v>
      </c>
      <c r="AB371" s="14">
        <v>45986</v>
      </c>
      <c r="AC371" s="14">
        <v>45989</v>
      </c>
      <c r="AD371" s="2">
        <v>60751570411</v>
      </c>
      <c r="AE371" s="2">
        <v>4840744424</v>
      </c>
      <c r="AF371" s="2">
        <v>2</v>
      </c>
      <c r="AG371" s="2">
        <v>15</v>
      </c>
      <c r="AH371" s="2"/>
      <c r="AI371" s="2" t="s">
        <v>179</v>
      </c>
      <c r="AJ371" s="2"/>
      <c r="AK371" s="14">
        <v>45985</v>
      </c>
      <c r="AL371" s="14">
        <v>45985</v>
      </c>
      <c r="AM371" s="14">
        <v>45985</v>
      </c>
      <c r="AN371" s="2"/>
      <c r="AO371" s="2">
        <v>5923038</v>
      </c>
      <c r="AP371" s="14">
        <v>45987</v>
      </c>
      <c r="AQ371" s="14">
        <v>45989</v>
      </c>
      <c r="AS371" s="2"/>
      <c r="AT371" s="44">
        <v>52246</v>
      </c>
      <c r="AV371" s="14">
        <v>45988</v>
      </c>
      <c r="AW371" s="14">
        <v>45988</v>
      </c>
      <c r="AY371" s="2">
        <v>6017986</v>
      </c>
      <c r="AZ371" s="5">
        <v>45992</v>
      </c>
      <c r="BA371" s="1">
        <v>3335855</v>
      </c>
      <c r="BB371" s="2">
        <v>600454</v>
      </c>
      <c r="BC371" s="5">
        <v>45992</v>
      </c>
      <c r="BD371" s="14">
        <v>45992</v>
      </c>
      <c r="BF371" s="5">
        <v>45993</v>
      </c>
      <c r="BG371" s="5">
        <v>46001</v>
      </c>
      <c r="BH371" s="1" t="s">
        <v>2843</v>
      </c>
      <c r="BI371" s="1" t="s">
        <v>273</v>
      </c>
      <c r="BQ371" s="14">
        <v>45988</v>
      </c>
      <c r="BR371" s="5">
        <v>45988</v>
      </c>
    </row>
    <row r="372" spans="1:70" ht="18" customHeight="1" x14ac:dyDescent="0.3">
      <c r="A372" s="2">
        <v>372</v>
      </c>
      <c r="B372" s="2">
        <v>251109966</v>
      </c>
      <c r="C372" s="111">
        <v>45986</v>
      </c>
      <c r="D372" s="2">
        <v>18636.060000000001</v>
      </c>
      <c r="E372" s="2" t="s">
        <v>677</v>
      </c>
      <c r="F372" s="2" t="s">
        <v>2751</v>
      </c>
      <c r="G372" s="2" t="s">
        <v>2752</v>
      </c>
      <c r="H372" s="2">
        <v>1</v>
      </c>
      <c r="I372" s="83">
        <v>52281</v>
      </c>
      <c r="J372" s="2" t="s">
        <v>142</v>
      </c>
      <c r="K372" s="2" t="s">
        <v>126</v>
      </c>
      <c r="L372" s="2" t="s">
        <v>854</v>
      </c>
      <c r="M372" s="134">
        <v>45993</v>
      </c>
      <c r="N372" s="56" t="s">
        <v>2845</v>
      </c>
      <c r="Q372" s="67">
        <f t="shared" si="44"/>
        <v>4</v>
      </c>
      <c r="R372" s="29">
        <f t="shared" si="41"/>
        <v>4</v>
      </c>
      <c r="T372" s="1"/>
      <c r="U372" s="1" t="s">
        <v>2219</v>
      </c>
      <c r="V372" s="2" t="s">
        <v>755</v>
      </c>
      <c r="W372" s="1" t="s">
        <v>827</v>
      </c>
      <c r="X372" s="2" t="s">
        <v>2801</v>
      </c>
      <c r="Y372" s="14">
        <v>45987</v>
      </c>
      <c r="Z372" s="14">
        <v>45992</v>
      </c>
      <c r="AA372" s="14">
        <v>45993</v>
      </c>
      <c r="AB372" s="14">
        <v>45993</v>
      </c>
      <c r="AC372" s="14">
        <v>45997</v>
      </c>
      <c r="AD372" s="2" t="s">
        <v>2802</v>
      </c>
      <c r="AE372" s="2">
        <v>4840745232</v>
      </c>
      <c r="AF372" s="2">
        <v>1</v>
      </c>
      <c r="AG372" s="2">
        <v>7.5</v>
      </c>
      <c r="AH372" s="2"/>
      <c r="AI372" s="2" t="s">
        <v>179</v>
      </c>
      <c r="AJ372" s="2"/>
      <c r="AK372" s="14">
        <v>45992</v>
      </c>
      <c r="AL372" s="14">
        <v>45992</v>
      </c>
      <c r="AM372" s="14">
        <v>45992</v>
      </c>
      <c r="AN372" s="2"/>
      <c r="AO372" s="2">
        <v>6062327</v>
      </c>
      <c r="AP372" s="14">
        <v>45994</v>
      </c>
      <c r="AQ372" s="14">
        <v>45997</v>
      </c>
      <c r="AS372" s="2"/>
      <c r="AT372" s="44">
        <v>52327</v>
      </c>
      <c r="AV372" s="14">
        <v>45996</v>
      </c>
      <c r="AW372" s="14">
        <v>45997</v>
      </c>
      <c r="AY372" s="2">
        <v>6157736</v>
      </c>
      <c r="AZ372" s="5">
        <v>45999</v>
      </c>
      <c r="BA372" s="1">
        <v>1701472</v>
      </c>
      <c r="BB372" s="2">
        <v>306265</v>
      </c>
      <c r="BC372" s="5">
        <v>45999</v>
      </c>
      <c r="BD372" s="14">
        <v>45999</v>
      </c>
      <c r="BF372" s="5">
        <v>46000</v>
      </c>
      <c r="BG372" s="5">
        <v>46001</v>
      </c>
      <c r="BH372" s="1" t="s">
        <v>2843</v>
      </c>
      <c r="BI372" s="1" t="s">
        <v>273</v>
      </c>
      <c r="BQ372" s="14">
        <v>45997</v>
      </c>
      <c r="BR372" s="5">
        <v>45999</v>
      </c>
    </row>
    <row r="373" spans="1:70" ht="18" customHeight="1" x14ac:dyDescent="0.3">
      <c r="A373" s="2">
        <v>373</v>
      </c>
      <c r="B373" s="2">
        <v>7040195</v>
      </c>
      <c r="C373" s="111">
        <v>45971</v>
      </c>
      <c r="D373" s="2">
        <v>1681</v>
      </c>
      <c r="E373" s="2" t="s">
        <v>840</v>
      </c>
      <c r="F373" s="2" t="s">
        <v>2728</v>
      </c>
      <c r="G373" s="2" t="s">
        <v>2729</v>
      </c>
      <c r="H373" s="2">
        <v>1</v>
      </c>
      <c r="I373" s="83">
        <v>52174</v>
      </c>
      <c r="J373" s="2" t="s">
        <v>142</v>
      </c>
      <c r="K373" s="2" t="s">
        <v>126</v>
      </c>
      <c r="L373" s="2" t="s">
        <v>854</v>
      </c>
      <c r="M373" s="134">
        <v>45984</v>
      </c>
      <c r="N373" s="56" t="s">
        <v>2902</v>
      </c>
      <c r="Q373" s="67">
        <f t="shared" ref="Q373:Q380" si="45">AQ373-AB373</f>
        <v>2</v>
      </c>
      <c r="R373" s="29">
        <f t="shared" si="41"/>
        <v>18</v>
      </c>
      <c r="T373" s="1">
        <v>11</v>
      </c>
      <c r="U373" s="1" t="s">
        <v>2730</v>
      </c>
      <c r="V373" s="1" t="s">
        <v>204</v>
      </c>
      <c r="W373" s="1" t="s">
        <v>203</v>
      </c>
      <c r="X373" s="2">
        <v>20255136343</v>
      </c>
      <c r="Y373" s="14">
        <v>45980</v>
      </c>
      <c r="Z373" s="14">
        <v>45983</v>
      </c>
      <c r="AA373" s="14">
        <v>45984</v>
      </c>
      <c r="AB373" s="14">
        <v>45984</v>
      </c>
      <c r="AC373" s="14">
        <v>45986</v>
      </c>
      <c r="AD373" s="2">
        <v>17620972254</v>
      </c>
      <c r="AE373" s="2" t="s">
        <v>2731</v>
      </c>
      <c r="AF373" s="2">
        <v>1</v>
      </c>
      <c r="AG373" s="2">
        <v>7</v>
      </c>
      <c r="AH373" s="2"/>
      <c r="AI373" s="2" t="s">
        <v>180</v>
      </c>
      <c r="AJ373" s="2"/>
      <c r="AK373" s="14">
        <v>45981</v>
      </c>
      <c r="AL373" s="14">
        <v>45981</v>
      </c>
      <c r="AM373" s="14">
        <v>45981</v>
      </c>
      <c r="AN373" s="2"/>
      <c r="AO373" s="2">
        <v>5881458</v>
      </c>
      <c r="AP373" s="14">
        <v>45985</v>
      </c>
      <c r="AQ373" s="14">
        <v>45986</v>
      </c>
      <c r="AR373" s="15" t="s">
        <v>2763</v>
      </c>
      <c r="AS373" s="2"/>
      <c r="AT373" s="44">
        <v>52208</v>
      </c>
      <c r="AV373" s="14">
        <v>45986</v>
      </c>
      <c r="AW373" s="14">
        <v>45986</v>
      </c>
      <c r="AY373" s="2">
        <v>5943034</v>
      </c>
      <c r="AZ373" s="5">
        <v>45988</v>
      </c>
      <c r="BA373" s="1">
        <v>150450</v>
      </c>
      <c r="BB373" s="2">
        <v>27081</v>
      </c>
      <c r="BC373" s="5">
        <v>45988</v>
      </c>
      <c r="BD373" s="14">
        <v>45989</v>
      </c>
      <c r="BF373" s="5">
        <v>45990</v>
      </c>
      <c r="BG373" s="5">
        <v>46004</v>
      </c>
      <c r="BH373" s="1" t="s">
        <v>2901</v>
      </c>
      <c r="BI373" s="1" t="s">
        <v>273</v>
      </c>
      <c r="BQ373" s="14">
        <v>45986</v>
      </c>
      <c r="BR373" s="5">
        <v>45986</v>
      </c>
    </row>
    <row r="374" spans="1:70" ht="18" customHeight="1" x14ac:dyDescent="0.3">
      <c r="A374" s="2">
        <v>374</v>
      </c>
      <c r="B374" s="2">
        <v>7044886</v>
      </c>
      <c r="C374" s="111">
        <v>45982</v>
      </c>
      <c r="D374" s="2">
        <v>106050</v>
      </c>
      <c r="E374" s="2" t="s">
        <v>840</v>
      </c>
      <c r="F374" s="8" t="s">
        <v>222</v>
      </c>
      <c r="G374" s="8" t="s">
        <v>560</v>
      </c>
      <c r="H374" s="8" t="s">
        <v>749</v>
      </c>
      <c r="I374" s="83">
        <v>52264</v>
      </c>
      <c r="J374" s="2" t="s">
        <v>142</v>
      </c>
      <c r="K374" s="2" t="s">
        <v>126</v>
      </c>
      <c r="L374" s="2" t="s">
        <v>854</v>
      </c>
      <c r="M374" s="134">
        <v>45993</v>
      </c>
      <c r="N374" s="56" t="s">
        <v>2903</v>
      </c>
      <c r="Q374" s="67">
        <f t="shared" si="45"/>
        <v>4</v>
      </c>
      <c r="R374" s="29">
        <f t="shared" si="41"/>
        <v>7</v>
      </c>
      <c r="T374" s="1">
        <v>716</v>
      </c>
      <c r="U374" s="1" t="s">
        <v>538</v>
      </c>
      <c r="V374" s="1" t="s">
        <v>204</v>
      </c>
      <c r="W374" s="1" t="s">
        <v>203</v>
      </c>
      <c r="X374" s="2">
        <v>20255140108</v>
      </c>
      <c r="Y374" s="14">
        <v>45987</v>
      </c>
      <c r="Z374" s="14">
        <v>45992</v>
      </c>
      <c r="AA374" s="14">
        <v>45993</v>
      </c>
      <c r="AB374" s="14">
        <v>45993</v>
      </c>
      <c r="AC374" s="14">
        <v>45997</v>
      </c>
      <c r="AD374" s="2" t="s">
        <v>2800</v>
      </c>
      <c r="AE374" s="2" t="s">
        <v>2781</v>
      </c>
      <c r="AF374" s="2">
        <v>4</v>
      </c>
      <c r="AG374" s="2">
        <v>950.5</v>
      </c>
      <c r="AH374" s="2"/>
      <c r="AI374" s="2" t="s">
        <v>180</v>
      </c>
      <c r="AJ374" s="2"/>
      <c r="AK374" s="14">
        <v>45989</v>
      </c>
      <c r="AL374" s="14">
        <v>45989</v>
      </c>
      <c r="AM374" s="14">
        <v>45989</v>
      </c>
      <c r="AN374" s="2"/>
      <c r="AO374" s="2">
        <v>6062331</v>
      </c>
      <c r="AP374" s="14">
        <v>45994</v>
      </c>
      <c r="AQ374" s="14">
        <v>45997</v>
      </c>
      <c r="AR374" s="15" t="s">
        <v>2829</v>
      </c>
      <c r="AS374" s="2"/>
      <c r="AT374" s="44">
        <v>52328</v>
      </c>
      <c r="AV374" s="14">
        <v>45996</v>
      </c>
      <c r="AW374" s="14">
        <v>45996</v>
      </c>
      <c r="AY374" s="2">
        <v>6158261</v>
      </c>
      <c r="AZ374" s="5">
        <v>45999</v>
      </c>
      <c r="BA374" s="1">
        <v>9682365</v>
      </c>
      <c r="BB374" s="2">
        <v>1742826</v>
      </c>
      <c r="BC374" s="5">
        <v>45999</v>
      </c>
      <c r="BD374" s="14">
        <v>46000</v>
      </c>
      <c r="BF374" s="5">
        <v>46003</v>
      </c>
      <c r="BG374" s="5">
        <v>46004</v>
      </c>
      <c r="BH374" s="1" t="s">
        <v>2901</v>
      </c>
      <c r="BI374" s="1" t="s">
        <v>273</v>
      </c>
      <c r="BM374" s="15" t="s">
        <v>2849</v>
      </c>
      <c r="BQ374" s="14">
        <v>45996</v>
      </c>
      <c r="BR374" s="5">
        <v>45996</v>
      </c>
    </row>
    <row r="375" spans="1:70" ht="18" customHeight="1" x14ac:dyDescent="0.3">
      <c r="A375" s="2">
        <v>375</v>
      </c>
      <c r="B375" s="2">
        <v>7043492</v>
      </c>
      <c r="C375" s="111">
        <v>45975</v>
      </c>
      <c r="D375" s="2">
        <v>74772</v>
      </c>
      <c r="E375" s="2" t="s">
        <v>840</v>
      </c>
      <c r="F375" s="8" t="s">
        <v>219</v>
      </c>
      <c r="G375" s="8" t="s">
        <v>2757</v>
      </c>
      <c r="H375" s="8" t="s">
        <v>2758</v>
      </c>
      <c r="I375" s="83">
        <v>52221</v>
      </c>
      <c r="J375" s="2" t="s">
        <v>142</v>
      </c>
      <c r="K375" s="2" t="s">
        <v>126</v>
      </c>
      <c r="L375" s="2" t="s">
        <v>854</v>
      </c>
      <c r="M375" s="134">
        <v>45986</v>
      </c>
      <c r="N375" s="56" t="s">
        <v>2905</v>
      </c>
      <c r="Q375" s="67">
        <f t="shared" si="45"/>
        <v>3</v>
      </c>
      <c r="R375" s="29">
        <f t="shared" si="41"/>
        <v>15</v>
      </c>
      <c r="T375" s="1"/>
      <c r="U375" s="8" t="s">
        <v>2760</v>
      </c>
      <c r="V375" s="1" t="s">
        <v>2761</v>
      </c>
      <c r="W375" s="79" t="s">
        <v>948</v>
      </c>
      <c r="X375" s="2">
        <v>20255137964</v>
      </c>
      <c r="Y375" s="14">
        <v>45982</v>
      </c>
      <c r="Z375" s="14">
        <v>45988</v>
      </c>
      <c r="AA375" s="14">
        <v>45986</v>
      </c>
      <c r="AB375" s="14">
        <v>45986</v>
      </c>
      <c r="AC375" s="14">
        <v>45989</v>
      </c>
      <c r="AD375" s="2">
        <v>61847668246</v>
      </c>
      <c r="AE375" s="2" t="s">
        <v>2759</v>
      </c>
      <c r="AF375" s="2">
        <v>3</v>
      </c>
      <c r="AG375" s="2">
        <v>699</v>
      </c>
      <c r="AH375" s="2"/>
      <c r="AI375" s="2" t="s">
        <v>180</v>
      </c>
      <c r="AJ375" s="2"/>
      <c r="AK375" s="14">
        <v>45986</v>
      </c>
      <c r="AL375" s="14">
        <v>45986</v>
      </c>
      <c r="AM375" s="14">
        <v>45986</v>
      </c>
      <c r="AN375" s="2"/>
      <c r="AO375" s="2">
        <v>5923868</v>
      </c>
      <c r="AP375" s="14">
        <v>45987</v>
      </c>
      <c r="AQ375" s="14">
        <v>45989</v>
      </c>
      <c r="AS375" s="2"/>
      <c r="AT375" s="44">
        <v>52250</v>
      </c>
      <c r="AV375" s="14">
        <v>45988</v>
      </c>
      <c r="AW375" s="14">
        <v>45988</v>
      </c>
      <c r="AY375" s="2">
        <v>6177384</v>
      </c>
      <c r="AZ375" s="5">
        <v>46000</v>
      </c>
      <c r="BA375" s="1">
        <v>6826684</v>
      </c>
      <c r="BB375" s="2">
        <v>1228803</v>
      </c>
      <c r="BC375" s="5">
        <v>46000</v>
      </c>
      <c r="BD375" s="14">
        <v>46000</v>
      </c>
      <c r="BF375" s="5">
        <v>46003</v>
      </c>
      <c r="BG375" s="5">
        <v>46004</v>
      </c>
      <c r="BH375" s="1" t="s">
        <v>2904</v>
      </c>
      <c r="BI375" s="1" t="s">
        <v>273</v>
      </c>
      <c r="BM375" s="15" t="s">
        <v>2850</v>
      </c>
      <c r="BQ375" s="14">
        <v>45988</v>
      </c>
      <c r="BR375" s="5">
        <v>45993</v>
      </c>
    </row>
    <row r="376" spans="1:70" ht="18" customHeight="1" x14ac:dyDescent="0.3">
      <c r="A376" s="2">
        <v>376</v>
      </c>
      <c r="B376" s="2">
        <v>7043489</v>
      </c>
      <c r="C376" s="111">
        <v>45980</v>
      </c>
      <c r="D376" s="2">
        <v>46540</v>
      </c>
      <c r="E376" s="2" t="s">
        <v>840</v>
      </c>
      <c r="F376" s="8" t="s">
        <v>224</v>
      </c>
      <c r="G376" s="8" t="s">
        <v>2754</v>
      </c>
      <c r="H376" s="8" t="s">
        <v>201</v>
      </c>
      <c r="I376" s="83">
        <v>52262</v>
      </c>
      <c r="J376" s="2" t="s">
        <v>142</v>
      </c>
      <c r="K376" s="2" t="s">
        <v>126</v>
      </c>
      <c r="L376" s="2" t="s">
        <v>854</v>
      </c>
      <c r="M376" s="134">
        <v>45993</v>
      </c>
      <c r="N376" s="56" t="s">
        <v>2906</v>
      </c>
      <c r="O376" s="1">
        <v>1962.7</v>
      </c>
      <c r="Q376" s="67">
        <f t="shared" si="45"/>
        <v>4</v>
      </c>
      <c r="R376" s="29">
        <f t="shared" si="41"/>
        <v>7</v>
      </c>
      <c r="T376" s="1"/>
      <c r="U376" s="1" t="s">
        <v>2778</v>
      </c>
      <c r="V376" s="1" t="s">
        <v>2761</v>
      </c>
      <c r="W376" s="79" t="s">
        <v>948</v>
      </c>
      <c r="X376" s="2">
        <v>20255140107</v>
      </c>
      <c r="Y376" s="14">
        <v>45987</v>
      </c>
      <c r="Z376" s="14">
        <v>45992</v>
      </c>
      <c r="AA376" s="14">
        <v>45993</v>
      </c>
      <c r="AB376" s="14">
        <v>45993</v>
      </c>
      <c r="AC376" s="14">
        <v>45997</v>
      </c>
      <c r="AD376" s="2" t="s">
        <v>2799</v>
      </c>
      <c r="AE376" s="2" t="s">
        <v>2779</v>
      </c>
      <c r="AF376" s="2">
        <v>2</v>
      </c>
      <c r="AG376" s="2">
        <v>407</v>
      </c>
      <c r="AH376" s="2"/>
      <c r="AI376" s="2" t="s">
        <v>180</v>
      </c>
      <c r="AJ376" s="2"/>
      <c r="AK376" s="14">
        <v>45989</v>
      </c>
      <c r="AL376" s="14">
        <v>45989</v>
      </c>
      <c r="AM376" s="14">
        <v>45989</v>
      </c>
      <c r="AN376" s="2"/>
      <c r="AO376" s="1">
        <v>6085902</v>
      </c>
      <c r="AP376" s="14">
        <v>45995</v>
      </c>
      <c r="AQ376" s="14">
        <v>45997</v>
      </c>
      <c r="AR376" s="140" t="s">
        <v>2821</v>
      </c>
      <c r="AS376" s="2"/>
      <c r="AT376" s="44">
        <v>52333</v>
      </c>
      <c r="AV376" s="14">
        <v>45996</v>
      </c>
      <c r="AW376" s="14">
        <v>45997</v>
      </c>
      <c r="AY376" s="2">
        <v>6177382</v>
      </c>
      <c r="AZ376" s="5">
        <v>46000</v>
      </c>
      <c r="BA376" s="1">
        <v>4249102</v>
      </c>
      <c r="BB376" s="2">
        <v>764838</v>
      </c>
      <c r="BC376" s="5">
        <v>46000</v>
      </c>
      <c r="BD376" s="14">
        <v>46000</v>
      </c>
      <c r="BF376" s="5">
        <v>46003</v>
      </c>
      <c r="BG376" s="5">
        <v>46004</v>
      </c>
      <c r="BH376" s="1" t="s">
        <v>2904</v>
      </c>
      <c r="BI376" s="1" t="s">
        <v>273</v>
      </c>
      <c r="BM376" s="15" t="s">
        <v>2851</v>
      </c>
      <c r="BQ376" s="14">
        <v>45997</v>
      </c>
      <c r="BR376" s="5">
        <v>45999</v>
      </c>
    </row>
    <row r="377" spans="1:70" ht="18" customHeight="1" x14ac:dyDescent="0.3">
      <c r="A377" s="2">
        <v>377</v>
      </c>
      <c r="B377" s="2">
        <v>7043488</v>
      </c>
      <c r="C377" s="111">
        <v>45980</v>
      </c>
      <c r="D377" s="2">
        <v>162890</v>
      </c>
      <c r="E377" s="2" t="s">
        <v>840</v>
      </c>
      <c r="F377" s="8" t="s">
        <v>224</v>
      </c>
      <c r="G377" s="8" t="s">
        <v>2754</v>
      </c>
      <c r="H377" s="8" t="s">
        <v>1597</v>
      </c>
      <c r="I377" s="83">
        <v>52263</v>
      </c>
      <c r="J377" s="2" t="s">
        <v>142</v>
      </c>
      <c r="K377" s="2" t="s">
        <v>126</v>
      </c>
      <c r="L377" s="2" t="s">
        <v>854</v>
      </c>
      <c r="M377" s="134">
        <v>45993</v>
      </c>
      <c r="N377" s="56" t="s">
        <v>2907</v>
      </c>
      <c r="O377" s="1">
        <v>5379.74</v>
      </c>
      <c r="Q377" s="67">
        <f t="shared" si="45"/>
        <v>4</v>
      </c>
      <c r="R377" s="29">
        <f t="shared" si="41"/>
        <v>7</v>
      </c>
      <c r="T377" s="1"/>
      <c r="U377" s="1" t="s">
        <v>2778</v>
      </c>
      <c r="V377" s="1" t="s">
        <v>2761</v>
      </c>
      <c r="W377" s="79" t="s">
        <v>948</v>
      </c>
      <c r="X377" s="2">
        <v>20255140105</v>
      </c>
      <c r="Y377" s="14">
        <v>45987</v>
      </c>
      <c r="Z377" s="14">
        <v>45992</v>
      </c>
      <c r="AA377" s="14">
        <v>45993</v>
      </c>
      <c r="AB377" s="14">
        <v>45993</v>
      </c>
      <c r="AC377" s="14">
        <v>45997</v>
      </c>
      <c r="AD377" s="2" t="s">
        <v>2799</v>
      </c>
      <c r="AE377" s="2" t="s">
        <v>2780</v>
      </c>
      <c r="AF377" s="2">
        <v>5</v>
      </c>
      <c r="AG377" s="2">
        <v>1365</v>
      </c>
      <c r="AH377" s="2"/>
      <c r="AI377" s="2" t="s">
        <v>180</v>
      </c>
      <c r="AJ377" s="2"/>
      <c r="AK377" s="14">
        <v>45989</v>
      </c>
      <c r="AL377" s="14">
        <v>45989</v>
      </c>
      <c r="AM377" s="14">
        <v>45989</v>
      </c>
      <c r="AN377" s="2"/>
      <c r="AO377" s="1">
        <v>6086656</v>
      </c>
      <c r="AP377" s="14">
        <v>45995</v>
      </c>
      <c r="AQ377" s="14">
        <v>45997</v>
      </c>
      <c r="AR377" s="15" t="s">
        <v>2822</v>
      </c>
      <c r="AS377" s="2"/>
      <c r="AT377" s="44">
        <v>52335</v>
      </c>
      <c r="AV377" s="14">
        <v>45996</v>
      </c>
      <c r="AW377" s="14">
        <v>45996</v>
      </c>
      <c r="AY377" s="2">
        <v>6177383</v>
      </c>
      <c r="AZ377" s="5">
        <v>46000</v>
      </c>
      <c r="BA377" s="1">
        <v>14871857</v>
      </c>
      <c r="BB377" s="2">
        <v>2676934</v>
      </c>
      <c r="BC377" s="5">
        <v>46000</v>
      </c>
      <c r="BD377" s="14">
        <v>46000</v>
      </c>
      <c r="BF377" s="5">
        <v>46003</v>
      </c>
      <c r="BG377" s="5">
        <v>46004</v>
      </c>
      <c r="BH377" s="1" t="s">
        <v>2904</v>
      </c>
      <c r="BI377" s="1" t="s">
        <v>273</v>
      </c>
      <c r="BM377" s="15" t="s">
        <v>2852</v>
      </c>
      <c r="BQ377" s="14">
        <v>45996</v>
      </c>
      <c r="BR377" s="5">
        <v>45999</v>
      </c>
    </row>
    <row r="378" spans="1:70" ht="18" customHeight="1" x14ac:dyDescent="0.3">
      <c r="A378" s="2">
        <v>378</v>
      </c>
      <c r="B378" s="2">
        <v>7043491</v>
      </c>
      <c r="C378" s="111">
        <v>45980</v>
      </c>
      <c r="D378" s="2">
        <v>62310</v>
      </c>
      <c r="E378" s="2" t="s">
        <v>840</v>
      </c>
      <c r="F378" s="8" t="s">
        <v>573</v>
      </c>
      <c r="G378" s="8" t="s">
        <v>2782</v>
      </c>
      <c r="H378" s="8" t="s">
        <v>451</v>
      </c>
      <c r="I378" s="83">
        <v>52265</v>
      </c>
      <c r="J378" s="2" t="s">
        <v>142</v>
      </c>
      <c r="K378" s="2" t="s">
        <v>126</v>
      </c>
      <c r="L378" s="2" t="s">
        <v>854</v>
      </c>
      <c r="M378" s="134">
        <v>45993</v>
      </c>
      <c r="N378" s="56" t="s">
        <v>2909</v>
      </c>
      <c r="Q378" s="67">
        <f t="shared" si="45"/>
        <v>4</v>
      </c>
      <c r="R378" s="29">
        <f t="shared" si="41"/>
        <v>7</v>
      </c>
      <c r="T378" s="1"/>
      <c r="U378" s="2" t="s">
        <v>2784</v>
      </c>
      <c r="V378" s="1" t="s">
        <v>645</v>
      </c>
      <c r="W378" s="79" t="s">
        <v>426</v>
      </c>
      <c r="X378" s="2">
        <v>20255140103</v>
      </c>
      <c r="Y378" s="14">
        <v>45987</v>
      </c>
      <c r="Z378" s="14">
        <v>45992</v>
      </c>
      <c r="AA378" s="14">
        <v>45993</v>
      </c>
      <c r="AB378" s="14">
        <v>45993</v>
      </c>
      <c r="AC378" s="14">
        <v>45997</v>
      </c>
      <c r="AD378" s="2" t="s">
        <v>2800</v>
      </c>
      <c r="AE378" s="2" t="s">
        <v>2783</v>
      </c>
      <c r="AF378" s="2">
        <v>2</v>
      </c>
      <c r="AG378" s="2">
        <v>581</v>
      </c>
      <c r="AH378" s="2"/>
      <c r="AI378" s="2" t="s">
        <v>180</v>
      </c>
      <c r="AJ378" s="2"/>
      <c r="AK378" s="14">
        <v>45989</v>
      </c>
      <c r="AL378" s="14">
        <v>45989</v>
      </c>
      <c r="AM378" s="14">
        <v>45990</v>
      </c>
      <c r="AN378" s="2"/>
      <c r="AO378" s="2">
        <v>6062330</v>
      </c>
      <c r="AP378" s="14">
        <v>45994</v>
      </c>
      <c r="AQ378" s="14">
        <v>45997</v>
      </c>
      <c r="AR378" s="15" t="s">
        <v>2833</v>
      </c>
      <c r="AS378" s="2"/>
      <c r="AT378" s="44">
        <v>52330</v>
      </c>
      <c r="AV378" s="14">
        <v>45996</v>
      </c>
      <c r="AW378" s="14">
        <v>45996</v>
      </c>
      <c r="AY378" s="2">
        <v>6202045</v>
      </c>
      <c r="AZ378" s="5">
        <v>46001</v>
      </c>
      <c r="BA378" s="1">
        <v>5688903</v>
      </c>
      <c r="BB378" s="2">
        <v>1024003</v>
      </c>
      <c r="BC378" s="5">
        <v>46001</v>
      </c>
      <c r="BD378" s="14">
        <v>46001</v>
      </c>
      <c r="BF378" s="5">
        <v>46003</v>
      </c>
      <c r="BG378" s="5">
        <v>46004</v>
      </c>
      <c r="BH378" s="1" t="s">
        <v>2908</v>
      </c>
      <c r="BI378" s="1" t="s">
        <v>273</v>
      </c>
      <c r="BM378" s="15" t="s">
        <v>2861</v>
      </c>
      <c r="BQ378" s="14">
        <v>45996</v>
      </c>
      <c r="BR378" s="5">
        <v>46001</v>
      </c>
    </row>
    <row r="379" spans="1:70" ht="18" customHeight="1" x14ac:dyDescent="0.3">
      <c r="A379" s="2">
        <v>379</v>
      </c>
      <c r="B379" s="8" t="s">
        <v>2785</v>
      </c>
      <c r="C379" s="8" t="s">
        <v>2786</v>
      </c>
      <c r="D379" s="8" t="s">
        <v>2787</v>
      </c>
      <c r="E379" s="2" t="s">
        <v>840</v>
      </c>
      <c r="F379" s="8" t="s">
        <v>2788</v>
      </c>
      <c r="G379" s="8" t="s">
        <v>2789</v>
      </c>
      <c r="H379" s="8" t="s">
        <v>2790</v>
      </c>
      <c r="I379" s="83">
        <v>52266</v>
      </c>
      <c r="J379" s="2" t="s">
        <v>142</v>
      </c>
      <c r="K379" s="2" t="s">
        <v>126</v>
      </c>
      <c r="L379" s="2" t="s">
        <v>854</v>
      </c>
      <c r="M379" s="134">
        <v>45994</v>
      </c>
      <c r="N379" s="56" t="s">
        <v>2910</v>
      </c>
      <c r="Q379" s="67">
        <f t="shared" si="45"/>
        <v>3</v>
      </c>
      <c r="R379" s="29">
        <f t="shared" si="41"/>
        <v>7</v>
      </c>
      <c r="T379" s="1"/>
      <c r="U379" s="8" t="s">
        <v>2792</v>
      </c>
      <c r="V379" s="1" t="s">
        <v>645</v>
      </c>
      <c r="W379" s="79" t="s">
        <v>426</v>
      </c>
      <c r="X379" s="2">
        <v>20255140099</v>
      </c>
      <c r="Y379" s="14">
        <v>45987</v>
      </c>
      <c r="Z379" s="14">
        <v>45992</v>
      </c>
      <c r="AA379" s="14">
        <v>45994</v>
      </c>
      <c r="AB379" s="14">
        <v>45994</v>
      </c>
      <c r="AC379" s="14">
        <v>45997</v>
      </c>
      <c r="AD379" s="2" t="s">
        <v>2809</v>
      </c>
      <c r="AE379" s="2" t="s">
        <v>2791</v>
      </c>
      <c r="AF379" s="2">
        <v>5</v>
      </c>
      <c r="AG379" s="2">
        <v>1495</v>
      </c>
      <c r="AH379" s="2"/>
      <c r="AI379" s="2" t="s">
        <v>180</v>
      </c>
      <c r="AJ379" s="2"/>
      <c r="AK379" s="14">
        <v>45989</v>
      </c>
      <c r="AL379" s="14">
        <v>45989</v>
      </c>
      <c r="AM379" s="14">
        <v>45990</v>
      </c>
      <c r="AN379" s="2"/>
      <c r="AO379" s="1">
        <v>6089772</v>
      </c>
      <c r="AP379" s="14">
        <v>45995</v>
      </c>
      <c r="AQ379" s="14">
        <v>45997</v>
      </c>
      <c r="AR379" s="15" t="s">
        <v>2834</v>
      </c>
      <c r="AS379" s="2"/>
      <c r="AT379" s="44">
        <v>52336</v>
      </c>
      <c r="AV379" s="14">
        <v>45996</v>
      </c>
      <c r="AW379" s="14">
        <v>45999</v>
      </c>
      <c r="AY379" s="2">
        <v>6202050</v>
      </c>
      <c r="AZ379" s="5">
        <v>46001</v>
      </c>
      <c r="BA379" s="1">
        <v>15934133</v>
      </c>
      <c r="BB379" s="2">
        <v>2868144</v>
      </c>
      <c r="BC379" s="5">
        <v>46001</v>
      </c>
      <c r="BD379" s="14">
        <v>46001</v>
      </c>
      <c r="BF379" s="5">
        <v>46003</v>
      </c>
      <c r="BG379" s="5">
        <v>46004</v>
      </c>
      <c r="BH379" s="1" t="s">
        <v>972</v>
      </c>
      <c r="BI379" s="1" t="s">
        <v>273</v>
      </c>
      <c r="BM379" s="15" t="s">
        <v>2861</v>
      </c>
      <c r="BQ379" s="14">
        <v>45999</v>
      </c>
      <c r="BR379" s="5">
        <v>46001</v>
      </c>
    </row>
    <row r="380" spans="1:70" ht="18" customHeight="1" x14ac:dyDescent="0.3">
      <c r="A380" s="2">
        <v>380</v>
      </c>
      <c r="B380" s="8" t="s">
        <v>2811</v>
      </c>
      <c r="C380" s="8" t="s">
        <v>2812</v>
      </c>
      <c r="D380" s="8" t="s">
        <v>2813</v>
      </c>
      <c r="E380" s="2" t="s">
        <v>840</v>
      </c>
      <c r="F380" s="8" t="s">
        <v>2814</v>
      </c>
      <c r="G380" s="8" t="s">
        <v>2815</v>
      </c>
      <c r="H380" s="8" t="s">
        <v>2816</v>
      </c>
      <c r="I380" s="83">
        <v>52295</v>
      </c>
      <c r="J380" s="2" t="s">
        <v>142</v>
      </c>
      <c r="K380" s="2" t="s">
        <v>126</v>
      </c>
      <c r="L380" s="2" t="s">
        <v>854</v>
      </c>
      <c r="M380" s="134">
        <v>45994</v>
      </c>
      <c r="N380" s="56" t="s">
        <v>2911</v>
      </c>
      <c r="Q380" s="67">
        <f t="shared" si="45"/>
        <v>3</v>
      </c>
      <c r="R380" s="29">
        <f t="shared" si="41"/>
        <v>7</v>
      </c>
      <c r="T380" s="1"/>
      <c r="U380" s="8" t="s">
        <v>2817</v>
      </c>
      <c r="V380" s="1" t="s">
        <v>645</v>
      </c>
      <c r="W380" s="79" t="s">
        <v>426</v>
      </c>
      <c r="X380" s="2">
        <v>20255141828</v>
      </c>
      <c r="Y380" s="14">
        <v>45992</v>
      </c>
      <c r="Z380" s="14">
        <v>45996</v>
      </c>
      <c r="AA380" s="14">
        <v>45994</v>
      </c>
      <c r="AB380" s="14">
        <v>45994</v>
      </c>
      <c r="AC380" s="14">
        <v>45997</v>
      </c>
      <c r="AD380" s="2">
        <v>17620972711</v>
      </c>
      <c r="AE380" s="2" t="s">
        <v>2818</v>
      </c>
      <c r="AF380" s="2">
        <v>5</v>
      </c>
      <c r="AG380" s="2">
        <v>1092</v>
      </c>
      <c r="AH380" s="2"/>
      <c r="AI380" s="2" t="s">
        <v>180</v>
      </c>
      <c r="AJ380" s="2"/>
      <c r="AK380" s="14">
        <v>45993</v>
      </c>
      <c r="AL380" s="14">
        <v>45993</v>
      </c>
      <c r="AM380" s="14">
        <v>45993</v>
      </c>
      <c r="AN380" s="2"/>
      <c r="AO380" s="1">
        <v>6089852</v>
      </c>
      <c r="AP380" s="14">
        <v>45995</v>
      </c>
      <c r="AQ380" s="14">
        <v>45997</v>
      </c>
      <c r="AR380" s="15" t="s">
        <v>2839</v>
      </c>
      <c r="AS380" s="2"/>
      <c r="AT380" s="44">
        <v>52340</v>
      </c>
      <c r="AV380" s="14">
        <v>45996</v>
      </c>
      <c r="AW380" s="14">
        <v>45999</v>
      </c>
      <c r="AY380" s="2">
        <v>6201437</v>
      </c>
      <c r="AZ380" s="5">
        <v>46001</v>
      </c>
      <c r="BA380" s="1">
        <v>10524471</v>
      </c>
      <c r="BB380" s="2">
        <v>1894405</v>
      </c>
      <c r="BC380" s="5">
        <v>46001</v>
      </c>
      <c r="BD380" s="14">
        <v>46001</v>
      </c>
      <c r="BF380" s="5">
        <v>46003</v>
      </c>
      <c r="BG380" s="5">
        <v>46004</v>
      </c>
      <c r="BH380" s="1" t="s">
        <v>972</v>
      </c>
      <c r="BI380" s="1" t="s">
        <v>273</v>
      </c>
      <c r="BM380" s="15" t="s">
        <v>2861</v>
      </c>
      <c r="BQ380" s="14">
        <v>45999</v>
      </c>
      <c r="BR380" s="5">
        <v>46001</v>
      </c>
    </row>
    <row r="381" spans="1:70" ht="18" customHeight="1" x14ac:dyDescent="0.3">
      <c r="A381" s="2">
        <v>381</v>
      </c>
      <c r="B381" s="2">
        <v>6999091</v>
      </c>
      <c r="C381" s="111">
        <v>45910</v>
      </c>
      <c r="D381" s="2">
        <v>155775</v>
      </c>
      <c r="E381" s="2" t="s">
        <v>840</v>
      </c>
      <c r="F381" s="8" t="s">
        <v>219</v>
      </c>
      <c r="G381" s="8" t="s">
        <v>2582</v>
      </c>
      <c r="H381" s="8" t="s">
        <v>525</v>
      </c>
      <c r="I381" s="83">
        <v>51577</v>
      </c>
      <c r="J381" s="2" t="s">
        <v>1631</v>
      </c>
      <c r="K381" s="2" t="s">
        <v>126</v>
      </c>
      <c r="L381" s="2" t="s">
        <v>1632</v>
      </c>
      <c r="M381" s="134">
        <v>45932</v>
      </c>
      <c r="N381" s="56" t="s">
        <v>3199</v>
      </c>
      <c r="Q381" s="67">
        <f t="shared" ref="Q381:Q387" si="46">AQ381-AB381</f>
        <v>6</v>
      </c>
      <c r="R381" s="29">
        <f t="shared" si="41"/>
        <v>86</v>
      </c>
      <c r="T381" s="1"/>
      <c r="U381" s="1" t="s">
        <v>2243</v>
      </c>
      <c r="V381" s="1" t="s">
        <v>844</v>
      </c>
      <c r="W381" s="2" t="s">
        <v>380</v>
      </c>
      <c r="X381" s="2">
        <v>20255151606</v>
      </c>
      <c r="Y381" s="14">
        <v>46015</v>
      </c>
      <c r="Z381" s="14">
        <v>46020</v>
      </c>
      <c r="AA381" s="14">
        <v>45917</v>
      </c>
      <c r="AB381" s="14">
        <v>45932</v>
      </c>
      <c r="AC381" s="14">
        <v>45938</v>
      </c>
      <c r="AD381" s="2">
        <v>76030157475</v>
      </c>
      <c r="AE381" s="2"/>
      <c r="AF381" s="2">
        <v>5</v>
      </c>
      <c r="AG381" s="2">
        <v>8.7100000000000009</v>
      </c>
      <c r="AH381" s="2"/>
      <c r="AI381" s="2" t="s">
        <v>629</v>
      </c>
      <c r="AJ381" s="2"/>
      <c r="AK381" s="14">
        <v>45930</v>
      </c>
      <c r="AL381" s="14">
        <v>45930</v>
      </c>
      <c r="AM381" s="14">
        <v>45930</v>
      </c>
      <c r="AN381" s="2"/>
      <c r="AO381" s="2">
        <v>4872904</v>
      </c>
      <c r="AP381" s="14">
        <v>45933</v>
      </c>
      <c r="AQ381" s="14">
        <v>45938</v>
      </c>
      <c r="AR381" s="15" t="s">
        <v>3190</v>
      </c>
      <c r="AS381" s="2"/>
      <c r="AT381" s="44">
        <v>51634</v>
      </c>
      <c r="AV381" s="14">
        <v>46020</v>
      </c>
      <c r="AW381" s="14">
        <v>46021</v>
      </c>
      <c r="AY381" s="2">
        <v>6628672</v>
      </c>
      <c r="AZ381" s="5">
        <v>46022</v>
      </c>
      <c r="BA381" s="1">
        <v>14214469</v>
      </c>
      <c r="BB381" s="2">
        <v>2558604</v>
      </c>
      <c r="BC381" s="5">
        <v>46022</v>
      </c>
      <c r="BD381" s="14">
        <v>46022</v>
      </c>
      <c r="BF381" s="32">
        <v>46023</v>
      </c>
      <c r="BG381" s="5">
        <v>46024</v>
      </c>
      <c r="BH381" s="1" t="s">
        <v>3198</v>
      </c>
      <c r="BI381" s="1" t="s">
        <v>273</v>
      </c>
      <c r="BQ381" s="5">
        <v>46021</v>
      </c>
      <c r="BR381" s="5">
        <v>46021</v>
      </c>
    </row>
    <row r="382" spans="1:70" ht="18" customHeight="1" x14ac:dyDescent="0.3">
      <c r="A382" s="2">
        <v>382</v>
      </c>
      <c r="B382" s="2">
        <v>251203797</v>
      </c>
      <c r="C382" s="111">
        <v>45999</v>
      </c>
      <c r="D382" s="2">
        <v>234513.6</v>
      </c>
      <c r="E382" s="2" t="s">
        <v>677</v>
      </c>
      <c r="F382" s="2" t="s">
        <v>1816</v>
      </c>
      <c r="G382" s="2" t="s">
        <v>2912</v>
      </c>
      <c r="H382" s="2">
        <v>5</v>
      </c>
      <c r="I382" s="83">
        <v>52449</v>
      </c>
      <c r="J382" s="2" t="s">
        <v>142</v>
      </c>
      <c r="K382" s="2" t="s">
        <v>126</v>
      </c>
      <c r="L382" s="2" t="s">
        <v>854</v>
      </c>
      <c r="M382" s="134">
        <v>46007</v>
      </c>
      <c r="N382" s="56" t="s">
        <v>3201</v>
      </c>
      <c r="Q382" s="67">
        <f t="shared" si="46"/>
        <v>2</v>
      </c>
      <c r="R382" s="29">
        <f t="shared" si="41"/>
        <v>15</v>
      </c>
      <c r="T382" s="1">
        <v>1583</v>
      </c>
      <c r="U382" s="1" t="s">
        <v>2510</v>
      </c>
      <c r="V382" s="2" t="s">
        <v>755</v>
      </c>
      <c r="W382" s="1" t="s">
        <v>827</v>
      </c>
      <c r="X382" s="2" t="s">
        <v>2926</v>
      </c>
      <c r="Y382" s="14">
        <v>46006</v>
      </c>
      <c r="Z382" s="14">
        <v>46009</v>
      </c>
      <c r="AA382" s="14">
        <v>46006</v>
      </c>
      <c r="AB382" s="14">
        <v>46007</v>
      </c>
      <c r="AC382" s="14">
        <v>46009</v>
      </c>
      <c r="AD382" s="2">
        <v>22917791513</v>
      </c>
      <c r="AE382" s="2">
        <v>4840747553</v>
      </c>
      <c r="AF382" s="2">
        <v>5</v>
      </c>
      <c r="AG382" s="2">
        <v>16</v>
      </c>
      <c r="AH382" s="2"/>
      <c r="AI382" s="2" t="s">
        <v>179</v>
      </c>
      <c r="AJ382" s="2"/>
      <c r="AK382" s="14">
        <v>46004</v>
      </c>
      <c r="AL382" s="14">
        <v>46006</v>
      </c>
      <c r="AM382" s="14">
        <v>46006</v>
      </c>
      <c r="AN382" s="2"/>
      <c r="AO382" s="2">
        <v>6322226</v>
      </c>
      <c r="AP382" s="14">
        <v>46007</v>
      </c>
      <c r="AQ382" s="14">
        <v>46009</v>
      </c>
      <c r="AS382" s="2"/>
      <c r="AT382" s="44">
        <v>52467</v>
      </c>
      <c r="AV382" s="14">
        <v>46008</v>
      </c>
      <c r="AW382" s="14">
        <v>46009</v>
      </c>
      <c r="AY382" s="2">
        <v>6449387</v>
      </c>
      <c r="AZ382" s="5">
        <v>46013</v>
      </c>
      <c r="BA382" s="1">
        <v>21399366</v>
      </c>
      <c r="BB382" s="2">
        <v>3851886</v>
      </c>
      <c r="BC382" s="5">
        <v>46013</v>
      </c>
      <c r="BD382" s="14">
        <v>46014</v>
      </c>
      <c r="BF382" s="32">
        <v>46015</v>
      </c>
      <c r="BG382" s="5">
        <v>46024</v>
      </c>
      <c r="BH382" s="1" t="s">
        <v>3200</v>
      </c>
      <c r="BI382" s="1" t="s">
        <v>273</v>
      </c>
      <c r="BQ382" s="14">
        <v>46009</v>
      </c>
      <c r="BR382" s="5">
        <v>46009</v>
      </c>
    </row>
    <row r="383" spans="1:70" ht="18" customHeight="1" x14ac:dyDescent="0.3">
      <c r="A383" s="2">
        <v>383</v>
      </c>
      <c r="B383" s="2">
        <v>1022532</v>
      </c>
      <c r="C383" s="111">
        <v>46004</v>
      </c>
      <c r="D383" s="2">
        <v>207146</v>
      </c>
      <c r="E383" s="2" t="s">
        <v>681</v>
      </c>
      <c r="F383" s="2" t="s">
        <v>3014</v>
      </c>
      <c r="G383" s="1" t="s">
        <v>3015</v>
      </c>
      <c r="H383" s="2">
        <v>100</v>
      </c>
      <c r="I383" s="83">
        <v>52548</v>
      </c>
      <c r="J383" s="2" t="s">
        <v>142</v>
      </c>
      <c r="K383" s="2" t="s">
        <v>126</v>
      </c>
      <c r="L383" s="2" t="s">
        <v>854</v>
      </c>
      <c r="M383" s="134">
        <v>46014</v>
      </c>
      <c r="N383" s="56" t="s">
        <v>3202</v>
      </c>
      <c r="Q383" s="67">
        <f t="shared" si="46"/>
        <v>3</v>
      </c>
      <c r="R383" s="29">
        <f t="shared" si="41"/>
        <v>7</v>
      </c>
      <c r="T383" s="1"/>
      <c r="U383" s="1" t="s">
        <v>3011</v>
      </c>
      <c r="V383" s="2" t="s">
        <v>755</v>
      </c>
      <c r="W383" s="1" t="s">
        <v>827</v>
      </c>
      <c r="X383" s="2" t="s">
        <v>3012</v>
      </c>
      <c r="Y383" s="14">
        <v>46010</v>
      </c>
      <c r="Z383" s="14">
        <v>46015</v>
      </c>
      <c r="AA383" s="14">
        <v>46013</v>
      </c>
      <c r="AB383" s="14">
        <v>46014</v>
      </c>
      <c r="AC383" s="14">
        <v>46017</v>
      </c>
      <c r="AD383" s="2">
        <v>22917726645</v>
      </c>
      <c r="AE383" s="2" t="s">
        <v>3013</v>
      </c>
      <c r="AF383" s="2">
        <v>3</v>
      </c>
      <c r="AG383" s="2">
        <v>718</v>
      </c>
      <c r="AH383" s="2"/>
      <c r="AI383" s="2" t="s">
        <v>180</v>
      </c>
      <c r="AJ383" s="2"/>
      <c r="AK383" s="14">
        <v>46014</v>
      </c>
      <c r="AL383" s="14">
        <v>46014</v>
      </c>
      <c r="AM383" s="14">
        <v>46014</v>
      </c>
      <c r="AN383" s="2"/>
      <c r="AO383" s="2">
        <v>6489789</v>
      </c>
      <c r="AP383" s="14">
        <v>46014</v>
      </c>
      <c r="AQ383" s="14">
        <v>46017</v>
      </c>
      <c r="AR383" s="15" t="s">
        <v>3191</v>
      </c>
      <c r="AS383" s="2"/>
      <c r="AT383" s="44">
        <v>52592</v>
      </c>
      <c r="AV383" s="14">
        <v>46017</v>
      </c>
      <c r="AW383" s="14">
        <v>46017</v>
      </c>
      <c r="AY383" s="2">
        <v>6631953</v>
      </c>
      <c r="AZ383" s="5">
        <v>46022</v>
      </c>
      <c r="BA383" s="1">
        <v>18902072.5</v>
      </c>
      <c r="BB383" s="2">
        <v>3402373</v>
      </c>
      <c r="BC383" s="5">
        <v>46022</v>
      </c>
      <c r="BD383" s="14">
        <v>46022</v>
      </c>
      <c r="BF383" s="32">
        <v>46023</v>
      </c>
      <c r="BG383" s="5">
        <v>46024</v>
      </c>
      <c r="BH383" s="1" t="s">
        <v>3200</v>
      </c>
      <c r="BI383" s="1" t="s">
        <v>273</v>
      </c>
      <c r="BQ383" s="14">
        <v>46021</v>
      </c>
      <c r="BR383" s="5">
        <v>46022</v>
      </c>
    </row>
    <row r="384" spans="1:70" ht="18" customHeight="1" x14ac:dyDescent="0.3">
      <c r="A384" s="2">
        <v>384</v>
      </c>
      <c r="B384" s="2">
        <v>1023610</v>
      </c>
      <c r="C384" s="111">
        <v>46006</v>
      </c>
      <c r="D384" s="2">
        <v>207146</v>
      </c>
      <c r="E384" s="2" t="s">
        <v>681</v>
      </c>
      <c r="F384" s="2" t="s">
        <v>3014</v>
      </c>
      <c r="G384" s="1" t="s">
        <v>3015</v>
      </c>
      <c r="H384" s="2">
        <v>100</v>
      </c>
      <c r="I384" s="83">
        <v>52552</v>
      </c>
      <c r="J384" s="2" t="s">
        <v>142</v>
      </c>
      <c r="K384" s="2" t="s">
        <v>126</v>
      </c>
      <c r="L384" s="2" t="s">
        <v>854</v>
      </c>
      <c r="M384" s="134">
        <v>46015</v>
      </c>
      <c r="N384" s="56" t="s">
        <v>3213</v>
      </c>
      <c r="O384" s="1">
        <v>811.34</v>
      </c>
      <c r="Q384" s="67">
        <f t="shared" si="46"/>
        <v>5</v>
      </c>
      <c r="R384" s="29">
        <f t="shared" si="41"/>
        <v>7</v>
      </c>
      <c r="T384" s="1">
        <v>1398</v>
      </c>
      <c r="U384" s="1" t="s">
        <v>3011</v>
      </c>
      <c r="V384" s="2" t="s">
        <v>755</v>
      </c>
      <c r="W384" s="1" t="s">
        <v>827</v>
      </c>
      <c r="X384" s="2" t="s">
        <v>3069</v>
      </c>
      <c r="Y384" s="14">
        <v>46015</v>
      </c>
      <c r="Z384" s="14">
        <v>46020</v>
      </c>
      <c r="AA384" s="14">
        <v>46015</v>
      </c>
      <c r="AB384" s="14">
        <v>46015</v>
      </c>
      <c r="AC384" s="14">
        <v>46020</v>
      </c>
      <c r="AD384" s="2">
        <v>21707726585</v>
      </c>
      <c r="AE384" s="2" t="s">
        <v>3016</v>
      </c>
      <c r="AF384" s="2">
        <v>3</v>
      </c>
      <c r="AG384" s="2">
        <v>718</v>
      </c>
      <c r="AH384" s="2"/>
      <c r="AI384" s="2" t="s">
        <v>180</v>
      </c>
      <c r="AJ384" s="2"/>
      <c r="AK384" s="14">
        <v>46014</v>
      </c>
      <c r="AL384" s="14">
        <v>46014</v>
      </c>
      <c r="AM384" s="14">
        <v>46015</v>
      </c>
      <c r="AN384" s="2"/>
      <c r="AO384" s="2">
        <v>6540463</v>
      </c>
      <c r="AP384" s="14">
        <v>46017</v>
      </c>
      <c r="AQ384" s="14">
        <v>46020</v>
      </c>
      <c r="AR384" s="15" t="s">
        <v>3163</v>
      </c>
      <c r="AS384" s="2"/>
      <c r="AT384" s="44">
        <v>52637</v>
      </c>
      <c r="AV384" s="14">
        <v>46021</v>
      </c>
      <c r="AW384" s="14">
        <v>46022</v>
      </c>
      <c r="AY384" s="2">
        <v>6648609</v>
      </c>
      <c r="AZ384" s="5">
        <v>46023</v>
      </c>
      <c r="BA384" s="1">
        <v>18902073</v>
      </c>
      <c r="BB384" s="2">
        <v>3402373</v>
      </c>
      <c r="BC384" s="5">
        <v>46023</v>
      </c>
      <c r="BD384" s="14">
        <v>46024</v>
      </c>
      <c r="BF384" s="32">
        <v>46025</v>
      </c>
      <c r="BG384" s="5">
        <v>46027</v>
      </c>
      <c r="BH384" s="1" t="s">
        <v>2400</v>
      </c>
      <c r="BI384" s="1" t="s">
        <v>273</v>
      </c>
      <c r="BQ384" s="14">
        <v>46022</v>
      </c>
      <c r="BR384" s="14">
        <v>46022</v>
      </c>
    </row>
    <row r="385" spans="1:70" ht="18" customHeight="1" x14ac:dyDescent="0.3">
      <c r="A385" s="2">
        <v>385</v>
      </c>
      <c r="B385" s="2">
        <v>1022533</v>
      </c>
      <c r="C385" s="111">
        <v>46006</v>
      </c>
      <c r="D385" s="2">
        <v>207146</v>
      </c>
      <c r="E385" s="2" t="s">
        <v>681</v>
      </c>
      <c r="F385" s="2" t="s">
        <v>3014</v>
      </c>
      <c r="G385" s="1" t="s">
        <v>3015</v>
      </c>
      <c r="H385" s="2">
        <v>100</v>
      </c>
      <c r="I385" s="83">
        <v>52553</v>
      </c>
      <c r="J385" s="2" t="s">
        <v>142</v>
      </c>
      <c r="K385" s="2" t="s">
        <v>126</v>
      </c>
      <c r="L385" s="2" t="s">
        <v>854</v>
      </c>
      <c r="M385" s="134">
        <v>46015</v>
      </c>
      <c r="N385" s="56" t="s">
        <v>3213</v>
      </c>
      <c r="O385" s="1">
        <v>811.34</v>
      </c>
      <c r="Q385" s="67">
        <f t="shared" si="46"/>
        <v>5</v>
      </c>
      <c r="R385" s="29">
        <f t="shared" si="41"/>
        <v>7</v>
      </c>
      <c r="T385" s="1">
        <v>1398</v>
      </c>
      <c r="U385" s="1" t="s">
        <v>3011</v>
      </c>
      <c r="V385" s="2" t="s">
        <v>755</v>
      </c>
      <c r="W385" s="1" t="s">
        <v>827</v>
      </c>
      <c r="X385" s="2" t="s">
        <v>3071</v>
      </c>
      <c r="Y385" s="14">
        <v>46015</v>
      </c>
      <c r="Z385" s="14">
        <v>46020</v>
      </c>
      <c r="AA385" s="14">
        <v>46015</v>
      </c>
      <c r="AB385" s="14">
        <v>46015</v>
      </c>
      <c r="AC385" s="14">
        <v>46020</v>
      </c>
      <c r="AD385" s="2">
        <v>21707726574</v>
      </c>
      <c r="AE385" s="2" t="s">
        <v>3017</v>
      </c>
      <c r="AF385" s="2">
        <v>3</v>
      </c>
      <c r="AG385" s="2">
        <v>718</v>
      </c>
      <c r="AH385" s="2"/>
      <c r="AI385" s="2" t="s">
        <v>180</v>
      </c>
      <c r="AJ385" s="2"/>
      <c r="AK385" s="14">
        <v>46014</v>
      </c>
      <c r="AL385" s="14">
        <v>46014</v>
      </c>
      <c r="AM385" s="14">
        <v>46015</v>
      </c>
      <c r="AN385" s="2"/>
      <c r="AO385" s="2">
        <v>6540459</v>
      </c>
      <c r="AP385" s="14">
        <v>46017</v>
      </c>
      <c r="AQ385" s="14">
        <v>46020</v>
      </c>
      <c r="AR385" s="15" t="s">
        <v>3163</v>
      </c>
      <c r="AS385" s="2"/>
      <c r="AT385" s="44">
        <v>52639</v>
      </c>
      <c r="AV385" s="14">
        <v>46021</v>
      </c>
      <c r="AW385" s="14">
        <v>46022</v>
      </c>
      <c r="AY385" s="2">
        <v>6648656</v>
      </c>
      <c r="AZ385" s="5">
        <v>46023</v>
      </c>
      <c r="BA385" s="1">
        <v>18902073</v>
      </c>
      <c r="BB385" s="2">
        <v>3402373</v>
      </c>
      <c r="BC385" s="5">
        <v>46023</v>
      </c>
      <c r="BD385" s="14">
        <v>46024</v>
      </c>
      <c r="BF385" s="32">
        <v>46025</v>
      </c>
      <c r="BG385" s="5">
        <v>46027</v>
      </c>
      <c r="BH385" s="1" t="s">
        <v>2400</v>
      </c>
      <c r="BI385" s="1" t="s">
        <v>273</v>
      </c>
      <c r="BQ385" s="14">
        <v>46022</v>
      </c>
      <c r="BR385" s="14">
        <v>46022</v>
      </c>
    </row>
    <row r="386" spans="1:70" ht="18" customHeight="1" x14ac:dyDescent="0.3">
      <c r="A386" s="2">
        <v>386</v>
      </c>
      <c r="B386" s="2">
        <v>1023613</v>
      </c>
      <c r="C386" s="111">
        <v>46006</v>
      </c>
      <c r="D386" s="2">
        <v>207146</v>
      </c>
      <c r="E386" s="2" t="s">
        <v>681</v>
      </c>
      <c r="F386" s="2" t="s">
        <v>3014</v>
      </c>
      <c r="G386" s="1" t="s">
        <v>3015</v>
      </c>
      <c r="H386" s="2">
        <v>100</v>
      </c>
      <c r="I386" s="83">
        <v>52554</v>
      </c>
      <c r="J386" s="2" t="s">
        <v>142</v>
      </c>
      <c r="K386" s="2" t="s">
        <v>126</v>
      </c>
      <c r="L386" s="2" t="s">
        <v>854</v>
      </c>
      <c r="M386" s="134">
        <v>46015</v>
      </c>
      <c r="N386" s="56" t="s">
        <v>3213</v>
      </c>
      <c r="O386" s="1">
        <v>811.34</v>
      </c>
      <c r="Q386" s="67">
        <f t="shared" si="46"/>
        <v>5</v>
      </c>
      <c r="R386" s="29">
        <f t="shared" si="41"/>
        <v>7</v>
      </c>
      <c r="T386" s="1">
        <v>1398</v>
      </c>
      <c r="U386" s="1" t="s">
        <v>3011</v>
      </c>
      <c r="V386" s="2" t="s">
        <v>755</v>
      </c>
      <c r="W386" s="1" t="s">
        <v>827</v>
      </c>
      <c r="X386" s="2" t="s">
        <v>3070</v>
      </c>
      <c r="Y386" s="14">
        <v>46015</v>
      </c>
      <c r="Z386" s="14">
        <v>46020</v>
      </c>
      <c r="AA386" s="14">
        <v>46015</v>
      </c>
      <c r="AB386" s="14">
        <v>46015</v>
      </c>
      <c r="AC386" s="14">
        <v>46020</v>
      </c>
      <c r="AD386" s="2">
        <v>21707726574</v>
      </c>
      <c r="AE386" s="2" t="s">
        <v>3018</v>
      </c>
      <c r="AF386" s="2">
        <v>3</v>
      </c>
      <c r="AG386" s="2">
        <v>718</v>
      </c>
      <c r="AH386" s="2"/>
      <c r="AI386" s="2" t="s">
        <v>180</v>
      </c>
      <c r="AJ386" s="2"/>
      <c r="AK386" s="14">
        <v>46014</v>
      </c>
      <c r="AL386" s="14">
        <v>46014</v>
      </c>
      <c r="AM386" s="14">
        <v>46015</v>
      </c>
      <c r="AN386" s="2"/>
      <c r="AO386" s="2">
        <v>6540465</v>
      </c>
      <c r="AP386" s="14">
        <v>46017</v>
      </c>
      <c r="AQ386" s="14">
        <v>46020</v>
      </c>
      <c r="AR386" s="15" t="s">
        <v>3164</v>
      </c>
      <c r="AS386" s="2"/>
      <c r="AT386" s="44">
        <v>52640</v>
      </c>
      <c r="AV386" s="14">
        <v>46021</v>
      </c>
      <c r="AW386" s="14">
        <v>46022</v>
      </c>
      <c r="AY386" s="2">
        <v>6649100</v>
      </c>
      <c r="AZ386" s="5">
        <v>46023</v>
      </c>
      <c r="BA386" s="1">
        <v>18902073</v>
      </c>
      <c r="BB386" s="2">
        <v>3402373</v>
      </c>
      <c r="BC386" s="5">
        <v>46023</v>
      </c>
      <c r="BD386" s="14">
        <v>46024</v>
      </c>
      <c r="BF386" s="32">
        <v>46025</v>
      </c>
      <c r="BG386" s="5">
        <v>46027</v>
      </c>
      <c r="BH386" s="1" t="s">
        <v>2400</v>
      </c>
      <c r="BI386" s="1" t="s">
        <v>273</v>
      </c>
      <c r="BQ386" s="14">
        <v>46022</v>
      </c>
      <c r="BR386" s="14">
        <v>46022</v>
      </c>
    </row>
    <row r="387" spans="1:70" ht="18" customHeight="1" x14ac:dyDescent="0.3">
      <c r="A387" s="2">
        <v>387</v>
      </c>
      <c r="B387" s="8" t="s">
        <v>3019</v>
      </c>
      <c r="C387" s="8" t="s">
        <v>3020</v>
      </c>
      <c r="D387" s="8" t="s">
        <v>3021</v>
      </c>
      <c r="E387" s="2" t="s">
        <v>681</v>
      </c>
      <c r="F387" s="8" t="s">
        <v>3022</v>
      </c>
      <c r="G387" s="8" t="s">
        <v>3023</v>
      </c>
      <c r="H387" s="8" t="s">
        <v>3024</v>
      </c>
      <c r="I387" s="83">
        <v>52555</v>
      </c>
      <c r="J387" s="2" t="s">
        <v>142</v>
      </c>
      <c r="K387" s="2" t="s">
        <v>126</v>
      </c>
      <c r="L387" s="2" t="s">
        <v>854</v>
      </c>
      <c r="M387" s="134">
        <v>46015</v>
      </c>
      <c r="N387" s="56" t="s">
        <v>3212</v>
      </c>
      <c r="O387" s="1">
        <v>683.65</v>
      </c>
      <c r="Q387" s="67">
        <f t="shared" si="46"/>
        <v>5</v>
      </c>
      <c r="R387" s="29">
        <f t="shared" si="41"/>
        <v>7</v>
      </c>
      <c r="T387" s="1">
        <v>1216</v>
      </c>
      <c r="U387" s="8" t="s">
        <v>3025</v>
      </c>
      <c r="V387" s="2" t="s">
        <v>755</v>
      </c>
      <c r="W387" s="1" t="s">
        <v>827</v>
      </c>
      <c r="X387" s="2" t="s">
        <v>3068</v>
      </c>
      <c r="Y387" s="14">
        <v>46016</v>
      </c>
      <c r="Z387" s="14">
        <v>46020</v>
      </c>
      <c r="AA387" s="14">
        <v>46015</v>
      </c>
      <c r="AB387" s="14">
        <v>46015</v>
      </c>
      <c r="AC387" s="14">
        <v>46020</v>
      </c>
      <c r="AD387" s="2">
        <v>21707726585</v>
      </c>
      <c r="AE387" s="2" t="s">
        <v>3026</v>
      </c>
      <c r="AF387" s="2">
        <v>9</v>
      </c>
      <c r="AG387" s="2">
        <v>605</v>
      </c>
      <c r="AH387" s="2"/>
      <c r="AI387" s="2" t="s">
        <v>180</v>
      </c>
      <c r="AJ387" s="2"/>
      <c r="AK387" s="14">
        <v>46014</v>
      </c>
      <c r="AL387" s="14">
        <v>46014</v>
      </c>
      <c r="AM387" s="14">
        <v>46015</v>
      </c>
      <c r="AN387" s="2"/>
      <c r="AO387" s="2">
        <v>6540612</v>
      </c>
      <c r="AP387" s="14">
        <v>46017</v>
      </c>
      <c r="AQ387" s="14">
        <v>46020</v>
      </c>
      <c r="AR387" s="15" t="s">
        <v>3165</v>
      </c>
      <c r="AS387" s="2"/>
      <c r="AT387" s="44">
        <v>52641</v>
      </c>
      <c r="AV387" s="14">
        <v>46021</v>
      </c>
      <c r="AW387" s="14">
        <v>46022</v>
      </c>
      <c r="AY387" s="2">
        <v>6649102</v>
      </c>
      <c r="AZ387" s="5">
        <v>46023</v>
      </c>
      <c r="BA387" s="1">
        <v>16444803</v>
      </c>
      <c r="BB387" s="2">
        <v>2960065</v>
      </c>
      <c r="BC387" s="5">
        <v>46023</v>
      </c>
      <c r="BD387" s="14">
        <v>46024</v>
      </c>
      <c r="BF387" s="32">
        <v>46025</v>
      </c>
      <c r="BG387" s="5">
        <v>46027</v>
      </c>
      <c r="BH387" s="1" t="s">
        <v>3211</v>
      </c>
      <c r="BI387" s="1" t="s">
        <v>273</v>
      </c>
      <c r="BQ387" s="14">
        <v>46022</v>
      </c>
      <c r="BR387" s="14">
        <v>46022</v>
      </c>
    </row>
    <row r="388" spans="1:70" ht="18" customHeight="1" x14ac:dyDescent="0.3">
      <c r="A388" s="2">
        <v>388</v>
      </c>
      <c r="B388" s="2">
        <v>7044182</v>
      </c>
      <c r="C388" s="111">
        <v>45980</v>
      </c>
      <c r="D388" s="2">
        <v>20770</v>
      </c>
      <c r="E388" s="2" t="s">
        <v>840</v>
      </c>
      <c r="F388" s="8" t="s">
        <v>222</v>
      </c>
      <c r="G388" s="8" t="s">
        <v>560</v>
      </c>
      <c r="H388" s="8" t="s">
        <v>770</v>
      </c>
      <c r="I388" s="83">
        <v>52267</v>
      </c>
      <c r="J388" s="2" t="s">
        <v>142</v>
      </c>
      <c r="K388" s="2" t="s">
        <v>126</v>
      </c>
      <c r="L388" s="2" t="s">
        <v>854</v>
      </c>
      <c r="M388" s="134">
        <v>45994</v>
      </c>
      <c r="N388" s="56" t="s">
        <v>3268</v>
      </c>
      <c r="Q388" s="67">
        <f t="shared" ref="Q388:Q411" si="47">AQ388-AB388</f>
        <v>3</v>
      </c>
      <c r="R388" s="29">
        <f t="shared" si="41"/>
        <v>32</v>
      </c>
      <c r="T388" s="1"/>
      <c r="U388" s="8" t="s">
        <v>2745</v>
      </c>
      <c r="V388" s="1" t="s">
        <v>626</v>
      </c>
      <c r="W388" s="1" t="s">
        <v>627</v>
      </c>
      <c r="X388" s="2">
        <v>20255152601</v>
      </c>
      <c r="Y388" s="14">
        <v>46018</v>
      </c>
      <c r="Z388" s="14">
        <v>46023</v>
      </c>
      <c r="AA388" s="14">
        <v>45994</v>
      </c>
      <c r="AB388" s="14">
        <v>45994</v>
      </c>
      <c r="AC388" s="14">
        <v>45997</v>
      </c>
      <c r="AD388" s="2" t="s">
        <v>2809</v>
      </c>
      <c r="AE388" s="2" t="s">
        <v>2793</v>
      </c>
      <c r="AF388" s="2">
        <v>1</v>
      </c>
      <c r="AG388" s="2">
        <v>205.5</v>
      </c>
      <c r="AH388" s="2"/>
      <c r="AI388" s="2" t="s">
        <v>180</v>
      </c>
      <c r="AJ388" s="2"/>
      <c r="AK388" s="14">
        <v>45989</v>
      </c>
      <c r="AL388" s="14">
        <v>45989</v>
      </c>
      <c r="AM388" s="14">
        <v>45990</v>
      </c>
      <c r="AN388" s="2"/>
      <c r="AO388" s="2">
        <v>6089767</v>
      </c>
      <c r="AP388" s="14">
        <v>45995</v>
      </c>
      <c r="AQ388" s="14">
        <v>45997</v>
      </c>
      <c r="AR388" s="15" t="s">
        <v>2847</v>
      </c>
      <c r="AS388" s="2"/>
      <c r="AT388" s="44">
        <v>52337</v>
      </c>
      <c r="AV388" s="14">
        <v>46024</v>
      </c>
      <c r="AW388" s="14">
        <v>46024</v>
      </c>
      <c r="AY388" s="2">
        <v>6702288</v>
      </c>
      <c r="AZ388" s="5">
        <v>46027</v>
      </c>
      <c r="BA388" s="1">
        <v>1885916</v>
      </c>
      <c r="BB388" s="2">
        <v>339465</v>
      </c>
      <c r="BC388" s="5">
        <v>46027</v>
      </c>
      <c r="BD388" s="5">
        <v>46027</v>
      </c>
      <c r="BF388" s="32">
        <v>46028</v>
      </c>
      <c r="BG388" s="5">
        <v>46029</v>
      </c>
      <c r="BH388" s="1" t="s">
        <v>3267</v>
      </c>
      <c r="BI388" s="1" t="s">
        <v>273</v>
      </c>
      <c r="BQ388" s="14">
        <v>46024</v>
      </c>
      <c r="BR388" s="1"/>
    </row>
    <row r="389" spans="1:70" ht="18" customHeight="1" x14ac:dyDescent="0.3">
      <c r="A389" s="2">
        <v>389</v>
      </c>
      <c r="B389" s="8" t="s">
        <v>2961</v>
      </c>
      <c r="C389" s="8" t="s">
        <v>2949</v>
      </c>
      <c r="D389" s="8" t="s">
        <v>2962</v>
      </c>
      <c r="E389" s="2" t="s">
        <v>840</v>
      </c>
      <c r="F389" s="8" t="s">
        <v>1369</v>
      </c>
      <c r="G389" s="8" t="s">
        <v>2586</v>
      </c>
      <c r="H389" s="8" t="s">
        <v>2963</v>
      </c>
      <c r="I389" s="83">
        <v>52527</v>
      </c>
      <c r="J389" s="2" t="s">
        <v>1631</v>
      </c>
      <c r="K389" s="2" t="s">
        <v>126</v>
      </c>
      <c r="L389" s="2" t="s">
        <v>1632</v>
      </c>
      <c r="M389" s="134">
        <v>46013</v>
      </c>
      <c r="N389" s="56" t="s">
        <v>3269</v>
      </c>
      <c r="Q389" s="67">
        <f t="shared" si="47"/>
        <v>9</v>
      </c>
      <c r="R389" s="29">
        <f t="shared" si="41"/>
        <v>7</v>
      </c>
      <c r="T389" s="1"/>
      <c r="U389" s="7" t="s">
        <v>2964</v>
      </c>
      <c r="V389" s="1" t="s">
        <v>626</v>
      </c>
      <c r="W389" s="1" t="s">
        <v>627</v>
      </c>
      <c r="X389" s="2">
        <v>20255148304</v>
      </c>
      <c r="Y389" s="14">
        <v>46007</v>
      </c>
      <c r="Z389" s="14">
        <v>46015</v>
      </c>
      <c r="AA389" s="14">
        <v>45997</v>
      </c>
      <c r="AB389" s="14">
        <v>46013</v>
      </c>
      <c r="AC389" s="14">
        <v>46022</v>
      </c>
      <c r="AD389" s="2" t="s">
        <v>2965</v>
      </c>
      <c r="AE389" s="2" t="s">
        <v>2966</v>
      </c>
      <c r="AF389" s="2">
        <v>7</v>
      </c>
      <c r="AG389" s="2">
        <v>11.21</v>
      </c>
      <c r="AH389" s="2"/>
      <c r="AI389" s="2" t="s">
        <v>180</v>
      </c>
      <c r="AJ389" s="2"/>
      <c r="AK389" s="14">
        <v>46012</v>
      </c>
      <c r="AL389" s="14">
        <v>46013</v>
      </c>
      <c r="AM389" s="14">
        <v>46013</v>
      </c>
      <c r="AN389" s="2"/>
      <c r="AO389" s="2">
        <v>6478656</v>
      </c>
      <c r="AP389" s="14">
        <v>46014</v>
      </c>
      <c r="AQ389" s="14">
        <v>46022</v>
      </c>
      <c r="AS389" s="2"/>
      <c r="AT389" s="44">
        <v>52645</v>
      </c>
      <c r="AV389" s="14">
        <v>46022</v>
      </c>
      <c r="AW389" s="14">
        <v>46023</v>
      </c>
      <c r="AY389" s="2">
        <v>6703017</v>
      </c>
      <c r="AZ389" s="5">
        <v>46027</v>
      </c>
      <c r="BA389" s="1">
        <v>20072702</v>
      </c>
      <c r="BB389" s="2">
        <v>3613086</v>
      </c>
      <c r="BC389" s="5">
        <v>46027</v>
      </c>
      <c r="BD389" s="5">
        <v>46027</v>
      </c>
      <c r="BF389" s="32">
        <v>46028</v>
      </c>
      <c r="BG389" s="5">
        <v>46029</v>
      </c>
      <c r="BH389" s="1" t="s">
        <v>3267</v>
      </c>
      <c r="BI389" s="1" t="s">
        <v>1769</v>
      </c>
      <c r="BQ389" s="14">
        <v>46023</v>
      </c>
      <c r="BR389" s="1"/>
    </row>
    <row r="390" spans="1:70" ht="18" customHeight="1" x14ac:dyDescent="0.3">
      <c r="A390" s="2">
        <v>390</v>
      </c>
      <c r="B390" s="2">
        <v>6996276</v>
      </c>
      <c r="C390" s="111">
        <v>45903</v>
      </c>
      <c r="D390" s="2">
        <v>155775</v>
      </c>
      <c r="E390" s="2" t="s">
        <v>840</v>
      </c>
      <c r="F390" s="8" t="s">
        <v>219</v>
      </c>
      <c r="G390" s="8" t="s">
        <v>2582</v>
      </c>
      <c r="H390" s="8" t="s">
        <v>525</v>
      </c>
      <c r="I390" s="83">
        <v>51441</v>
      </c>
      <c r="J390" s="2" t="s">
        <v>1631</v>
      </c>
      <c r="K390" s="2" t="s">
        <v>126</v>
      </c>
      <c r="L390" s="2" t="s">
        <v>1632</v>
      </c>
      <c r="M390" s="134">
        <v>45918</v>
      </c>
      <c r="N390" s="56" t="s">
        <v>3276</v>
      </c>
      <c r="Q390" s="67">
        <f t="shared" si="47"/>
        <v>4</v>
      </c>
      <c r="R390" s="29">
        <f t="shared" si="41"/>
        <v>108</v>
      </c>
      <c r="T390" s="1"/>
      <c r="U390" s="1" t="s">
        <v>2243</v>
      </c>
      <c r="V390" s="1" t="s">
        <v>844</v>
      </c>
      <c r="W390" s="2" t="s">
        <v>380</v>
      </c>
      <c r="X390" s="2">
        <v>20255154067</v>
      </c>
      <c r="Y390" s="14">
        <v>46021</v>
      </c>
      <c r="Z390" s="14">
        <v>46027</v>
      </c>
      <c r="AA390" s="14">
        <v>45901</v>
      </c>
      <c r="AB390" s="14">
        <v>45918</v>
      </c>
      <c r="AC390" s="14">
        <v>45922</v>
      </c>
      <c r="AD390" s="2" t="s">
        <v>2244</v>
      </c>
      <c r="AE390" s="2"/>
      <c r="AF390" s="2">
        <v>5</v>
      </c>
      <c r="AG390" s="2">
        <v>8.7100000000000009</v>
      </c>
      <c r="AH390" s="2"/>
      <c r="AI390" s="2" t="s">
        <v>180</v>
      </c>
      <c r="AJ390" s="2"/>
      <c r="AK390" s="14">
        <v>45915</v>
      </c>
      <c r="AL390" s="14">
        <v>45916</v>
      </c>
      <c r="AM390" s="14">
        <v>45917</v>
      </c>
      <c r="AN390" s="2"/>
      <c r="AO390" s="2">
        <v>4585485</v>
      </c>
      <c r="AP390" s="14">
        <v>45918</v>
      </c>
      <c r="AQ390" s="14">
        <v>45922</v>
      </c>
      <c r="AR390" s="15" t="s">
        <v>2312</v>
      </c>
      <c r="AS390" s="14">
        <v>45922</v>
      </c>
      <c r="AT390" s="44">
        <v>51489</v>
      </c>
      <c r="AV390" s="14">
        <v>46027</v>
      </c>
      <c r="AW390" s="14">
        <v>46027</v>
      </c>
      <c r="AY390" s="2">
        <v>6721853</v>
      </c>
      <c r="AZ390" s="5">
        <v>46028</v>
      </c>
      <c r="BA390" s="1">
        <v>14144370</v>
      </c>
      <c r="BB390" s="2">
        <v>2545987</v>
      </c>
      <c r="BC390" s="5">
        <v>46028</v>
      </c>
      <c r="BD390" s="14">
        <v>46028</v>
      </c>
      <c r="BF390" s="32">
        <v>46029</v>
      </c>
      <c r="BG390" s="5">
        <v>46030</v>
      </c>
      <c r="BH390" s="1"/>
      <c r="BI390" s="1"/>
      <c r="BQ390" s="14">
        <v>46027</v>
      </c>
      <c r="BR390" s="14">
        <v>46027</v>
      </c>
    </row>
    <row r="391" spans="1:70" ht="18" customHeight="1" x14ac:dyDescent="0.3">
      <c r="A391" s="2">
        <v>391</v>
      </c>
      <c r="B391" s="2">
        <v>7043490</v>
      </c>
      <c r="C391" s="111">
        <v>45980</v>
      </c>
      <c r="D391" s="2">
        <v>69810</v>
      </c>
      <c r="E391" s="2" t="s">
        <v>840</v>
      </c>
      <c r="F391" s="8" t="s">
        <v>224</v>
      </c>
      <c r="G391" s="8" t="s">
        <v>2754</v>
      </c>
      <c r="H391" s="8" t="s">
        <v>451</v>
      </c>
      <c r="I391" s="83">
        <v>52220</v>
      </c>
      <c r="J391" s="2" t="s">
        <v>142</v>
      </c>
      <c r="K391" s="2" t="s">
        <v>126</v>
      </c>
      <c r="L391" s="2" t="s">
        <v>854</v>
      </c>
      <c r="M391" s="134">
        <v>45986</v>
      </c>
      <c r="N391" s="56" t="s">
        <v>3277</v>
      </c>
      <c r="Q391" s="67">
        <f t="shared" si="47"/>
        <v>3</v>
      </c>
      <c r="R391" s="29">
        <f t="shared" si="41"/>
        <v>41</v>
      </c>
      <c r="T391" s="1"/>
      <c r="U391" s="1" t="s">
        <v>2755</v>
      </c>
      <c r="V391" s="1" t="s">
        <v>844</v>
      </c>
      <c r="W391" s="2" t="s">
        <v>380</v>
      </c>
      <c r="X391" s="2">
        <v>20255152600</v>
      </c>
      <c r="Y391" s="14">
        <v>46018</v>
      </c>
      <c r="Z391" s="14">
        <v>46023</v>
      </c>
      <c r="AA391" s="14">
        <v>45986</v>
      </c>
      <c r="AB391" s="14">
        <v>45986</v>
      </c>
      <c r="AC391" s="14">
        <v>45989</v>
      </c>
      <c r="AD391" s="2">
        <v>61847668246</v>
      </c>
      <c r="AE391" s="2" t="s">
        <v>2756</v>
      </c>
      <c r="AF391" s="2">
        <v>2</v>
      </c>
      <c r="AG391" s="2">
        <v>585</v>
      </c>
      <c r="AH391" s="2"/>
      <c r="AI391" s="2" t="s">
        <v>180</v>
      </c>
      <c r="AJ391" s="2"/>
      <c r="AK391" s="14">
        <v>45986</v>
      </c>
      <c r="AL391" s="14">
        <v>45986</v>
      </c>
      <c r="AM391" s="14">
        <v>45986</v>
      </c>
      <c r="AN391" s="2"/>
      <c r="AO391" s="2">
        <v>5923442</v>
      </c>
      <c r="AP391" s="14">
        <v>45987</v>
      </c>
      <c r="AQ391" s="14">
        <v>45989</v>
      </c>
      <c r="AR391" s="15" t="s">
        <v>2846</v>
      </c>
      <c r="AS391" s="2"/>
      <c r="AT391" s="44">
        <v>52252</v>
      </c>
      <c r="AV391" s="14">
        <v>46024</v>
      </c>
      <c r="AW391" s="14">
        <v>46024</v>
      </c>
      <c r="AY391" s="2">
        <v>6702122</v>
      </c>
      <c r="AZ391" s="5">
        <v>46027</v>
      </c>
      <c r="BA391" s="1">
        <v>6338748</v>
      </c>
      <c r="BB391" s="2">
        <v>1140975</v>
      </c>
      <c r="BC391" s="5">
        <v>46027</v>
      </c>
      <c r="BD391" s="5">
        <v>46027</v>
      </c>
      <c r="BF391" s="32">
        <v>46028</v>
      </c>
      <c r="BG391" s="5">
        <v>46030</v>
      </c>
      <c r="BH391" s="1"/>
      <c r="BI391" s="1"/>
      <c r="BQ391" s="14">
        <v>46024</v>
      </c>
      <c r="BR391" s="1"/>
    </row>
    <row r="392" spans="1:70" ht="18" customHeight="1" x14ac:dyDescent="0.3">
      <c r="A392" s="2">
        <v>392</v>
      </c>
      <c r="B392" s="2">
        <v>6995990</v>
      </c>
      <c r="C392" s="111">
        <v>45923</v>
      </c>
      <c r="D392" s="2">
        <v>51925</v>
      </c>
      <c r="E392" s="2" t="s">
        <v>840</v>
      </c>
      <c r="F392" s="8" t="s">
        <v>219</v>
      </c>
      <c r="G392" s="8" t="s">
        <v>2582</v>
      </c>
      <c r="H392" s="8" t="s">
        <v>446</v>
      </c>
      <c r="I392" s="83">
        <v>52096</v>
      </c>
      <c r="J392" s="2" t="s">
        <v>1631</v>
      </c>
      <c r="K392" s="2" t="s">
        <v>126</v>
      </c>
      <c r="L392" s="2" t="s">
        <v>1632</v>
      </c>
      <c r="M392" s="134">
        <v>45975</v>
      </c>
      <c r="N392" s="56" t="s">
        <v>3311</v>
      </c>
      <c r="Q392" s="67">
        <f t="shared" si="47"/>
        <v>3</v>
      </c>
      <c r="R392" s="29">
        <f t="shared" si="41"/>
        <v>51</v>
      </c>
      <c r="T392" s="1"/>
      <c r="U392" s="1" t="s">
        <v>2698</v>
      </c>
      <c r="V392" s="1" t="s">
        <v>580</v>
      </c>
      <c r="W392" s="1" t="s">
        <v>380</v>
      </c>
      <c r="X392" s="2">
        <v>20255154062</v>
      </c>
      <c r="Y392" s="14">
        <v>46021</v>
      </c>
      <c r="Z392" s="14">
        <v>46027</v>
      </c>
      <c r="AA392" s="14">
        <v>45954</v>
      </c>
      <c r="AB392" s="14">
        <v>45977</v>
      </c>
      <c r="AC392" s="14">
        <v>45980</v>
      </c>
      <c r="AD392" s="2" t="s">
        <v>2699</v>
      </c>
      <c r="AE392" s="2"/>
      <c r="AF392" s="2">
        <v>2</v>
      </c>
      <c r="AG392" s="2">
        <v>2.99</v>
      </c>
      <c r="AH392" s="2"/>
      <c r="AI392" s="2" t="s">
        <v>180</v>
      </c>
      <c r="AJ392" s="2"/>
      <c r="AK392" s="14">
        <v>45974</v>
      </c>
      <c r="AL392" s="14">
        <v>45974</v>
      </c>
      <c r="AM392" s="14">
        <v>45975</v>
      </c>
      <c r="AN392" s="2"/>
      <c r="AO392" s="2">
        <v>5746669</v>
      </c>
      <c r="AP392" s="14">
        <v>45978</v>
      </c>
      <c r="AQ392" s="14">
        <v>45980</v>
      </c>
      <c r="AR392" s="15" t="s">
        <v>2774</v>
      </c>
      <c r="AS392" s="2"/>
      <c r="AT392" s="44">
        <v>52149</v>
      </c>
      <c r="AV392" s="14">
        <v>46027</v>
      </c>
      <c r="AW392" s="14">
        <v>46027</v>
      </c>
      <c r="AY392" s="2">
        <v>6740054</v>
      </c>
      <c r="AZ392" s="5">
        <v>46029</v>
      </c>
      <c r="BA392" s="1">
        <v>4714790</v>
      </c>
      <c r="BB392" s="2">
        <v>848662</v>
      </c>
      <c r="BC392" s="5">
        <v>46029</v>
      </c>
      <c r="BD392" s="5">
        <v>46029</v>
      </c>
      <c r="BF392" s="32">
        <v>46030</v>
      </c>
      <c r="BG392" s="5">
        <v>46031</v>
      </c>
      <c r="BH392" s="1" t="s">
        <v>3310</v>
      </c>
      <c r="BI392" s="1" t="s">
        <v>282</v>
      </c>
      <c r="BQ392" s="14">
        <v>46027</v>
      </c>
      <c r="BR392" s="5">
        <v>46028</v>
      </c>
    </row>
    <row r="393" spans="1:70" ht="18" customHeight="1" x14ac:dyDescent="0.3">
      <c r="A393" s="2">
        <v>393</v>
      </c>
      <c r="B393" s="2">
        <v>6995991</v>
      </c>
      <c r="C393" s="111">
        <v>45923</v>
      </c>
      <c r="D393" s="2">
        <v>51925</v>
      </c>
      <c r="E393" s="2" t="s">
        <v>840</v>
      </c>
      <c r="F393" s="8" t="s">
        <v>219</v>
      </c>
      <c r="G393" s="8" t="s">
        <v>2582</v>
      </c>
      <c r="H393" s="8" t="s">
        <v>446</v>
      </c>
      <c r="I393" s="83">
        <v>52097</v>
      </c>
      <c r="J393" s="2" t="s">
        <v>1631</v>
      </c>
      <c r="K393" s="2" t="s">
        <v>126</v>
      </c>
      <c r="L393" s="2" t="s">
        <v>1632</v>
      </c>
      <c r="M393" s="134">
        <v>45975</v>
      </c>
      <c r="N393" s="56" t="s">
        <v>3312</v>
      </c>
      <c r="Q393" s="67">
        <f t="shared" si="47"/>
        <v>3</v>
      </c>
      <c r="R393" s="29">
        <f t="shared" si="41"/>
        <v>51</v>
      </c>
      <c r="T393" s="1"/>
      <c r="U393" s="1" t="s">
        <v>2698</v>
      </c>
      <c r="V393" s="1" t="s">
        <v>580</v>
      </c>
      <c r="W393" s="1" t="s">
        <v>380</v>
      </c>
      <c r="X393" s="2">
        <v>20255154059</v>
      </c>
      <c r="Y393" s="14">
        <v>46021</v>
      </c>
      <c r="Z393" s="14">
        <v>46027</v>
      </c>
      <c r="AA393" s="14">
        <v>45954</v>
      </c>
      <c r="AB393" s="14">
        <v>45977</v>
      </c>
      <c r="AC393" s="14">
        <v>45980</v>
      </c>
      <c r="AD393" s="2" t="s">
        <v>2700</v>
      </c>
      <c r="AE393" s="2"/>
      <c r="AF393" s="2">
        <v>2</v>
      </c>
      <c r="AG393" s="2">
        <v>2.94</v>
      </c>
      <c r="AH393" s="2"/>
      <c r="AI393" s="2" t="s">
        <v>180</v>
      </c>
      <c r="AJ393" s="2"/>
      <c r="AK393" s="14">
        <v>45974</v>
      </c>
      <c r="AL393" s="14">
        <v>45974</v>
      </c>
      <c r="AM393" s="14">
        <v>45975</v>
      </c>
      <c r="AN393" s="2"/>
      <c r="AO393" s="2">
        <v>5746641</v>
      </c>
      <c r="AP393" s="14">
        <v>45978</v>
      </c>
      <c r="AQ393" s="14">
        <v>45980</v>
      </c>
      <c r="AR393" s="15" t="s">
        <v>2774</v>
      </c>
      <c r="AS393" s="2"/>
      <c r="AT393" s="44">
        <v>52150</v>
      </c>
      <c r="AV393" s="14">
        <v>46027</v>
      </c>
      <c r="AW393" s="14">
        <v>46027</v>
      </c>
      <c r="AY393" s="2">
        <v>6740029</v>
      </c>
      <c r="AZ393" s="5">
        <v>46029</v>
      </c>
      <c r="BA393" s="1">
        <v>4714790</v>
      </c>
      <c r="BB393" s="2">
        <v>848662</v>
      </c>
      <c r="BC393" s="5">
        <v>46029</v>
      </c>
      <c r="BD393" s="5">
        <v>46029</v>
      </c>
      <c r="BF393" s="32">
        <v>46030</v>
      </c>
      <c r="BG393" s="5">
        <v>46031</v>
      </c>
      <c r="BH393" s="1" t="s">
        <v>3310</v>
      </c>
      <c r="BI393" s="1" t="s">
        <v>282</v>
      </c>
      <c r="BQ393" s="14">
        <v>46027</v>
      </c>
      <c r="BR393" s="5">
        <v>46028</v>
      </c>
    </row>
    <row r="394" spans="1:70" ht="18" customHeight="1" x14ac:dyDescent="0.3">
      <c r="A394" s="2">
        <v>394</v>
      </c>
      <c r="B394" s="2">
        <v>251209541</v>
      </c>
      <c r="C394" s="111">
        <v>46009</v>
      </c>
      <c r="D394" s="2">
        <v>234513.6</v>
      </c>
      <c r="E394" s="2" t="s">
        <v>677</v>
      </c>
      <c r="F394" s="2" t="s">
        <v>1816</v>
      </c>
      <c r="G394" s="2" t="s">
        <v>2912</v>
      </c>
      <c r="H394" s="2">
        <v>5</v>
      </c>
      <c r="I394" s="83">
        <v>52566</v>
      </c>
      <c r="J394" s="2" t="s">
        <v>142</v>
      </c>
      <c r="K394" s="2" t="s">
        <v>126</v>
      </c>
      <c r="L394" s="2" t="s">
        <v>854</v>
      </c>
      <c r="M394" s="134">
        <v>46017</v>
      </c>
      <c r="N394" s="56" t="s">
        <v>3319</v>
      </c>
      <c r="Q394" s="67">
        <f t="shared" si="47"/>
        <v>4</v>
      </c>
      <c r="R394" s="29">
        <f t="shared" si="41"/>
        <v>10</v>
      </c>
      <c r="T394" s="1"/>
      <c r="U394" s="1" t="s">
        <v>2510</v>
      </c>
      <c r="V394" s="2" t="s">
        <v>755</v>
      </c>
      <c r="W394" s="1" t="s">
        <v>827</v>
      </c>
      <c r="X394" s="2" t="s">
        <v>3040</v>
      </c>
      <c r="Y394" s="14">
        <v>46010</v>
      </c>
      <c r="Z394" s="14">
        <v>46015</v>
      </c>
      <c r="AA394" s="14">
        <v>46017</v>
      </c>
      <c r="AB394" s="14">
        <v>46017</v>
      </c>
      <c r="AC394" s="14">
        <v>46021</v>
      </c>
      <c r="AD394" s="2">
        <v>60751570676</v>
      </c>
      <c r="AE394" s="2">
        <v>4840749478</v>
      </c>
      <c r="AF394" s="2">
        <v>5</v>
      </c>
      <c r="AG394" s="2">
        <v>15</v>
      </c>
      <c r="AH394" s="2"/>
      <c r="AI394" s="2" t="s">
        <v>179</v>
      </c>
      <c r="AJ394" s="2"/>
      <c r="AK394" s="14">
        <v>46015</v>
      </c>
      <c r="AL394" s="14">
        <v>46015</v>
      </c>
      <c r="AM394" s="14">
        <v>46015</v>
      </c>
      <c r="AN394" s="2"/>
      <c r="AO394" s="2">
        <v>6566192</v>
      </c>
      <c r="AP394" s="14">
        <v>46018</v>
      </c>
      <c r="AQ394" s="14">
        <v>46021</v>
      </c>
      <c r="AS394" s="2"/>
      <c r="AT394" s="44">
        <v>52657</v>
      </c>
      <c r="AV394" s="14">
        <v>46022</v>
      </c>
      <c r="AW394" s="14">
        <v>46024</v>
      </c>
      <c r="AY394" s="2">
        <v>6720845</v>
      </c>
      <c r="AZ394" s="5">
        <v>46028</v>
      </c>
      <c r="BA394" s="1">
        <v>21293835</v>
      </c>
      <c r="BB394" s="2">
        <v>3832890</v>
      </c>
      <c r="BC394" s="5">
        <v>46028</v>
      </c>
      <c r="BD394" s="14">
        <v>46028</v>
      </c>
      <c r="BE394" s="32">
        <v>46029</v>
      </c>
      <c r="BF394" s="15"/>
      <c r="BG394" s="5">
        <v>46031</v>
      </c>
      <c r="BH394" s="1" t="s">
        <v>3313</v>
      </c>
      <c r="BI394" s="1" t="s">
        <v>273</v>
      </c>
      <c r="BQ394" s="14">
        <v>46024</v>
      </c>
      <c r="BR394" s="5">
        <v>45662</v>
      </c>
    </row>
    <row r="395" spans="1:70" ht="18" customHeight="1" x14ac:dyDescent="0.3">
      <c r="A395" s="2">
        <v>395</v>
      </c>
      <c r="B395" s="2">
        <v>251209536</v>
      </c>
      <c r="C395" s="111">
        <v>46009</v>
      </c>
      <c r="D395" s="2">
        <v>509502.5</v>
      </c>
      <c r="E395" s="2" t="s">
        <v>677</v>
      </c>
      <c r="F395" s="2" t="s">
        <v>1832</v>
      </c>
      <c r="G395" s="2" t="s">
        <v>3041</v>
      </c>
      <c r="H395" s="2">
        <v>10</v>
      </c>
      <c r="I395" s="83">
        <v>52567</v>
      </c>
      <c r="J395" s="2" t="s">
        <v>142</v>
      </c>
      <c r="K395" s="2" t="s">
        <v>126</v>
      </c>
      <c r="L395" s="2" t="s">
        <v>854</v>
      </c>
      <c r="M395" s="134">
        <v>46017</v>
      </c>
      <c r="N395" s="56" t="s">
        <v>3320</v>
      </c>
      <c r="Q395" s="67">
        <f t="shared" si="47"/>
        <v>4</v>
      </c>
      <c r="R395" s="29">
        <f t="shared" si="41"/>
        <v>10</v>
      </c>
      <c r="T395" s="1">
        <v>3422</v>
      </c>
      <c r="U395" s="1" t="s">
        <v>2510</v>
      </c>
      <c r="V395" s="2" t="s">
        <v>755</v>
      </c>
      <c r="W395" s="1" t="s">
        <v>827</v>
      </c>
      <c r="X395" s="2" t="s">
        <v>3042</v>
      </c>
      <c r="Y395" s="14">
        <v>46010</v>
      </c>
      <c r="Z395" s="14">
        <v>46015</v>
      </c>
      <c r="AA395" s="14">
        <v>46017</v>
      </c>
      <c r="AB395" s="14">
        <v>46017</v>
      </c>
      <c r="AC395" s="14">
        <v>46021</v>
      </c>
      <c r="AD395" s="2">
        <v>60751570676</v>
      </c>
      <c r="AE395" s="2">
        <v>4840749477</v>
      </c>
      <c r="AF395" s="2">
        <v>1</v>
      </c>
      <c r="AG395" s="2">
        <v>38</v>
      </c>
      <c r="AH395" s="2"/>
      <c r="AI395" s="2" t="s">
        <v>179</v>
      </c>
      <c r="AJ395" s="2"/>
      <c r="AK395" s="14">
        <v>46015</v>
      </c>
      <c r="AL395" s="14">
        <v>46015</v>
      </c>
      <c r="AM395" s="14">
        <v>46015</v>
      </c>
      <c r="AN395" s="2"/>
      <c r="AO395" s="2">
        <v>6566195</v>
      </c>
      <c r="AP395" s="14">
        <v>46018</v>
      </c>
      <c r="AQ395" s="14">
        <v>46021</v>
      </c>
      <c r="AS395" s="2"/>
      <c r="AT395" s="44">
        <v>52656</v>
      </c>
      <c r="AV395" s="14">
        <v>46022</v>
      </c>
      <c r="AW395" s="14">
        <v>46024</v>
      </c>
      <c r="AY395" s="2">
        <v>6720844</v>
      </c>
      <c r="AZ395" s="5">
        <v>46028</v>
      </c>
      <c r="BA395" s="1">
        <v>46262827</v>
      </c>
      <c r="BB395" s="2">
        <v>8327309</v>
      </c>
      <c r="BC395" s="5">
        <v>46028</v>
      </c>
      <c r="BD395" s="14">
        <v>46029</v>
      </c>
      <c r="BE395" s="32">
        <v>46030</v>
      </c>
      <c r="BF395" s="15"/>
      <c r="BG395" s="5">
        <v>46031</v>
      </c>
      <c r="BH395" s="1" t="s">
        <v>3313</v>
      </c>
      <c r="BI395" s="1" t="s">
        <v>273</v>
      </c>
      <c r="BQ395" s="14">
        <v>46024</v>
      </c>
      <c r="BR395" s="5">
        <v>45662</v>
      </c>
    </row>
    <row r="396" spans="1:70" ht="18" customHeight="1" x14ac:dyDescent="0.3">
      <c r="A396" s="2">
        <v>396</v>
      </c>
      <c r="B396" s="2">
        <v>251209211</v>
      </c>
      <c r="C396" s="111">
        <v>46008</v>
      </c>
      <c r="D396" s="2">
        <v>389662.2</v>
      </c>
      <c r="E396" s="2" t="s">
        <v>677</v>
      </c>
      <c r="F396" s="2" t="s">
        <v>1794</v>
      </c>
      <c r="G396" s="2" t="s">
        <v>946</v>
      </c>
      <c r="H396" s="2">
        <v>12</v>
      </c>
      <c r="I396" s="83">
        <v>52569</v>
      </c>
      <c r="J396" s="2" t="s">
        <v>142</v>
      </c>
      <c r="K396" s="2" t="s">
        <v>126</v>
      </c>
      <c r="L396" s="2" t="s">
        <v>854</v>
      </c>
      <c r="M396" s="134">
        <v>46017</v>
      </c>
      <c r="N396" s="56" t="s">
        <v>3334</v>
      </c>
      <c r="Q396" s="67">
        <f t="shared" si="47"/>
        <v>4</v>
      </c>
      <c r="R396" s="29">
        <f t="shared" si="41"/>
        <v>10</v>
      </c>
      <c r="T396" s="1"/>
      <c r="U396" s="2" t="s">
        <v>3043</v>
      </c>
      <c r="V396" s="2" t="s">
        <v>335</v>
      </c>
      <c r="W396" s="2" t="s">
        <v>163</v>
      </c>
      <c r="X396" s="2" t="s">
        <v>3044</v>
      </c>
      <c r="Y396" s="14">
        <v>46010</v>
      </c>
      <c r="Z396" s="14">
        <v>46015</v>
      </c>
      <c r="AA396" s="14">
        <v>46017</v>
      </c>
      <c r="AB396" s="14">
        <v>46017</v>
      </c>
      <c r="AC396" s="14">
        <v>46021</v>
      </c>
      <c r="AD396" s="2">
        <v>60751570676</v>
      </c>
      <c r="AE396" s="2">
        <v>4840749254</v>
      </c>
      <c r="AF396" s="2">
        <v>1</v>
      </c>
      <c r="AG396" s="2">
        <v>95</v>
      </c>
      <c r="AH396" s="2"/>
      <c r="AI396" s="2" t="s">
        <v>179</v>
      </c>
      <c r="AJ396" s="2"/>
      <c r="AK396" s="14">
        <v>46015</v>
      </c>
      <c r="AL396" s="14">
        <v>46015</v>
      </c>
      <c r="AM396" s="14">
        <v>46018</v>
      </c>
      <c r="AN396" s="2"/>
      <c r="AO396" s="2">
        <v>6566189</v>
      </c>
      <c r="AP396" s="14">
        <v>46018</v>
      </c>
      <c r="AQ396" s="14">
        <v>46021</v>
      </c>
      <c r="AS396" s="2"/>
      <c r="AT396" s="44">
        <v>52652</v>
      </c>
      <c r="AV396" s="14">
        <v>46022</v>
      </c>
      <c r="AW396" s="14">
        <v>46024</v>
      </c>
      <c r="AY396" s="2">
        <v>6720843</v>
      </c>
      <c r="AZ396" s="5">
        <v>46028</v>
      </c>
      <c r="BA396" s="1">
        <v>35381328</v>
      </c>
      <c r="BB396" s="2">
        <v>6368639</v>
      </c>
      <c r="BC396" s="5">
        <v>46028</v>
      </c>
      <c r="BD396" s="14">
        <v>46028</v>
      </c>
      <c r="BE396" s="32">
        <v>46028</v>
      </c>
      <c r="BF396" s="32">
        <v>46029</v>
      </c>
      <c r="BG396" s="5">
        <v>46031</v>
      </c>
      <c r="BH396" s="1" t="s">
        <v>3333</v>
      </c>
      <c r="BI396" s="1" t="s">
        <v>273</v>
      </c>
      <c r="BQ396" s="14">
        <v>46024</v>
      </c>
      <c r="BR396" s="5">
        <v>45662</v>
      </c>
    </row>
    <row r="397" spans="1:70" ht="18" customHeight="1" x14ac:dyDescent="0.3">
      <c r="A397" s="2">
        <v>397</v>
      </c>
      <c r="B397" s="2">
        <v>251209178</v>
      </c>
      <c r="C397" s="111">
        <v>46008</v>
      </c>
      <c r="D397" s="2">
        <v>109507.24</v>
      </c>
      <c r="E397" s="2" t="s">
        <v>677</v>
      </c>
      <c r="F397" s="2" t="s">
        <v>1346</v>
      </c>
      <c r="G397" s="2" t="s">
        <v>946</v>
      </c>
      <c r="H397" s="2">
        <v>4</v>
      </c>
      <c r="I397" s="83">
        <v>52570</v>
      </c>
      <c r="J397" s="2" t="s">
        <v>142</v>
      </c>
      <c r="K397" s="2" t="s">
        <v>126</v>
      </c>
      <c r="L397" s="2" t="s">
        <v>854</v>
      </c>
      <c r="M397" s="134">
        <v>46017</v>
      </c>
      <c r="N397" s="56" t="s">
        <v>3322</v>
      </c>
      <c r="Q397" s="67">
        <f t="shared" si="47"/>
        <v>4</v>
      </c>
      <c r="R397" s="29">
        <f t="shared" si="41"/>
        <v>10</v>
      </c>
      <c r="T397" s="1"/>
      <c r="U397" s="1" t="s">
        <v>3045</v>
      </c>
      <c r="V397" s="2" t="s">
        <v>755</v>
      </c>
      <c r="W397" s="1" t="s">
        <v>827</v>
      </c>
      <c r="X397" s="2" t="s">
        <v>3046</v>
      </c>
      <c r="Y397" s="14">
        <v>46010</v>
      </c>
      <c r="Z397" s="14">
        <v>46015</v>
      </c>
      <c r="AA397" s="14">
        <v>46017</v>
      </c>
      <c r="AB397" s="14">
        <v>46017</v>
      </c>
      <c r="AC397" s="14">
        <v>46021</v>
      </c>
      <c r="AD397" s="2">
        <v>60751570676</v>
      </c>
      <c r="AE397" s="2">
        <v>4840749252</v>
      </c>
      <c r="AF397" s="2">
        <v>4</v>
      </c>
      <c r="AG397" s="2">
        <v>14.5</v>
      </c>
      <c r="AH397" s="2"/>
      <c r="AI397" s="2" t="s">
        <v>179</v>
      </c>
      <c r="AJ397" s="2"/>
      <c r="AK397" s="14">
        <v>46015</v>
      </c>
      <c r="AL397" s="14">
        <v>46015</v>
      </c>
      <c r="AM397" s="14">
        <v>46015</v>
      </c>
      <c r="AN397" s="2"/>
      <c r="AO397" s="2">
        <v>6566191</v>
      </c>
      <c r="AP397" s="14">
        <v>46018</v>
      </c>
      <c r="AQ397" s="14">
        <v>46021</v>
      </c>
      <c r="AS397" s="2"/>
      <c r="AT397" s="44">
        <v>52653</v>
      </c>
      <c r="AV397" s="14">
        <v>46022</v>
      </c>
      <c r="AW397" s="14">
        <v>46024</v>
      </c>
      <c r="AY397" s="2">
        <v>6720846</v>
      </c>
      <c r="AZ397" s="5">
        <v>46028</v>
      </c>
      <c r="BA397" s="1">
        <v>9943257</v>
      </c>
      <c r="BB397" s="2">
        <v>1789786</v>
      </c>
      <c r="BC397" s="5">
        <v>46028</v>
      </c>
      <c r="BD397" s="14">
        <v>46028</v>
      </c>
      <c r="BE397" s="32">
        <v>46029</v>
      </c>
      <c r="BF397" s="15"/>
      <c r="BG397" s="5">
        <v>46031</v>
      </c>
      <c r="BH397" s="1" t="s">
        <v>3313</v>
      </c>
      <c r="BI397" s="1" t="s">
        <v>273</v>
      </c>
      <c r="BQ397" s="14">
        <v>46024</v>
      </c>
      <c r="BR397" s="5">
        <v>45662</v>
      </c>
    </row>
    <row r="398" spans="1:70" ht="18" customHeight="1" x14ac:dyDescent="0.3">
      <c r="A398" s="2">
        <v>398</v>
      </c>
      <c r="B398" s="2">
        <v>251209180</v>
      </c>
      <c r="C398" s="111">
        <v>46008</v>
      </c>
      <c r="D398" s="2">
        <v>438028.96</v>
      </c>
      <c r="E398" s="2" t="s">
        <v>677</v>
      </c>
      <c r="F398" s="2" t="s">
        <v>1346</v>
      </c>
      <c r="G398" s="2" t="s">
        <v>946</v>
      </c>
      <c r="H398" s="2">
        <v>16</v>
      </c>
      <c r="I398" s="83">
        <v>52571</v>
      </c>
      <c r="J398" s="2" t="s">
        <v>142</v>
      </c>
      <c r="K398" s="2" t="s">
        <v>126</v>
      </c>
      <c r="L398" s="2" t="s">
        <v>854</v>
      </c>
      <c r="M398" s="134">
        <v>46017</v>
      </c>
      <c r="N398" s="56" t="s">
        <v>3321</v>
      </c>
      <c r="Q398" s="67">
        <f t="shared" si="47"/>
        <v>4</v>
      </c>
      <c r="R398" s="29">
        <f t="shared" si="41"/>
        <v>10</v>
      </c>
      <c r="T398" s="1"/>
      <c r="U398" s="1" t="s">
        <v>2456</v>
      </c>
      <c r="V398" s="2" t="s">
        <v>755</v>
      </c>
      <c r="W398" s="1" t="s">
        <v>827</v>
      </c>
      <c r="X398" s="2" t="s">
        <v>3047</v>
      </c>
      <c r="Y398" s="14">
        <v>46010</v>
      </c>
      <c r="Z398" s="14">
        <v>46015</v>
      </c>
      <c r="AA398" s="14">
        <v>46017</v>
      </c>
      <c r="AB398" s="14">
        <v>46017</v>
      </c>
      <c r="AC398" s="14">
        <v>46021</v>
      </c>
      <c r="AD398" s="2">
        <v>60751570676</v>
      </c>
      <c r="AE398" s="2">
        <v>4840749253</v>
      </c>
      <c r="AF398" s="2">
        <v>1</v>
      </c>
      <c r="AG398" s="2">
        <v>110</v>
      </c>
      <c r="AH398" s="2"/>
      <c r="AI398" s="2" t="s">
        <v>179</v>
      </c>
      <c r="AJ398" s="2"/>
      <c r="AK398" s="14">
        <v>46015</v>
      </c>
      <c r="AL398" s="14">
        <v>46015</v>
      </c>
      <c r="AM398" s="14">
        <v>46015</v>
      </c>
      <c r="AN398" s="2"/>
      <c r="AO398" s="2">
        <v>6566194</v>
      </c>
      <c r="AP398" s="14">
        <v>46018</v>
      </c>
      <c r="AQ398" s="14">
        <v>46021</v>
      </c>
      <c r="AS398" s="2"/>
      <c r="AT398" s="44">
        <v>52654</v>
      </c>
      <c r="AV398" s="14">
        <v>46022</v>
      </c>
      <c r="AW398" s="14">
        <v>46024</v>
      </c>
      <c r="AY398" s="2">
        <v>6720842</v>
      </c>
      <c r="AZ398" s="5">
        <v>46028</v>
      </c>
      <c r="BA398" s="1">
        <v>39773030</v>
      </c>
      <c r="BB398" s="2">
        <v>7159145</v>
      </c>
      <c r="BC398" s="5">
        <v>46028</v>
      </c>
      <c r="BD398" s="14">
        <v>46028</v>
      </c>
      <c r="BE398" s="32">
        <v>46029</v>
      </c>
      <c r="BF398" s="15"/>
      <c r="BG398" s="5">
        <v>46031</v>
      </c>
      <c r="BH398" s="1" t="s">
        <v>3313</v>
      </c>
      <c r="BI398" s="1" t="s">
        <v>273</v>
      </c>
      <c r="BQ398" s="14">
        <v>46024</v>
      </c>
      <c r="BR398" s="5">
        <v>45662</v>
      </c>
    </row>
    <row r="399" spans="1:70" ht="18" customHeight="1" x14ac:dyDescent="0.3">
      <c r="A399" s="2">
        <v>399</v>
      </c>
      <c r="B399" s="2">
        <v>1025085</v>
      </c>
      <c r="C399" s="111">
        <v>46006</v>
      </c>
      <c r="D399" s="2">
        <v>207146</v>
      </c>
      <c r="E399" s="2" t="s">
        <v>681</v>
      </c>
      <c r="F399" s="2" t="s">
        <v>3014</v>
      </c>
      <c r="G399" s="2" t="s">
        <v>3082</v>
      </c>
      <c r="H399" s="2">
        <v>100</v>
      </c>
      <c r="I399" s="83">
        <v>52593</v>
      </c>
      <c r="J399" s="2" t="s">
        <v>142</v>
      </c>
      <c r="K399" s="2" t="s">
        <v>126</v>
      </c>
      <c r="L399" s="2" t="s">
        <v>854</v>
      </c>
      <c r="M399" s="134">
        <v>46021</v>
      </c>
      <c r="N399" s="56" t="s">
        <v>3326</v>
      </c>
      <c r="Q399" s="67">
        <f t="shared" si="47"/>
        <v>2</v>
      </c>
      <c r="R399" s="29">
        <f t="shared" si="41"/>
        <v>8</v>
      </c>
      <c r="T399" s="1"/>
      <c r="U399" s="1" t="s">
        <v>3011</v>
      </c>
      <c r="V399" s="2" t="s">
        <v>755</v>
      </c>
      <c r="W399" s="1" t="s">
        <v>827</v>
      </c>
      <c r="X399" s="2" t="s">
        <v>3083</v>
      </c>
      <c r="Y399" s="14">
        <v>46015</v>
      </c>
      <c r="Z399" s="14">
        <v>46020</v>
      </c>
      <c r="AA399" s="14">
        <v>46021</v>
      </c>
      <c r="AB399" s="14">
        <v>46021</v>
      </c>
      <c r="AC399" s="14">
        <v>46023</v>
      </c>
      <c r="AD399" s="2">
        <v>60751579894</v>
      </c>
      <c r="AE399" s="2" t="s">
        <v>3084</v>
      </c>
      <c r="AF399" s="2">
        <v>3</v>
      </c>
      <c r="AG399" s="2">
        <v>749</v>
      </c>
      <c r="AH399" s="2"/>
      <c r="AI399" s="2" t="s">
        <v>3116</v>
      </c>
      <c r="AJ399" s="2"/>
      <c r="AK399" s="14">
        <v>46016</v>
      </c>
      <c r="AL399" s="14">
        <v>46018</v>
      </c>
      <c r="AM399" s="14">
        <v>46021</v>
      </c>
      <c r="AN399" s="2"/>
      <c r="AO399" s="2">
        <v>6613660</v>
      </c>
      <c r="AP399" s="14">
        <v>46021</v>
      </c>
      <c r="AQ399" s="14">
        <v>46023</v>
      </c>
      <c r="AS399" s="2"/>
      <c r="AT399" s="44">
        <v>52686</v>
      </c>
      <c r="AV399" s="14">
        <v>46025</v>
      </c>
      <c r="AW399" s="14">
        <v>46025</v>
      </c>
      <c r="AY399" s="2">
        <v>6739949</v>
      </c>
      <c r="AZ399" s="5">
        <v>46029</v>
      </c>
      <c r="BA399" s="1">
        <v>18808857</v>
      </c>
      <c r="BB399" s="2">
        <v>3385594</v>
      </c>
      <c r="BC399" s="5">
        <v>46029</v>
      </c>
      <c r="BD399" s="5">
        <v>46029</v>
      </c>
      <c r="BF399" s="32">
        <v>45665</v>
      </c>
      <c r="BG399" s="5">
        <v>46031</v>
      </c>
      <c r="BH399" s="1" t="s">
        <v>3323</v>
      </c>
      <c r="BI399" s="1" t="s">
        <v>273</v>
      </c>
      <c r="BQ399" s="14">
        <v>46025</v>
      </c>
      <c r="BR399" s="1"/>
    </row>
    <row r="400" spans="1:70" ht="18" customHeight="1" x14ac:dyDescent="0.3">
      <c r="A400" s="2">
        <v>400</v>
      </c>
      <c r="B400" s="2">
        <v>1025086</v>
      </c>
      <c r="C400" s="111">
        <v>46006</v>
      </c>
      <c r="D400" s="2">
        <v>207146</v>
      </c>
      <c r="E400" s="2" t="s">
        <v>681</v>
      </c>
      <c r="F400" s="2" t="s">
        <v>3014</v>
      </c>
      <c r="G400" s="2" t="s">
        <v>3082</v>
      </c>
      <c r="H400" s="2">
        <v>100</v>
      </c>
      <c r="I400" s="83">
        <v>52594</v>
      </c>
      <c r="J400" s="2" t="s">
        <v>142</v>
      </c>
      <c r="K400" s="2" t="s">
        <v>126</v>
      </c>
      <c r="L400" s="2" t="s">
        <v>854</v>
      </c>
      <c r="M400" s="134">
        <v>46020</v>
      </c>
      <c r="N400" s="56" t="s">
        <v>3318</v>
      </c>
      <c r="Q400" s="67">
        <f t="shared" si="47"/>
        <v>3</v>
      </c>
      <c r="R400" s="29">
        <f t="shared" si="41"/>
        <v>8</v>
      </c>
      <c r="T400" s="1"/>
      <c r="U400" s="1" t="s">
        <v>3011</v>
      </c>
      <c r="V400" s="2" t="s">
        <v>755</v>
      </c>
      <c r="W400" s="1" t="s">
        <v>827</v>
      </c>
      <c r="X400" s="2" t="s">
        <v>3085</v>
      </c>
      <c r="Y400" s="14">
        <v>46015</v>
      </c>
      <c r="Z400" s="14">
        <v>46020</v>
      </c>
      <c r="AA400" s="14">
        <v>46020</v>
      </c>
      <c r="AB400" s="14">
        <v>46020</v>
      </c>
      <c r="AC400" s="14">
        <v>46023</v>
      </c>
      <c r="AD400" s="2">
        <v>60751579883</v>
      </c>
      <c r="AE400" s="2" t="s">
        <v>3086</v>
      </c>
      <c r="AF400" s="2">
        <v>3</v>
      </c>
      <c r="AG400" s="2">
        <v>772.5</v>
      </c>
      <c r="AH400" s="2"/>
      <c r="AI400" s="2" t="s">
        <v>3116</v>
      </c>
      <c r="AJ400" s="2"/>
      <c r="AK400" s="14">
        <v>46016</v>
      </c>
      <c r="AL400" s="14">
        <v>46018</v>
      </c>
      <c r="AM400" s="14">
        <v>46020</v>
      </c>
      <c r="AN400" s="2"/>
      <c r="AO400" s="2">
        <v>6613655</v>
      </c>
      <c r="AP400" s="14">
        <v>46021</v>
      </c>
      <c r="AQ400" s="14">
        <v>46023</v>
      </c>
      <c r="AS400" s="2"/>
      <c r="AT400" s="44">
        <v>52688</v>
      </c>
      <c r="AV400" s="14">
        <v>46025</v>
      </c>
      <c r="AW400" s="14">
        <v>46025</v>
      </c>
      <c r="AY400" s="2">
        <v>6739987</v>
      </c>
      <c r="AZ400" s="5">
        <v>46029</v>
      </c>
      <c r="BA400" s="1">
        <v>18808857</v>
      </c>
      <c r="BB400" s="2">
        <v>3385594</v>
      </c>
      <c r="BC400" s="5">
        <v>46029</v>
      </c>
      <c r="BD400" s="5">
        <v>46029</v>
      </c>
      <c r="BF400" s="32">
        <v>46030</v>
      </c>
      <c r="BG400" s="5">
        <v>46031</v>
      </c>
      <c r="BH400" s="1" t="s">
        <v>3313</v>
      </c>
      <c r="BI400" s="1" t="s">
        <v>273</v>
      </c>
      <c r="BQ400" s="14">
        <v>46025</v>
      </c>
      <c r="BR400" s="1"/>
    </row>
    <row r="401" spans="1:70" ht="18" customHeight="1" x14ac:dyDescent="0.3">
      <c r="A401" s="2">
        <v>401</v>
      </c>
      <c r="B401" s="2">
        <v>1025087</v>
      </c>
      <c r="C401" s="111">
        <v>46006</v>
      </c>
      <c r="D401" s="2">
        <v>207146</v>
      </c>
      <c r="E401" s="2" t="s">
        <v>681</v>
      </c>
      <c r="F401" s="2" t="s">
        <v>3014</v>
      </c>
      <c r="G401" s="2" t="s">
        <v>3082</v>
      </c>
      <c r="H401" s="2">
        <v>100</v>
      </c>
      <c r="I401" s="83">
        <v>52595</v>
      </c>
      <c r="J401" s="2" t="s">
        <v>142</v>
      </c>
      <c r="K401" s="2" t="s">
        <v>126</v>
      </c>
      <c r="L401" s="2" t="s">
        <v>854</v>
      </c>
      <c r="M401" s="134">
        <v>46019</v>
      </c>
      <c r="N401" s="56" t="s">
        <v>3329</v>
      </c>
      <c r="Q401" s="67">
        <f t="shared" si="47"/>
        <v>3</v>
      </c>
      <c r="R401" s="29">
        <f t="shared" si="41"/>
        <v>9</v>
      </c>
      <c r="T401" s="1"/>
      <c r="U401" s="1" t="s">
        <v>3095</v>
      </c>
      <c r="V401" s="2" t="s">
        <v>755</v>
      </c>
      <c r="W401" s="1" t="s">
        <v>827</v>
      </c>
      <c r="X401" s="2" t="s">
        <v>3087</v>
      </c>
      <c r="Y401" s="14">
        <v>46016</v>
      </c>
      <c r="Z401" s="14">
        <v>46020</v>
      </c>
      <c r="AA401" s="14">
        <v>46019</v>
      </c>
      <c r="AB401" s="14">
        <v>46019</v>
      </c>
      <c r="AC401" s="14">
        <v>46022</v>
      </c>
      <c r="AD401" s="2">
        <v>60751580012</v>
      </c>
      <c r="AE401" s="2" t="s">
        <v>3088</v>
      </c>
      <c r="AF401" s="2">
        <v>3</v>
      </c>
      <c r="AG401" s="2">
        <v>737.5</v>
      </c>
      <c r="AH401" s="2"/>
      <c r="AI401" s="2" t="s">
        <v>3116</v>
      </c>
      <c r="AJ401" s="2"/>
      <c r="AK401" s="14">
        <v>46016</v>
      </c>
      <c r="AL401" s="14">
        <v>46018</v>
      </c>
      <c r="AM401" s="14">
        <v>46020</v>
      </c>
      <c r="AN401" s="2"/>
      <c r="AO401" s="2">
        <v>6602736</v>
      </c>
      <c r="AP401" s="14">
        <v>46020</v>
      </c>
      <c r="AQ401" s="14">
        <v>46022</v>
      </c>
      <c r="AS401" s="2"/>
      <c r="AT401" s="44">
        <v>52644</v>
      </c>
      <c r="AV401" s="14">
        <v>46022</v>
      </c>
      <c r="AW401" s="14">
        <v>46023</v>
      </c>
      <c r="AY401" s="2">
        <v>6721362</v>
      </c>
      <c r="AZ401" s="5">
        <v>46028</v>
      </c>
      <c r="BA401" s="1">
        <v>18808857</v>
      </c>
      <c r="BB401" s="2">
        <v>3385594</v>
      </c>
      <c r="BC401" s="5">
        <v>46028</v>
      </c>
      <c r="BD401" s="14">
        <v>46028</v>
      </c>
      <c r="BE401" s="32">
        <v>46029</v>
      </c>
      <c r="BF401" s="32">
        <v>46030</v>
      </c>
      <c r="BG401" s="5">
        <v>46031</v>
      </c>
      <c r="BH401" s="1" t="s">
        <v>3328</v>
      </c>
      <c r="BI401" s="1" t="s">
        <v>273</v>
      </c>
      <c r="BQ401" s="14">
        <v>46023</v>
      </c>
      <c r="BR401" s="5">
        <v>45662</v>
      </c>
    </row>
    <row r="402" spans="1:70" ht="18" customHeight="1" x14ac:dyDescent="0.3">
      <c r="A402" s="2">
        <v>402</v>
      </c>
      <c r="B402" s="2">
        <v>1024045</v>
      </c>
      <c r="C402" s="111">
        <v>46006</v>
      </c>
      <c r="D402" s="2">
        <v>207146</v>
      </c>
      <c r="E402" s="2" t="s">
        <v>681</v>
      </c>
      <c r="F402" s="2" t="s">
        <v>3014</v>
      </c>
      <c r="G402" s="2" t="s">
        <v>3082</v>
      </c>
      <c r="H402" s="2">
        <v>100</v>
      </c>
      <c r="I402" s="83">
        <v>52597</v>
      </c>
      <c r="J402" s="2" t="s">
        <v>142</v>
      </c>
      <c r="K402" s="2" t="s">
        <v>126</v>
      </c>
      <c r="L402" s="2" t="s">
        <v>854</v>
      </c>
      <c r="M402" s="134">
        <v>46021</v>
      </c>
      <c r="N402" s="56" t="s">
        <v>3325</v>
      </c>
      <c r="Q402" s="67">
        <f t="shared" si="47"/>
        <v>2</v>
      </c>
      <c r="R402" s="29">
        <f t="shared" si="41"/>
        <v>8</v>
      </c>
      <c r="T402" s="1"/>
      <c r="U402" s="1" t="s">
        <v>3011</v>
      </c>
      <c r="V402" s="2" t="s">
        <v>755</v>
      </c>
      <c r="W402" s="1" t="s">
        <v>827</v>
      </c>
      <c r="X402" s="2" t="s">
        <v>3089</v>
      </c>
      <c r="Y402" s="14">
        <v>46015</v>
      </c>
      <c r="Z402" s="14">
        <v>46020</v>
      </c>
      <c r="AA402" s="14">
        <v>46021</v>
      </c>
      <c r="AB402" s="14">
        <v>46021</v>
      </c>
      <c r="AC402" s="14">
        <v>46023</v>
      </c>
      <c r="AD402" s="2">
        <v>60751579916</v>
      </c>
      <c r="AE402" s="2" t="s">
        <v>3090</v>
      </c>
      <c r="AF402" s="2">
        <v>3</v>
      </c>
      <c r="AG402" s="2">
        <v>759.5</v>
      </c>
      <c r="AH402" s="2"/>
      <c r="AI402" s="2" t="s">
        <v>3116</v>
      </c>
      <c r="AJ402" s="2"/>
      <c r="AK402" s="14">
        <v>46016</v>
      </c>
      <c r="AL402" s="14">
        <v>46018</v>
      </c>
      <c r="AM402" s="14">
        <v>46020</v>
      </c>
      <c r="AN402" s="2"/>
      <c r="AO402" s="2">
        <v>6613661</v>
      </c>
      <c r="AP402" s="14">
        <v>46021</v>
      </c>
      <c r="AQ402" s="14">
        <v>46023</v>
      </c>
      <c r="AS402" s="2"/>
      <c r="AT402" s="44">
        <v>52689</v>
      </c>
      <c r="AV402" s="14">
        <v>46025</v>
      </c>
      <c r="AW402" s="14">
        <v>46025</v>
      </c>
      <c r="AY402" s="2">
        <v>6739989</v>
      </c>
      <c r="AZ402" s="5">
        <v>46029</v>
      </c>
      <c r="BA402" s="1">
        <v>18808857</v>
      </c>
      <c r="BB402" s="2">
        <v>3385594</v>
      </c>
      <c r="BC402" s="5">
        <v>46029</v>
      </c>
      <c r="BD402" s="5">
        <v>46029</v>
      </c>
      <c r="BF402" s="32">
        <v>46030</v>
      </c>
      <c r="BG402" s="5">
        <v>46031</v>
      </c>
      <c r="BH402" s="1" t="s">
        <v>3323</v>
      </c>
      <c r="BI402" s="1" t="s">
        <v>273</v>
      </c>
      <c r="BQ402" s="14">
        <v>46025</v>
      </c>
      <c r="BR402" s="1"/>
    </row>
    <row r="403" spans="1:70" ht="18" customHeight="1" x14ac:dyDescent="0.3">
      <c r="A403" s="2">
        <v>403</v>
      </c>
      <c r="B403" s="2">
        <v>1023612</v>
      </c>
      <c r="C403" s="111">
        <v>46006</v>
      </c>
      <c r="D403" s="2">
        <v>207146</v>
      </c>
      <c r="E403" s="2" t="s">
        <v>681</v>
      </c>
      <c r="F403" s="2" t="s">
        <v>3014</v>
      </c>
      <c r="G403" s="2" t="s">
        <v>3082</v>
      </c>
      <c r="H403" s="2">
        <v>100</v>
      </c>
      <c r="I403" s="83">
        <v>52598</v>
      </c>
      <c r="J403" s="2" t="s">
        <v>142</v>
      </c>
      <c r="K403" s="2" t="s">
        <v>126</v>
      </c>
      <c r="L403" s="2" t="s">
        <v>854</v>
      </c>
      <c r="M403" s="134">
        <v>46020</v>
      </c>
      <c r="N403" s="56" t="s">
        <v>3315</v>
      </c>
      <c r="Q403" s="67">
        <f t="shared" si="47"/>
        <v>3</v>
      </c>
      <c r="R403" s="29">
        <f t="shared" si="41"/>
        <v>8</v>
      </c>
      <c r="T403" s="1"/>
      <c r="U403" s="1" t="s">
        <v>3011</v>
      </c>
      <c r="V403" s="2" t="s">
        <v>755</v>
      </c>
      <c r="W403" s="1" t="s">
        <v>827</v>
      </c>
      <c r="X403" s="2" t="s">
        <v>3139</v>
      </c>
      <c r="Y403" s="14">
        <v>46020</v>
      </c>
      <c r="Z403" s="14">
        <v>46023</v>
      </c>
      <c r="AA403" s="14">
        <v>46020</v>
      </c>
      <c r="AB403" s="14">
        <v>46020</v>
      </c>
      <c r="AC403" s="14">
        <v>46023</v>
      </c>
      <c r="AD403" s="2">
        <v>21707727134</v>
      </c>
      <c r="AE403" s="2" t="s">
        <v>3091</v>
      </c>
      <c r="AF403" s="2">
        <v>3</v>
      </c>
      <c r="AG403" s="2">
        <v>718</v>
      </c>
      <c r="AH403" s="2"/>
      <c r="AI403" s="2" t="s">
        <v>180</v>
      </c>
      <c r="AJ403" s="2"/>
      <c r="AK403" s="14">
        <v>46016</v>
      </c>
      <c r="AL403" s="14">
        <v>46018</v>
      </c>
      <c r="AM403" s="14">
        <v>46020</v>
      </c>
      <c r="AN403" s="2"/>
      <c r="AO403" s="2">
        <v>6609923</v>
      </c>
      <c r="AP403" s="14">
        <v>46021</v>
      </c>
      <c r="AQ403" s="14">
        <v>46023</v>
      </c>
      <c r="AS403" s="2"/>
      <c r="AT403" s="44">
        <v>52690</v>
      </c>
      <c r="AV403" s="14">
        <v>46025</v>
      </c>
      <c r="AW403" s="14">
        <v>46025</v>
      </c>
      <c r="AY403" s="2">
        <v>6741124</v>
      </c>
      <c r="AZ403" s="5">
        <v>46029</v>
      </c>
      <c r="BA403" s="1">
        <v>18808857</v>
      </c>
      <c r="BB403" s="2">
        <v>3385594</v>
      </c>
      <c r="BC403" s="5">
        <v>46029</v>
      </c>
      <c r="BD403" s="5">
        <v>46029</v>
      </c>
      <c r="BF403" s="32">
        <v>46030</v>
      </c>
      <c r="BG403" s="5">
        <v>46031</v>
      </c>
      <c r="BH403" s="1" t="s">
        <v>3313</v>
      </c>
      <c r="BI403" s="1" t="s">
        <v>273</v>
      </c>
      <c r="BQ403" s="14">
        <v>46025</v>
      </c>
      <c r="BR403" s="5">
        <v>45662</v>
      </c>
    </row>
    <row r="404" spans="1:70" ht="18" customHeight="1" x14ac:dyDescent="0.3">
      <c r="A404" s="2">
        <v>404</v>
      </c>
      <c r="B404" s="2">
        <v>1030275</v>
      </c>
      <c r="C404" s="111">
        <v>46006</v>
      </c>
      <c r="D404" s="2">
        <v>207146</v>
      </c>
      <c r="E404" s="2" t="s">
        <v>681</v>
      </c>
      <c r="F404" s="2" t="s">
        <v>3014</v>
      </c>
      <c r="G404" s="2" t="s">
        <v>3082</v>
      </c>
      <c r="H404" s="2">
        <v>100</v>
      </c>
      <c r="I404" s="83">
        <v>52600</v>
      </c>
      <c r="J404" s="2" t="s">
        <v>142</v>
      </c>
      <c r="K404" s="2" t="s">
        <v>126</v>
      </c>
      <c r="L404" s="2" t="s">
        <v>854</v>
      </c>
      <c r="M404" s="134">
        <v>46020</v>
      </c>
      <c r="N404" s="56" t="s">
        <v>3324</v>
      </c>
      <c r="Q404" s="67">
        <f t="shared" si="47"/>
        <v>3</v>
      </c>
      <c r="R404" s="29">
        <f t="shared" si="41"/>
        <v>8</v>
      </c>
      <c r="T404" s="1"/>
      <c r="U404" s="1" t="s">
        <v>3094</v>
      </c>
      <c r="V404" s="2" t="s">
        <v>755</v>
      </c>
      <c r="W404" s="1" t="s">
        <v>827</v>
      </c>
      <c r="X404" s="2" t="s">
        <v>3138</v>
      </c>
      <c r="Y404" s="14">
        <v>46020</v>
      </c>
      <c r="Z404" s="14">
        <v>46023</v>
      </c>
      <c r="AA404" s="14">
        <v>46020</v>
      </c>
      <c r="AB404" s="14">
        <v>46020</v>
      </c>
      <c r="AC404" s="14">
        <v>46023</v>
      </c>
      <c r="AD404" s="2">
        <v>60751580060</v>
      </c>
      <c r="AE404" s="2" t="s">
        <v>3096</v>
      </c>
      <c r="AF404" s="2">
        <v>3</v>
      </c>
      <c r="AG404" s="2">
        <v>675</v>
      </c>
      <c r="AH404" s="2"/>
      <c r="AI404" s="2" t="s">
        <v>3116</v>
      </c>
      <c r="AJ404" s="2"/>
      <c r="AK404" s="14">
        <v>46016</v>
      </c>
      <c r="AL404" s="14">
        <v>46018</v>
      </c>
      <c r="AM404" s="14">
        <v>46020</v>
      </c>
      <c r="AN404" s="2"/>
      <c r="AO404" s="2">
        <v>6611031</v>
      </c>
      <c r="AP404" s="14">
        <v>46021</v>
      </c>
      <c r="AQ404" s="14">
        <v>46023</v>
      </c>
      <c r="AS404" s="2"/>
      <c r="AT404" s="44">
        <v>52692</v>
      </c>
      <c r="AV404" s="14">
        <v>46025</v>
      </c>
      <c r="AW404" s="14">
        <v>46025</v>
      </c>
      <c r="AY404" s="2">
        <v>6739951</v>
      </c>
      <c r="AZ404" s="5">
        <v>46029</v>
      </c>
      <c r="BA404" s="1">
        <v>18808857</v>
      </c>
      <c r="BB404" s="2">
        <v>3385594</v>
      </c>
      <c r="BC404" s="5">
        <v>46029</v>
      </c>
      <c r="BD404" s="5">
        <v>46029</v>
      </c>
      <c r="BF404" s="32">
        <v>46030</v>
      </c>
      <c r="BG404" s="5">
        <v>46031</v>
      </c>
      <c r="BH404" s="1" t="s">
        <v>3323</v>
      </c>
      <c r="BI404" s="1" t="s">
        <v>273</v>
      </c>
      <c r="BQ404" s="14">
        <v>46025</v>
      </c>
      <c r="BR404" s="5">
        <v>45662</v>
      </c>
    </row>
    <row r="405" spans="1:70" ht="18" customHeight="1" x14ac:dyDescent="0.3">
      <c r="A405" s="2">
        <v>405</v>
      </c>
      <c r="B405" s="2">
        <v>1023611</v>
      </c>
      <c r="C405" s="111">
        <v>46006</v>
      </c>
      <c r="D405" s="2">
        <v>207146</v>
      </c>
      <c r="E405" s="2" t="s">
        <v>681</v>
      </c>
      <c r="F405" s="2" t="s">
        <v>3014</v>
      </c>
      <c r="G405" s="2" t="s">
        <v>3082</v>
      </c>
      <c r="H405" s="2">
        <v>100</v>
      </c>
      <c r="I405" s="83">
        <v>52601</v>
      </c>
      <c r="J405" s="2" t="s">
        <v>142</v>
      </c>
      <c r="K405" s="2" t="s">
        <v>126</v>
      </c>
      <c r="L405" s="2" t="s">
        <v>854</v>
      </c>
      <c r="M405" s="134">
        <v>46020</v>
      </c>
      <c r="N405" s="56" t="s">
        <v>3331</v>
      </c>
      <c r="O405" s="1">
        <v>811.34</v>
      </c>
      <c r="Q405" s="67">
        <f t="shared" si="47"/>
        <v>4</v>
      </c>
      <c r="R405" s="29">
        <f t="shared" si="41"/>
        <v>7</v>
      </c>
      <c r="T405" s="1"/>
      <c r="U405" s="1" t="s">
        <v>3011</v>
      </c>
      <c r="V405" s="2" t="s">
        <v>755</v>
      </c>
      <c r="W405" s="1" t="s">
        <v>827</v>
      </c>
      <c r="X405" s="2" t="s">
        <v>3141</v>
      </c>
      <c r="Y405" s="14">
        <v>46020</v>
      </c>
      <c r="Z405" s="14">
        <v>46023</v>
      </c>
      <c r="AA405" s="14">
        <v>46020</v>
      </c>
      <c r="AB405" s="14">
        <v>46020</v>
      </c>
      <c r="AC405" s="14">
        <v>46024</v>
      </c>
      <c r="AD405" s="2">
        <v>21707727134</v>
      </c>
      <c r="AE405" s="2" t="s">
        <v>3097</v>
      </c>
      <c r="AF405" s="2">
        <v>3</v>
      </c>
      <c r="AG405" s="2">
        <v>70</v>
      </c>
      <c r="AH405" s="2"/>
      <c r="AI405" s="2" t="s">
        <v>180</v>
      </c>
      <c r="AJ405" s="2"/>
      <c r="AK405" s="14">
        <v>46017</v>
      </c>
      <c r="AL405" s="14">
        <v>46018</v>
      </c>
      <c r="AM405" s="14">
        <v>46020</v>
      </c>
      <c r="AN405" s="2"/>
      <c r="AO405" s="2">
        <v>6623906</v>
      </c>
      <c r="AP405" s="14">
        <v>46021</v>
      </c>
      <c r="AQ405" s="14">
        <v>46024</v>
      </c>
      <c r="AS405" s="2"/>
      <c r="AT405" s="44">
        <v>52693</v>
      </c>
      <c r="AV405" s="14">
        <v>46025</v>
      </c>
      <c r="AW405" s="14">
        <v>46025</v>
      </c>
      <c r="AY405" s="2">
        <v>6739950</v>
      </c>
      <c r="AZ405" s="5">
        <v>46029</v>
      </c>
      <c r="BA405" s="1">
        <v>18808857</v>
      </c>
      <c r="BB405" s="2">
        <v>3385594</v>
      </c>
      <c r="BC405" s="5">
        <v>46029</v>
      </c>
      <c r="BD405" s="5">
        <v>46029</v>
      </c>
      <c r="BF405" s="32">
        <v>46030</v>
      </c>
      <c r="BG405" s="5">
        <v>46031</v>
      </c>
      <c r="BH405" s="1" t="s">
        <v>3328</v>
      </c>
      <c r="BI405" s="1" t="s">
        <v>273</v>
      </c>
      <c r="BQ405" s="14">
        <v>46025</v>
      </c>
      <c r="BR405" s="5">
        <v>45662</v>
      </c>
    </row>
    <row r="406" spans="1:70" ht="18" customHeight="1" x14ac:dyDescent="0.3">
      <c r="A406" s="2">
        <v>406</v>
      </c>
      <c r="B406" s="2">
        <v>1030276</v>
      </c>
      <c r="C406" s="111">
        <v>46372</v>
      </c>
      <c r="D406" s="2">
        <v>207146</v>
      </c>
      <c r="E406" s="2" t="s">
        <v>681</v>
      </c>
      <c r="F406" s="2" t="s">
        <v>3014</v>
      </c>
      <c r="G406" s="2" t="s">
        <v>3082</v>
      </c>
      <c r="H406" s="2">
        <v>100</v>
      </c>
      <c r="I406" s="83">
        <v>52602</v>
      </c>
      <c r="J406" s="2" t="s">
        <v>142</v>
      </c>
      <c r="K406" s="2" t="s">
        <v>126</v>
      </c>
      <c r="L406" s="2" t="s">
        <v>854</v>
      </c>
      <c r="M406" s="134">
        <v>46020</v>
      </c>
      <c r="N406" s="56" t="s">
        <v>3332</v>
      </c>
      <c r="Q406" s="67">
        <f t="shared" si="47"/>
        <v>2</v>
      </c>
      <c r="R406" s="29">
        <f t="shared" si="41"/>
        <v>9</v>
      </c>
      <c r="T406" s="1"/>
      <c r="U406" s="1" t="s">
        <v>3094</v>
      </c>
      <c r="V406" s="2" t="s">
        <v>755</v>
      </c>
      <c r="W406" s="1" t="s">
        <v>827</v>
      </c>
      <c r="X406" s="2" t="s">
        <v>3143</v>
      </c>
      <c r="Y406" s="14">
        <v>46020</v>
      </c>
      <c r="Z406" s="14">
        <v>46023</v>
      </c>
      <c r="AA406" s="14">
        <v>46019</v>
      </c>
      <c r="AB406" s="14">
        <v>46020</v>
      </c>
      <c r="AC406" s="14">
        <v>46022</v>
      </c>
      <c r="AD406" s="2">
        <v>22917792736</v>
      </c>
      <c r="AE406" s="2" t="s">
        <v>3098</v>
      </c>
      <c r="AF406" s="2">
        <v>3</v>
      </c>
      <c r="AG406" s="2">
        <v>675</v>
      </c>
      <c r="AH406" s="2"/>
      <c r="AI406" s="2" t="s">
        <v>3116</v>
      </c>
      <c r="AJ406" s="2"/>
      <c r="AK406" s="14">
        <v>46017</v>
      </c>
      <c r="AL406" s="14">
        <v>46018</v>
      </c>
      <c r="AM406" s="14">
        <v>46020</v>
      </c>
      <c r="AN406" s="2"/>
      <c r="AO406" s="2">
        <v>6601192</v>
      </c>
      <c r="AP406" s="14">
        <v>46020</v>
      </c>
      <c r="AQ406" s="14">
        <v>46022</v>
      </c>
      <c r="AS406" s="2"/>
      <c r="AT406" s="44">
        <v>52678</v>
      </c>
      <c r="AV406" s="14">
        <v>46023</v>
      </c>
      <c r="AW406" s="14">
        <v>46025</v>
      </c>
      <c r="AY406" s="2">
        <v>6739948</v>
      </c>
      <c r="AZ406" s="5">
        <v>46029</v>
      </c>
      <c r="BA406" s="1">
        <v>18808857</v>
      </c>
      <c r="BB406" s="2">
        <v>3385594</v>
      </c>
      <c r="BC406" s="5">
        <v>46029</v>
      </c>
      <c r="BD406" s="5">
        <v>46029</v>
      </c>
      <c r="BF406" s="32">
        <v>46030</v>
      </c>
      <c r="BG406" s="5">
        <v>46031</v>
      </c>
      <c r="BH406" s="1" t="s">
        <v>3328</v>
      </c>
      <c r="BI406" s="1" t="s">
        <v>273</v>
      </c>
      <c r="BQ406" s="14">
        <v>46025</v>
      </c>
      <c r="BR406" s="5">
        <v>45662</v>
      </c>
    </row>
    <row r="407" spans="1:70" ht="18" customHeight="1" x14ac:dyDescent="0.3">
      <c r="A407" s="2">
        <v>407</v>
      </c>
      <c r="B407" s="8" t="s">
        <v>3184</v>
      </c>
      <c r="C407" s="8" t="s">
        <v>3185</v>
      </c>
      <c r="D407" s="8" t="s">
        <v>3186</v>
      </c>
      <c r="E407" s="2" t="s">
        <v>681</v>
      </c>
      <c r="F407" s="8" t="s">
        <v>3022</v>
      </c>
      <c r="G407" s="8" t="s">
        <v>3187</v>
      </c>
      <c r="H407" s="8" t="s">
        <v>3188</v>
      </c>
      <c r="I407" s="83">
        <v>52604</v>
      </c>
      <c r="J407" s="2" t="s">
        <v>142</v>
      </c>
      <c r="K407" s="2" t="s">
        <v>126</v>
      </c>
      <c r="L407" s="2" t="s">
        <v>854</v>
      </c>
      <c r="M407" s="134">
        <v>46020</v>
      </c>
      <c r="N407" s="56" t="s">
        <v>3330</v>
      </c>
      <c r="O407" s="1">
        <v>560.48</v>
      </c>
      <c r="Q407" s="67">
        <f t="shared" si="47"/>
        <v>4</v>
      </c>
      <c r="R407" s="29">
        <f t="shared" si="41"/>
        <v>7</v>
      </c>
      <c r="T407" s="1"/>
      <c r="U407" s="8" t="s">
        <v>3189</v>
      </c>
      <c r="V407" s="2" t="s">
        <v>755</v>
      </c>
      <c r="W407" s="1" t="s">
        <v>827</v>
      </c>
      <c r="X407" s="2" t="s">
        <v>3146</v>
      </c>
      <c r="Y407" s="14">
        <v>46021</v>
      </c>
      <c r="Z407" s="14">
        <v>46023</v>
      </c>
      <c r="AA407" s="14">
        <v>46020</v>
      </c>
      <c r="AB407" s="14">
        <v>46020</v>
      </c>
      <c r="AC407" s="14">
        <v>46024</v>
      </c>
      <c r="AD407" s="2">
        <v>21707727134</v>
      </c>
      <c r="AE407" s="2" t="s">
        <v>3100</v>
      </c>
      <c r="AF407" s="2">
        <v>2</v>
      </c>
      <c r="AG407" s="2">
        <v>500</v>
      </c>
      <c r="AH407" s="2"/>
      <c r="AI407" s="2" t="s">
        <v>180</v>
      </c>
      <c r="AJ407" s="2"/>
      <c r="AK407" s="14">
        <v>46017</v>
      </c>
      <c r="AL407" s="14">
        <v>46018</v>
      </c>
      <c r="AM407" s="14">
        <v>46020</v>
      </c>
      <c r="AN407" s="2"/>
      <c r="AO407" s="2">
        <v>6623421</v>
      </c>
      <c r="AP407" s="14">
        <v>46021</v>
      </c>
      <c r="AQ407" s="14">
        <v>46024</v>
      </c>
      <c r="AS407" s="2"/>
      <c r="AT407" s="44">
        <v>52694</v>
      </c>
      <c r="AV407" s="14">
        <v>46025</v>
      </c>
      <c r="AW407" s="14">
        <v>45662</v>
      </c>
      <c r="AY407" s="2">
        <v>6741126</v>
      </c>
      <c r="AZ407" s="5">
        <v>46029</v>
      </c>
      <c r="BA407" s="1">
        <v>12790023</v>
      </c>
      <c r="BB407" s="2">
        <v>2302204</v>
      </c>
      <c r="BC407" s="5">
        <v>46029</v>
      </c>
      <c r="BD407" s="5">
        <v>46029</v>
      </c>
      <c r="BE407" s="32">
        <v>46029</v>
      </c>
      <c r="BF407" s="32">
        <v>46030</v>
      </c>
      <c r="BG407" s="5">
        <v>46031</v>
      </c>
      <c r="BH407" s="8" t="s">
        <v>3327</v>
      </c>
      <c r="BI407" s="1" t="s">
        <v>273</v>
      </c>
      <c r="BQ407" s="5">
        <v>45662</v>
      </c>
      <c r="BR407" s="5">
        <v>45662</v>
      </c>
    </row>
    <row r="408" spans="1:70" ht="18" customHeight="1" x14ac:dyDescent="0.3">
      <c r="A408" s="2">
        <v>408</v>
      </c>
      <c r="B408" s="2">
        <v>1029613</v>
      </c>
      <c r="C408" s="111">
        <v>46007</v>
      </c>
      <c r="D408" s="2">
        <v>11251.77</v>
      </c>
      <c r="E408" s="2" t="s">
        <v>681</v>
      </c>
      <c r="F408" s="2" t="s">
        <v>3101</v>
      </c>
      <c r="G408" s="2" t="s">
        <v>3102</v>
      </c>
      <c r="H408" s="2">
        <v>3</v>
      </c>
      <c r="I408" s="83">
        <v>52609</v>
      </c>
      <c r="J408" s="2" t="s">
        <v>142</v>
      </c>
      <c r="K408" s="2" t="s">
        <v>126</v>
      </c>
      <c r="L408" s="2" t="s">
        <v>854</v>
      </c>
      <c r="M408" s="134">
        <v>46020</v>
      </c>
      <c r="N408" s="56" t="s">
        <v>3314</v>
      </c>
      <c r="Q408" s="67">
        <f t="shared" si="47"/>
        <v>3</v>
      </c>
      <c r="R408" s="29">
        <f t="shared" si="41"/>
        <v>8</v>
      </c>
      <c r="T408" s="1"/>
      <c r="U408" s="1" t="s">
        <v>3105</v>
      </c>
      <c r="V408" s="2" t="s">
        <v>755</v>
      </c>
      <c r="W408" s="1" t="s">
        <v>827</v>
      </c>
      <c r="X408" s="2" t="s">
        <v>3142</v>
      </c>
      <c r="Y408" s="14">
        <v>46020</v>
      </c>
      <c r="Z408" s="14">
        <v>46023</v>
      </c>
      <c r="AA408" s="14">
        <v>46020</v>
      </c>
      <c r="AB408" s="14">
        <v>46020</v>
      </c>
      <c r="AC408" s="14">
        <v>46023</v>
      </c>
      <c r="AD408" s="2">
        <v>31295162970</v>
      </c>
      <c r="AE408" s="2" t="s">
        <v>3106</v>
      </c>
      <c r="AF408" s="2">
        <v>1</v>
      </c>
      <c r="AG408" s="2">
        <v>7</v>
      </c>
      <c r="AH408" s="2"/>
      <c r="AI408" s="2" t="s">
        <v>3116</v>
      </c>
      <c r="AJ408" s="2"/>
      <c r="AK408" s="14">
        <v>46017</v>
      </c>
      <c r="AL408" s="14">
        <v>46018</v>
      </c>
      <c r="AM408" s="14">
        <v>46020</v>
      </c>
      <c r="AN408" s="2"/>
      <c r="AO408" s="2">
        <v>6616823</v>
      </c>
      <c r="AP408" s="14">
        <v>46021</v>
      </c>
      <c r="AQ408" s="14">
        <v>46023</v>
      </c>
      <c r="AS408" s="2"/>
      <c r="AT408" s="44">
        <v>52696</v>
      </c>
      <c r="AV408" s="14">
        <v>46025</v>
      </c>
      <c r="AW408" s="14">
        <v>45662</v>
      </c>
      <c r="AY408" s="2">
        <v>6739991</v>
      </c>
      <c r="AZ408" s="5">
        <v>46029</v>
      </c>
      <c r="BA408" s="1">
        <v>1021661</v>
      </c>
      <c r="BB408" s="2">
        <v>183899</v>
      </c>
      <c r="BC408" s="5">
        <v>46029</v>
      </c>
      <c r="BD408" s="5">
        <v>46029</v>
      </c>
      <c r="BF408" s="32">
        <v>46030</v>
      </c>
      <c r="BG408" s="5">
        <v>46031</v>
      </c>
      <c r="BH408" s="1" t="s">
        <v>3313</v>
      </c>
      <c r="BI408" s="1" t="s">
        <v>273</v>
      </c>
      <c r="BQ408" s="14">
        <v>45662</v>
      </c>
      <c r="BR408" s="14">
        <v>45662</v>
      </c>
    </row>
    <row r="409" spans="1:70" ht="18" customHeight="1" x14ac:dyDescent="0.3">
      <c r="A409" s="2">
        <v>409</v>
      </c>
      <c r="B409" s="2">
        <v>1029614</v>
      </c>
      <c r="C409" s="111">
        <v>46006</v>
      </c>
      <c r="D409" s="2">
        <v>22503.54</v>
      </c>
      <c r="E409" s="2" t="s">
        <v>681</v>
      </c>
      <c r="F409" s="2" t="s">
        <v>3101</v>
      </c>
      <c r="G409" s="2" t="s">
        <v>3102</v>
      </c>
      <c r="H409" s="2">
        <v>6</v>
      </c>
      <c r="I409" s="83">
        <v>52611</v>
      </c>
      <c r="J409" s="2" t="s">
        <v>142</v>
      </c>
      <c r="K409" s="2" t="s">
        <v>126</v>
      </c>
      <c r="L409" s="2" t="s">
        <v>854</v>
      </c>
      <c r="M409" s="134">
        <v>46020</v>
      </c>
      <c r="N409" s="56" t="s">
        <v>3317</v>
      </c>
      <c r="Q409" s="67">
        <f t="shared" si="47"/>
        <v>3</v>
      </c>
      <c r="R409" s="29">
        <f t="shared" si="41"/>
        <v>8</v>
      </c>
      <c r="T409" s="1"/>
      <c r="U409" s="1" t="s">
        <v>3107</v>
      </c>
      <c r="V409" s="2" t="s">
        <v>755</v>
      </c>
      <c r="W409" s="1" t="s">
        <v>827</v>
      </c>
      <c r="X409" s="2" t="s">
        <v>3137</v>
      </c>
      <c r="Y409" s="14">
        <v>46020</v>
      </c>
      <c r="Z409" s="14">
        <v>46023</v>
      </c>
      <c r="AA409" s="14">
        <v>46020</v>
      </c>
      <c r="AB409" s="14">
        <v>46020</v>
      </c>
      <c r="AC409" s="14">
        <v>46023</v>
      </c>
      <c r="AD409" s="2">
        <v>31295162992</v>
      </c>
      <c r="AE409" s="2" t="s">
        <v>3108</v>
      </c>
      <c r="AF409" s="2">
        <v>2</v>
      </c>
      <c r="AG409" s="2">
        <v>14.3</v>
      </c>
      <c r="AH409" s="2"/>
      <c r="AI409" s="2" t="s">
        <v>3116</v>
      </c>
      <c r="AJ409" s="2"/>
      <c r="AK409" s="14">
        <v>46017</v>
      </c>
      <c r="AL409" s="14">
        <v>46018</v>
      </c>
      <c r="AM409" s="14">
        <v>46020</v>
      </c>
      <c r="AN409" s="2"/>
      <c r="AO409" s="2">
        <v>6616828</v>
      </c>
      <c r="AP409" s="14">
        <v>46021</v>
      </c>
      <c r="AQ409" s="14">
        <v>46023</v>
      </c>
      <c r="AS409" s="2"/>
      <c r="AT409" s="44">
        <v>52701</v>
      </c>
      <c r="AV409" s="14">
        <v>46025</v>
      </c>
      <c r="AW409" s="14">
        <v>45662</v>
      </c>
      <c r="AY409" s="2">
        <v>6739990</v>
      </c>
      <c r="AZ409" s="5">
        <v>46029</v>
      </c>
      <c r="BA409" s="1">
        <v>2043321</v>
      </c>
      <c r="BB409" s="2">
        <v>367798</v>
      </c>
      <c r="BC409" s="5">
        <v>46029</v>
      </c>
      <c r="BD409" s="5">
        <v>46029</v>
      </c>
      <c r="BF409" s="32">
        <v>46030</v>
      </c>
      <c r="BG409" s="5">
        <v>46031</v>
      </c>
      <c r="BH409" s="1" t="s">
        <v>3313</v>
      </c>
      <c r="BI409" s="1" t="s">
        <v>273</v>
      </c>
      <c r="BQ409" s="14">
        <v>45662</v>
      </c>
      <c r="BR409" s="14">
        <v>45662</v>
      </c>
    </row>
    <row r="410" spans="1:70" ht="18" customHeight="1" x14ac:dyDescent="0.3">
      <c r="A410" s="2">
        <v>410</v>
      </c>
      <c r="B410" s="2">
        <v>1029127</v>
      </c>
      <c r="C410" s="111">
        <v>46006</v>
      </c>
      <c r="D410" s="2">
        <v>207146</v>
      </c>
      <c r="E410" s="2" t="s">
        <v>681</v>
      </c>
      <c r="F410" s="2" t="s">
        <v>3014</v>
      </c>
      <c r="G410" s="2" t="s">
        <v>3082</v>
      </c>
      <c r="H410" s="2">
        <v>100</v>
      </c>
      <c r="I410" s="83">
        <v>52612</v>
      </c>
      <c r="J410" s="2" t="s">
        <v>142</v>
      </c>
      <c r="K410" s="2" t="s">
        <v>126</v>
      </c>
      <c r="L410" s="2" t="s">
        <v>854</v>
      </c>
      <c r="M410" s="134">
        <v>46021</v>
      </c>
      <c r="N410" s="56" t="s">
        <v>3316</v>
      </c>
      <c r="Q410" s="67">
        <f t="shared" si="47"/>
        <v>4</v>
      </c>
      <c r="R410" s="29">
        <f t="shared" si="41"/>
        <v>6</v>
      </c>
      <c r="T410" s="1"/>
      <c r="U410" s="1" t="s">
        <v>3095</v>
      </c>
      <c r="V410" s="2" t="s">
        <v>755</v>
      </c>
      <c r="W410" s="1" t="s">
        <v>827</v>
      </c>
      <c r="X410" s="2" t="s">
        <v>3135</v>
      </c>
      <c r="Y410" s="14">
        <v>46016</v>
      </c>
      <c r="Z410" s="14">
        <v>46020</v>
      </c>
      <c r="AA410" s="14">
        <v>46021</v>
      </c>
      <c r="AB410" s="14">
        <v>46021</v>
      </c>
      <c r="AC410" s="14">
        <v>46025</v>
      </c>
      <c r="AD410" s="2">
        <v>61565328826</v>
      </c>
      <c r="AE410" s="2" t="s">
        <v>3109</v>
      </c>
      <c r="AF410" s="2">
        <v>3</v>
      </c>
      <c r="AG410" s="2">
        <v>675</v>
      </c>
      <c r="AH410" s="2"/>
      <c r="AI410" s="2" t="s">
        <v>3116</v>
      </c>
      <c r="AJ410" s="2"/>
      <c r="AK410" s="14">
        <v>46017</v>
      </c>
      <c r="AL410" s="14">
        <v>46018</v>
      </c>
      <c r="AM410" s="14">
        <v>46020</v>
      </c>
      <c r="AN410" s="2"/>
      <c r="AO410" s="2">
        <v>6623907</v>
      </c>
      <c r="AP410" s="14">
        <v>46021</v>
      </c>
      <c r="AQ410" s="14">
        <v>46025</v>
      </c>
      <c r="AS410" s="2"/>
      <c r="AT410" s="44">
        <v>52703</v>
      </c>
      <c r="AV410" s="14">
        <v>46025</v>
      </c>
      <c r="AW410" s="14">
        <v>45662</v>
      </c>
      <c r="AY410" s="2">
        <v>6739993</v>
      </c>
      <c r="AZ410" s="5">
        <v>46029</v>
      </c>
      <c r="BA410" s="1">
        <v>18808857</v>
      </c>
      <c r="BB410" s="2">
        <v>3385594</v>
      </c>
      <c r="BC410" s="5">
        <v>46029</v>
      </c>
      <c r="BD410" s="5">
        <v>46029</v>
      </c>
      <c r="BF410" s="32">
        <v>46030</v>
      </c>
      <c r="BG410" s="5">
        <v>46031</v>
      </c>
      <c r="BH410" s="1" t="s">
        <v>3313</v>
      </c>
      <c r="BI410" s="1" t="s">
        <v>273</v>
      </c>
      <c r="BQ410" s="14">
        <v>45662</v>
      </c>
      <c r="BR410" s="14">
        <v>45662</v>
      </c>
    </row>
    <row r="411" spans="1:70" ht="18" customHeight="1" x14ac:dyDescent="0.3">
      <c r="A411" s="2">
        <v>411</v>
      </c>
      <c r="B411" s="2">
        <v>1027029</v>
      </c>
      <c r="C411" s="111">
        <v>46006</v>
      </c>
      <c r="D411" s="2">
        <v>11251.77</v>
      </c>
      <c r="E411" s="2" t="s">
        <v>681</v>
      </c>
      <c r="F411" s="2" t="s">
        <v>3101</v>
      </c>
      <c r="G411" s="2" t="s">
        <v>3102</v>
      </c>
      <c r="H411" s="2">
        <v>3</v>
      </c>
      <c r="I411" s="83">
        <v>52614</v>
      </c>
      <c r="J411" s="2" t="s">
        <v>142</v>
      </c>
      <c r="K411" s="2" t="s">
        <v>126</v>
      </c>
      <c r="L411" s="2" t="s">
        <v>854</v>
      </c>
      <c r="M411" s="134">
        <v>46020</v>
      </c>
      <c r="N411" s="56" t="s">
        <v>3315</v>
      </c>
      <c r="Q411" s="67">
        <f t="shared" si="47"/>
        <v>3</v>
      </c>
      <c r="R411" s="29">
        <f t="shared" si="41"/>
        <v>8</v>
      </c>
      <c r="T411" s="1"/>
      <c r="U411" s="1" t="s">
        <v>3103</v>
      </c>
      <c r="V411" s="2" t="s">
        <v>755</v>
      </c>
      <c r="W411" s="1" t="s">
        <v>827</v>
      </c>
      <c r="X411" s="2" t="s">
        <v>3140</v>
      </c>
      <c r="Y411" s="14">
        <v>46020</v>
      </c>
      <c r="Z411" s="14">
        <v>46023</v>
      </c>
      <c r="AA411" s="14">
        <v>46020</v>
      </c>
      <c r="AB411" s="14">
        <v>46020</v>
      </c>
      <c r="AC411" s="14">
        <v>46023</v>
      </c>
      <c r="AD411" s="2">
        <v>21707727134</v>
      </c>
      <c r="AE411" s="2" t="s">
        <v>3110</v>
      </c>
      <c r="AF411" s="2">
        <v>1</v>
      </c>
      <c r="AG411" s="2">
        <v>15</v>
      </c>
      <c r="AH411" s="2"/>
      <c r="AI411" s="2" t="s">
        <v>180</v>
      </c>
      <c r="AJ411" s="2"/>
      <c r="AK411" s="14">
        <v>46017</v>
      </c>
      <c r="AL411" s="14">
        <v>46018</v>
      </c>
      <c r="AM411" s="14">
        <v>46020</v>
      </c>
      <c r="AN411" s="2"/>
      <c r="AO411" s="2">
        <v>6620596</v>
      </c>
      <c r="AP411" s="14">
        <v>46021</v>
      </c>
      <c r="AQ411" s="14">
        <v>46023</v>
      </c>
      <c r="AS411" s="2"/>
      <c r="AT411" s="44">
        <v>52709</v>
      </c>
      <c r="AV411" s="14">
        <v>46025</v>
      </c>
      <c r="AW411" s="14">
        <v>45662</v>
      </c>
      <c r="AY411" s="2">
        <v>6740030</v>
      </c>
      <c r="AZ411" s="5">
        <v>46029</v>
      </c>
      <c r="BA411" s="1">
        <v>1021661</v>
      </c>
      <c r="BB411" s="2">
        <v>183899</v>
      </c>
      <c r="BC411" s="5">
        <v>46029</v>
      </c>
      <c r="BD411" s="5">
        <v>46029</v>
      </c>
      <c r="BF411" s="32">
        <v>46030</v>
      </c>
      <c r="BG411" s="5">
        <v>46031</v>
      </c>
      <c r="BH411" s="1" t="s">
        <v>3313</v>
      </c>
      <c r="BI411" s="1" t="s">
        <v>273</v>
      </c>
      <c r="BQ411" s="14">
        <v>45662</v>
      </c>
      <c r="BR411" s="14">
        <v>45662</v>
      </c>
    </row>
    <row r="412" spans="1:70" ht="18" customHeight="1" x14ac:dyDescent="0.3">
      <c r="A412" s="2">
        <v>412</v>
      </c>
      <c r="B412" s="2">
        <v>7010321</v>
      </c>
      <c r="C412" s="111">
        <v>45929</v>
      </c>
      <c r="D412" s="2">
        <v>51925</v>
      </c>
      <c r="E412" s="2" t="s">
        <v>840</v>
      </c>
      <c r="F412" s="8" t="s">
        <v>219</v>
      </c>
      <c r="G412" s="8" t="s">
        <v>2582</v>
      </c>
      <c r="H412" s="8" t="s">
        <v>446</v>
      </c>
      <c r="I412" s="83">
        <v>52087</v>
      </c>
      <c r="J412" s="2" t="s">
        <v>1631</v>
      </c>
      <c r="K412" s="2" t="s">
        <v>126</v>
      </c>
      <c r="L412" s="2" t="s">
        <v>1632</v>
      </c>
      <c r="M412" s="134">
        <v>45975</v>
      </c>
      <c r="N412" s="56" t="s">
        <v>3335</v>
      </c>
      <c r="Q412" s="67">
        <f t="shared" ref="Q412:Q434" si="48">AQ412-AB412</f>
        <v>3</v>
      </c>
      <c r="R412" s="29">
        <f t="shared" si="41"/>
        <v>52</v>
      </c>
      <c r="T412" s="1"/>
      <c r="U412" s="1" t="s">
        <v>2690</v>
      </c>
      <c r="V412" s="1" t="s">
        <v>384</v>
      </c>
      <c r="W412" s="1" t="s">
        <v>421</v>
      </c>
      <c r="X412" s="2">
        <v>20255154009</v>
      </c>
      <c r="Y412" s="14">
        <v>46021</v>
      </c>
      <c r="Z412" s="14">
        <v>46027</v>
      </c>
      <c r="AA412" s="14">
        <v>45954</v>
      </c>
      <c r="AB412" s="14">
        <v>45977</v>
      </c>
      <c r="AC412" s="14">
        <v>45980</v>
      </c>
      <c r="AD412" s="2" t="s">
        <v>2691</v>
      </c>
      <c r="AE412" s="2"/>
      <c r="AF412" s="2">
        <v>2</v>
      </c>
      <c r="AG412" s="2">
        <v>2.99</v>
      </c>
      <c r="AH412" s="2"/>
      <c r="AI412" s="2" t="s">
        <v>180</v>
      </c>
      <c r="AJ412" s="2"/>
      <c r="AK412" s="14">
        <v>45974</v>
      </c>
      <c r="AL412" s="14">
        <v>45974</v>
      </c>
      <c r="AM412" s="14">
        <v>45975</v>
      </c>
      <c r="AN412" s="2"/>
      <c r="AO412" s="2">
        <v>5748297</v>
      </c>
      <c r="AP412" s="14">
        <v>45978</v>
      </c>
      <c r="AQ412" s="14">
        <v>45980</v>
      </c>
      <c r="AR412" s="15" t="s">
        <v>3258</v>
      </c>
      <c r="AS412" s="2"/>
      <c r="AT412" s="44">
        <v>52135</v>
      </c>
      <c r="AV412" s="14">
        <v>46027</v>
      </c>
      <c r="AW412" s="14">
        <v>46027</v>
      </c>
      <c r="AY412" s="2">
        <v>6760441</v>
      </c>
      <c r="AZ412" s="5">
        <v>46030</v>
      </c>
      <c r="BA412" s="1">
        <v>4714790</v>
      </c>
      <c r="BB412" s="2">
        <v>848662</v>
      </c>
      <c r="BC412" s="5">
        <v>46030</v>
      </c>
      <c r="BD412" s="14">
        <v>46030</v>
      </c>
      <c r="BF412" s="32">
        <v>46031</v>
      </c>
      <c r="BG412" s="5">
        <v>46032</v>
      </c>
      <c r="BH412" s="1" t="s">
        <v>3336</v>
      </c>
      <c r="BI412" s="1" t="s">
        <v>273</v>
      </c>
      <c r="BQ412" s="14">
        <v>46027</v>
      </c>
      <c r="BR412" s="5"/>
    </row>
    <row r="413" spans="1:70" ht="18" customHeight="1" x14ac:dyDescent="0.3">
      <c r="A413" s="2">
        <v>413</v>
      </c>
      <c r="B413" s="2">
        <v>7010322</v>
      </c>
      <c r="C413" s="111">
        <v>45929</v>
      </c>
      <c r="D413" s="2">
        <v>51925</v>
      </c>
      <c r="E413" s="2" t="s">
        <v>840</v>
      </c>
      <c r="F413" s="8" t="s">
        <v>219</v>
      </c>
      <c r="G413" s="8" t="s">
        <v>2582</v>
      </c>
      <c r="H413" s="8" t="s">
        <v>446</v>
      </c>
      <c r="I413" s="83">
        <v>52089</v>
      </c>
      <c r="J413" s="2" t="s">
        <v>1631</v>
      </c>
      <c r="K413" s="2" t="s">
        <v>126</v>
      </c>
      <c r="L413" s="2" t="s">
        <v>1632</v>
      </c>
      <c r="M413" s="134">
        <v>45975</v>
      </c>
      <c r="N413" s="56" t="s">
        <v>3339</v>
      </c>
      <c r="Q413" s="67">
        <f t="shared" si="48"/>
        <v>3</v>
      </c>
      <c r="R413" s="29">
        <f t="shared" si="41"/>
        <v>52</v>
      </c>
      <c r="T413" s="1"/>
      <c r="U413" s="1" t="s">
        <v>2690</v>
      </c>
      <c r="V413" s="1" t="s">
        <v>384</v>
      </c>
      <c r="W413" s="1" t="s">
        <v>421</v>
      </c>
      <c r="X413" s="2">
        <v>20255154006</v>
      </c>
      <c r="Y413" s="14">
        <v>46021</v>
      </c>
      <c r="Z413" s="14">
        <v>46027</v>
      </c>
      <c r="AA413" s="14">
        <v>45954</v>
      </c>
      <c r="AB413" s="14">
        <v>45977</v>
      </c>
      <c r="AC413" s="14">
        <v>45980</v>
      </c>
      <c r="AD413" s="2" t="s">
        <v>2692</v>
      </c>
      <c r="AE413" s="2"/>
      <c r="AF413" s="2">
        <v>2</v>
      </c>
      <c r="AG413" s="2">
        <v>2.93</v>
      </c>
      <c r="AH413" s="2"/>
      <c r="AI413" s="2" t="s">
        <v>180</v>
      </c>
      <c r="AJ413" s="2"/>
      <c r="AK413" s="14">
        <v>45974</v>
      </c>
      <c r="AL413" s="14">
        <v>45974</v>
      </c>
      <c r="AM413" s="14">
        <v>45975</v>
      </c>
      <c r="AN413" s="2"/>
      <c r="AO413" s="2">
        <v>5748534</v>
      </c>
      <c r="AP413" s="14">
        <v>45978</v>
      </c>
      <c r="AQ413" s="14">
        <v>45980</v>
      </c>
      <c r="AR413" s="15" t="s">
        <v>3257</v>
      </c>
      <c r="AS413" s="2"/>
      <c r="AT413" s="44">
        <v>52141</v>
      </c>
      <c r="AV413" s="14">
        <v>46027</v>
      </c>
      <c r="AW413" s="14">
        <v>46027</v>
      </c>
      <c r="AY413" s="2">
        <v>6760442</v>
      </c>
      <c r="AZ413" s="5">
        <v>46030</v>
      </c>
      <c r="BA413" s="1">
        <v>4714790</v>
      </c>
      <c r="BB413" s="2">
        <v>848662</v>
      </c>
      <c r="BC413" s="5">
        <v>46030</v>
      </c>
      <c r="BD413" s="14">
        <v>46030</v>
      </c>
      <c r="BF413" s="32">
        <v>46031</v>
      </c>
      <c r="BG413" s="5">
        <v>46032</v>
      </c>
      <c r="BH413" s="1" t="s">
        <v>3336</v>
      </c>
      <c r="BI413" s="1" t="s">
        <v>273</v>
      </c>
      <c r="BQ413" s="14">
        <v>46027</v>
      </c>
      <c r="BR413" s="1"/>
    </row>
    <row r="414" spans="1:70" ht="18" customHeight="1" x14ac:dyDescent="0.3">
      <c r="A414" s="2">
        <v>414</v>
      </c>
      <c r="B414" s="2">
        <v>7043496</v>
      </c>
      <c r="C414" s="111">
        <v>45980</v>
      </c>
      <c r="D414" s="2">
        <v>130851</v>
      </c>
      <c r="E414" s="2" t="s">
        <v>840</v>
      </c>
      <c r="F414" s="8" t="s">
        <v>2668</v>
      </c>
      <c r="G414" s="8" t="s">
        <v>2582</v>
      </c>
      <c r="H414" s="8" t="s">
        <v>578</v>
      </c>
      <c r="I414" s="83">
        <v>52283</v>
      </c>
      <c r="J414" s="2" t="s">
        <v>142</v>
      </c>
      <c r="K414" s="2" t="s">
        <v>126</v>
      </c>
      <c r="L414" s="2" t="s">
        <v>854</v>
      </c>
      <c r="M414" s="134">
        <v>45993</v>
      </c>
      <c r="N414" s="56" t="s">
        <v>3341</v>
      </c>
      <c r="Q414" s="67">
        <f t="shared" si="48"/>
        <v>3</v>
      </c>
      <c r="R414" s="29">
        <f t="shared" ref="R414:R477" si="49">BG414-AC414</f>
        <v>35</v>
      </c>
      <c r="T414" s="1">
        <v>879</v>
      </c>
      <c r="U414" s="1" t="s">
        <v>2804</v>
      </c>
      <c r="V414" s="2" t="s">
        <v>161</v>
      </c>
      <c r="W414" s="2" t="s">
        <v>454</v>
      </c>
      <c r="X414" s="2">
        <v>20255152602</v>
      </c>
      <c r="Y414" s="14">
        <v>46018</v>
      </c>
      <c r="Z414" s="14">
        <v>46023</v>
      </c>
      <c r="AA414" s="14">
        <v>45994</v>
      </c>
      <c r="AB414" s="14">
        <v>45994</v>
      </c>
      <c r="AC414" s="14">
        <v>45997</v>
      </c>
      <c r="AD414" s="2">
        <v>17620972700</v>
      </c>
      <c r="AE414" s="2" t="s">
        <v>2805</v>
      </c>
      <c r="AF414" s="2">
        <v>5</v>
      </c>
      <c r="AG414" s="2">
        <v>1223.5</v>
      </c>
      <c r="AH414" s="2"/>
      <c r="AI414" s="2" t="s">
        <v>180</v>
      </c>
      <c r="AJ414" s="2"/>
      <c r="AK414" s="14">
        <v>45992</v>
      </c>
      <c r="AL414" s="14">
        <v>45992</v>
      </c>
      <c r="AM414" s="14">
        <v>45993</v>
      </c>
      <c r="AN414" s="2"/>
      <c r="AO414" s="2">
        <v>6086952</v>
      </c>
      <c r="AP414" s="14">
        <v>45995</v>
      </c>
      <c r="AQ414" s="14">
        <v>45997</v>
      </c>
      <c r="AR414" s="15" t="s">
        <v>2848</v>
      </c>
      <c r="AS414" s="2"/>
      <c r="AT414" s="44">
        <v>52339</v>
      </c>
      <c r="AV414" s="14">
        <v>46024</v>
      </c>
      <c r="AW414" s="14">
        <v>46024</v>
      </c>
      <c r="AY414" s="2">
        <v>6721363</v>
      </c>
      <c r="AZ414" s="5">
        <v>46028</v>
      </c>
      <c r="BA414" s="1">
        <v>11881271</v>
      </c>
      <c r="BB414" s="2">
        <v>2138629</v>
      </c>
      <c r="BC414" s="5">
        <v>46028</v>
      </c>
      <c r="BD414" s="14">
        <v>46029</v>
      </c>
      <c r="BF414" s="32">
        <v>46030</v>
      </c>
      <c r="BG414" s="5">
        <v>46032</v>
      </c>
      <c r="BH414" s="1" t="s">
        <v>3337</v>
      </c>
      <c r="BI414" s="1" t="s">
        <v>273</v>
      </c>
      <c r="BQ414" s="14">
        <v>46024</v>
      </c>
      <c r="BR414" s="5">
        <v>46027</v>
      </c>
    </row>
    <row r="415" spans="1:70" ht="18" customHeight="1" x14ac:dyDescent="0.3">
      <c r="A415" s="2">
        <v>415</v>
      </c>
      <c r="B415" s="2">
        <v>7009687</v>
      </c>
      <c r="C415" s="111">
        <v>45986</v>
      </c>
      <c r="D415" s="2">
        <v>75850</v>
      </c>
      <c r="E415" s="2" t="s">
        <v>840</v>
      </c>
      <c r="F415" s="8" t="s">
        <v>2525</v>
      </c>
      <c r="G415" s="8" t="s">
        <v>2580</v>
      </c>
      <c r="H415" s="8" t="s">
        <v>446</v>
      </c>
      <c r="I415" s="83">
        <v>52386</v>
      </c>
      <c r="J415" s="2" t="s">
        <v>142</v>
      </c>
      <c r="K415" s="2" t="s">
        <v>126</v>
      </c>
      <c r="L415" s="2" t="s">
        <v>854</v>
      </c>
      <c r="M415" s="134">
        <v>46002</v>
      </c>
      <c r="N415" s="56" t="s">
        <v>3338</v>
      </c>
      <c r="Q415" s="67">
        <f t="shared" si="48"/>
        <v>1</v>
      </c>
      <c r="R415" s="29">
        <f t="shared" si="49"/>
        <v>29</v>
      </c>
      <c r="T415" s="1"/>
      <c r="U415" s="1" t="s">
        <v>2670</v>
      </c>
      <c r="V415" s="2" t="s">
        <v>161</v>
      </c>
      <c r="W415" s="2" t="s">
        <v>454</v>
      </c>
      <c r="X415" s="2" t="s">
        <v>3220</v>
      </c>
      <c r="Y415" s="14">
        <v>46027</v>
      </c>
      <c r="Z415" s="14">
        <v>46031</v>
      </c>
      <c r="AA415" s="14">
        <v>46002</v>
      </c>
      <c r="AB415" s="14">
        <v>46002</v>
      </c>
      <c r="AC415" s="14">
        <v>46003</v>
      </c>
      <c r="AD415" s="2">
        <v>17615752822</v>
      </c>
      <c r="AE415" s="2" t="s">
        <v>2840</v>
      </c>
      <c r="AF415" s="2">
        <v>1</v>
      </c>
      <c r="AG415" s="2">
        <v>205</v>
      </c>
      <c r="AH415" s="2"/>
      <c r="AI415" s="2" t="s">
        <v>629</v>
      </c>
      <c r="AJ415" s="2"/>
      <c r="AK415" s="14">
        <v>46001</v>
      </c>
      <c r="AL415" s="14">
        <v>46001</v>
      </c>
      <c r="AM415" s="14">
        <v>46001</v>
      </c>
      <c r="AN415" s="2"/>
      <c r="AO415" s="2">
        <v>6239252</v>
      </c>
      <c r="AP415" s="14">
        <v>46002</v>
      </c>
      <c r="AQ415" s="14">
        <v>46003</v>
      </c>
      <c r="AR415" s="15" t="s">
        <v>3252</v>
      </c>
      <c r="AS415" s="2"/>
      <c r="AT415" s="44">
        <v>52426</v>
      </c>
      <c r="AV415" s="14">
        <v>46028</v>
      </c>
      <c r="AW415" s="14">
        <v>46028</v>
      </c>
      <c r="AY415" s="2">
        <v>6760304</v>
      </c>
      <c r="AZ415" s="5">
        <v>46030</v>
      </c>
      <c r="BA415" s="1">
        <v>6887180</v>
      </c>
      <c r="BB415" s="2">
        <v>1239692</v>
      </c>
      <c r="BC415" s="5">
        <v>46030</v>
      </c>
      <c r="BD415" s="14">
        <v>46030</v>
      </c>
      <c r="BF415" s="32">
        <v>46031</v>
      </c>
      <c r="BG415" s="5">
        <v>46032</v>
      </c>
      <c r="BH415" s="1" t="s">
        <v>3337</v>
      </c>
      <c r="BI415" s="1" t="s">
        <v>273</v>
      </c>
      <c r="BQ415" s="14">
        <v>46028</v>
      </c>
      <c r="BR415" s="14">
        <v>46028</v>
      </c>
    </row>
    <row r="416" spans="1:70" ht="18" customHeight="1" thickBot="1" x14ac:dyDescent="0.35">
      <c r="A416" s="2">
        <v>416</v>
      </c>
      <c r="B416" s="2">
        <v>7004157</v>
      </c>
      <c r="C416" s="111">
        <v>45985</v>
      </c>
      <c r="D416" s="2">
        <v>121360</v>
      </c>
      <c r="E416" s="2" t="s">
        <v>840</v>
      </c>
      <c r="F416" s="8" t="s">
        <v>2525</v>
      </c>
      <c r="G416" s="8" t="s">
        <v>2580</v>
      </c>
      <c r="H416" s="8" t="s">
        <v>141</v>
      </c>
      <c r="I416" s="83">
        <v>52387</v>
      </c>
      <c r="J416" s="2" t="s">
        <v>142</v>
      </c>
      <c r="K416" s="2" t="s">
        <v>126</v>
      </c>
      <c r="L416" s="2" t="s">
        <v>854</v>
      </c>
      <c r="M416" s="134">
        <v>46002</v>
      </c>
      <c r="N416" s="56" t="s">
        <v>3343</v>
      </c>
      <c r="Q416" s="67">
        <f t="shared" si="48"/>
        <v>1</v>
      </c>
      <c r="R416" s="29">
        <f t="shared" si="49"/>
        <v>29</v>
      </c>
      <c r="T416" s="1"/>
      <c r="U416" s="1" t="s">
        <v>2842</v>
      </c>
      <c r="V416" s="2" t="s">
        <v>239</v>
      </c>
      <c r="W416" s="2" t="s">
        <v>454</v>
      </c>
      <c r="X416" s="2" t="s">
        <v>3214</v>
      </c>
      <c r="Y416" s="14">
        <v>46027</v>
      </c>
      <c r="Z416" s="14">
        <v>46031</v>
      </c>
      <c r="AA416" s="14">
        <v>46002</v>
      </c>
      <c r="AB416" s="14">
        <v>46002</v>
      </c>
      <c r="AC416" s="14">
        <v>46003</v>
      </c>
      <c r="AD416" s="2">
        <v>17615752822</v>
      </c>
      <c r="AE416" s="2" t="s">
        <v>2841</v>
      </c>
      <c r="AF416" s="2">
        <v>2</v>
      </c>
      <c r="AG416" s="2">
        <v>310.5</v>
      </c>
      <c r="AH416" s="2"/>
      <c r="AI416" s="2" t="s">
        <v>629</v>
      </c>
      <c r="AJ416" s="2"/>
      <c r="AK416" s="14">
        <v>46001</v>
      </c>
      <c r="AL416" s="14">
        <v>46001</v>
      </c>
      <c r="AM416" s="14">
        <v>46001</v>
      </c>
      <c r="AN416" s="2"/>
      <c r="AO416" s="108">
        <v>6239805</v>
      </c>
      <c r="AP416" s="14">
        <v>46002</v>
      </c>
      <c r="AQ416" s="14">
        <v>46003</v>
      </c>
      <c r="AR416" s="15" t="s">
        <v>3253</v>
      </c>
      <c r="AS416" s="2"/>
      <c r="AT416" s="44">
        <v>52427</v>
      </c>
      <c r="AV416" s="14">
        <v>46028</v>
      </c>
      <c r="AW416" s="14">
        <v>46028</v>
      </c>
      <c r="AY416" s="2">
        <v>6760305</v>
      </c>
      <c r="AZ416" s="5">
        <v>46030</v>
      </c>
      <c r="BA416" s="1">
        <v>11019488</v>
      </c>
      <c r="BB416" s="2">
        <v>1983508</v>
      </c>
      <c r="BC416" s="5">
        <v>46030</v>
      </c>
      <c r="BD416" s="14">
        <v>46030</v>
      </c>
      <c r="BF416" s="32">
        <v>46031</v>
      </c>
      <c r="BG416" s="5">
        <v>46032</v>
      </c>
      <c r="BH416" s="1" t="s">
        <v>3342</v>
      </c>
      <c r="BI416" s="1" t="s">
        <v>273</v>
      </c>
      <c r="BQ416" s="14">
        <v>46028</v>
      </c>
      <c r="BR416" s="14">
        <v>46028</v>
      </c>
    </row>
    <row r="417" spans="1:70" ht="18" customHeight="1" x14ac:dyDescent="0.3">
      <c r="A417" s="2">
        <v>417</v>
      </c>
      <c r="B417" s="8" t="s">
        <v>2871</v>
      </c>
      <c r="C417" s="8" t="s">
        <v>2872</v>
      </c>
      <c r="D417" s="8" t="s">
        <v>2873</v>
      </c>
      <c r="E417" s="2" t="s">
        <v>840</v>
      </c>
      <c r="F417" s="8" t="s">
        <v>1432</v>
      </c>
      <c r="G417" s="8" t="s">
        <v>2570</v>
      </c>
      <c r="H417" s="8" t="s">
        <v>2874</v>
      </c>
      <c r="I417" s="83">
        <v>52433</v>
      </c>
      <c r="J417" s="2" t="s">
        <v>1631</v>
      </c>
      <c r="K417" s="2" t="s">
        <v>126</v>
      </c>
      <c r="L417" s="2" t="s">
        <v>1632</v>
      </c>
      <c r="M417" s="134">
        <v>46009</v>
      </c>
      <c r="N417" s="56" t="s">
        <v>3350</v>
      </c>
      <c r="Q417" s="67">
        <f t="shared" si="48"/>
        <v>14</v>
      </c>
      <c r="R417" s="29">
        <f t="shared" si="49"/>
        <v>10</v>
      </c>
      <c r="T417" s="1">
        <v>1344</v>
      </c>
      <c r="U417" s="8" t="s">
        <v>2875</v>
      </c>
      <c r="V417" s="1" t="s">
        <v>239</v>
      </c>
      <c r="W417" s="1" t="s">
        <v>454</v>
      </c>
      <c r="X417" s="2">
        <v>20255154017</v>
      </c>
      <c r="Y417" s="14">
        <v>46021</v>
      </c>
      <c r="Z417" s="14">
        <v>46027</v>
      </c>
      <c r="AA417" s="14">
        <v>45995</v>
      </c>
      <c r="AB417" s="14">
        <v>46008</v>
      </c>
      <c r="AC417" s="14">
        <v>46022</v>
      </c>
      <c r="AD417" s="2" t="s">
        <v>2869</v>
      </c>
      <c r="AE417" s="2" t="s">
        <v>2876</v>
      </c>
      <c r="AF417" s="2">
        <v>7</v>
      </c>
      <c r="AG417" s="2">
        <v>10.92</v>
      </c>
      <c r="AH417" s="2"/>
      <c r="AI417" s="2" t="s">
        <v>180</v>
      </c>
      <c r="AJ417" s="2"/>
      <c r="AK417" s="14">
        <v>46003</v>
      </c>
      <c r="AL417" s="14">
        <v>46004</v>
      </c>
      <c r="AM417" s="14">
        <v>46006</v>
      </c>
      <c r="AN417" s="2"/>
      <c r="AO417" s="2">
        <v>6376336</v>
      </c>
      <c r="AP417" s="14">
        <v>46009</v>
      </c>
      <c r="AQ417" s="14">
        <v>46022</v>
      </c>
      <c r="AR417" s="15" t="s">
        <v>3272</v>
      </c>
      <c r="AS417" s="2"/>
      <c r="AT417" s="44">
        <v>52507</v>
      </c>
      <c r="AV417" s="14">
        <v>46027</v>
      </c>
      <c r="AW417" s="14">
        <v>46028</v>
      </c>
      <c r="AY417" s="2">
        <v>6740031</v>
      </c>
      <c r="AZ417" s="5">
        <v>46029</v>
      </c>
      <c r="BA417" s="1">
        <v>18171078</v>
      </c>
      <c r="BB417" s="2">
        <v>3270794</v>
      </c>
      <c r="BC417" s="5">
        <v>46029</v>
      </c>
      <c r="BD417" s="14">
        <v>46030</v>
      </c>
      <c r="BF417" s="32">
        <v>46031</v>
      </c>
      <c r="BG417" s="5">
        <v>46032</v>
      </c>
      <c r="BH417" s="1" t="s">
        <v>3342</v>
      </c>
      <c r="BI417" s="1" t="s">
        <v>273</v>
      </c>
      <c r="BQ417" s="14">
        <v>46028</v>
      </c>
      <c r="BR417" s="5">
        <v>46028</v>
      </c>
    </row>
    <row r="418" spans="1:70" ht="18" customHeight="1" x14ac:dyDescent="0.3">
      <c r="A418" s="2">
        <v>418</v>
      </c>
      <c r="B418" s="2">
        <v>6885558</v>
      </c>
      <c r="C418" s="111">
        <v>45986</v>
      </c>
      <c r="D418" s="2">
        <v>6885558</v>
      </c>
      <c r="E418" s="2" t="s">
        <v>840</v>
      </c>
      <c r="F418" s="2" t="s">
        <v>2877</v>
      </c>
      <c r="G418" s="2" t="s">
        <v>2878</v>
      </c>
      <c r="H418" s="2">
        <v>10</v>
      </c>
      <c r="I418" s="83">
        <v>52434</v>
      </c>
      <c r="J418" s="2" t="s">
        <v>1631</v>
      </c>
      <c r="K418" s="2" t="s">
        <v>126</v>
      </c>
      <c r="L418" s="2" t="s">
        <v>1632</v>
      </c>
      <c r="M418" s="134">
        <v>46009</v>
      </c>
      <c r="N418" s="56" t="s">
        <v>3348</v>
      </c>
      <c r="Q418" s="67">
        <f t="shared" si="48"/>
        <v>14</v>
      </c>
      <c r="R418" s="29">
        <f t="shared" si="49"/>
        <v>10</v>
      </c>
      <c r="T418" s="1">
        <v>78</v>
      </c>
      <c r="U418" s="1" t="s">
        <v>2879</v>
      </c>
      <c r="V418" s="1" t="s">
        <v>239</v>
      </c>
      <c r="W418" s="1" t="s">
        <v>454</v>
      </c>
      <c r="X418" s="2">
        <v>20255154044</v>
      </c>
      <c r="Y418" s="14">
        <v>46021</v>
      </c>
      <c r="Z418" s="14">
        <v>46027</v>
      </c>
      <c r="AA418" s="14">
        <v>45995</v>
      </c>
      <c r="AB418" s="14">
        <v>46008</v>
      </c>
      <c r="AC418" s="14">
        <v>46022</v>
      </c>
      <c r="AD418" s="2" t="s">
        <v>2869</v>
      </c>
      <c r="AE418" s="2" t="s">
        <v>2880</v>
      </c>
      <c r="AF418" s="2">
        <v>1</v>
      </c>
      <c r="AG418" s="2">
        <v>0.57999999999999996</v>
      </c>
      <c r="AH418" s="2"/>
      <c r="AI418" s="2" t="s">
        <v>180</v>
      </c>
      <c r="AJ418" s="2"/>
      <c r="AK418" s="14">
        <v>46003</v>
      </c>
      <c r="AL418" s="14">
        <v>46004</v>
      </c>
      <c r="AM418" s="14">
        <v>46006</v>
      </c>
      <c r="AN418" s="2"/>
      <c r="AO418" s="2">
        <v>6374884</v>
      </c>
      <c r="AP418" s="14">
        <v>46009</v>
      </c>
      <c r="AQ418" s="14">
        <v>46022</v>
      </c>
      <c r="AR418" s="15" t="s">
        <v>3273</v>
      </c>
      <c r="AS418" s="2"/>
      <c r="AT418" s="44">
        <v>52508</v>
      </c>
      <c r="AV418" s="14">
        <v>46027</v>
      </c>
      <c r="AW418" s="14">
        <v>46028</v>
      </c>
      <c r="AY418" s="2">
        <v>6740056</v>
      </c>
      <c r="AZ418" s="5">
        <v>46029</v>
      </c>
      <c r="BA418" s="1">
        <v>1056458</v>
      </c>
      <c r="BB418" s="2">
        <v>190162</v>
      </c>
      <c r="BC418" s="5">
        <v>46029</v>
      </c>
      <c r="BD418" s="14">
        <v>46030</v>
      </c>
      <c r="BF418" s="32">
        <v>46031</v>
      </c>
      <c r="BG418" s="5">
        <v>46032</v>
      </c>
      <c r="BH418" s="1" t="s">
        <v>3346</v>
      </c>
      <c r="BI418" s="1" t="s">
        <v>273</v>
      </c>
      <c r="BQ418" s="14">
        <v>46028</v>
      </c>
      <c r="BR418" s="14">
        <v>46028</v>
      </c>
    </row>
    <row r="419" spans="1:70" ht="18" customHeight="1" x14ac:dyDescent="0.3">
      <c r="A419" s="2">
        <v>419</v>
      </c>
      <c r="B419" s="2">
        <v>7046494</v>
      </c>
      <c r="C419" s="111">
        <v>45980</v>
      </c>
      <c r="D419" s="2">
        <v>20770</v>
      </c>
      <c r="E419" s="2" t="s">
        <v>840</v>
      </c>
      <c r="F419" s="8" t="s">
        <v>573</v>
      </c>
      <c r="G419" s="8" t="s">
        <v>2782</v>
      </c>
      <c r="H419" s="8" t="s">
        <v>770</v>
      </c>
      <c r="I419" s="83">
        <v>52443</v>
      </c>
      <c r="J419" s="2" t="s">
        <v>1631</v>
      </c>
      <c r="K419" s="2" t="s">
        <v>126</v>
      </c>
      <c r="L419" s="2" t="s">
        <v>1632</v>
      </c>
      <c r="M419" s="134">
        <v>46009</v>
      </c>
      <c r="N419" s="56" t="s">
        <v>3340</v>
      </c>
      <c r="Q419" s="67">
        <f t="shared" si="48"/>
        <v>14</v>
      </c>
      <c r="R419" s="29">
        <f t="shared" si="49"/>
        <v>10</v>
      </c>
      <c r="T419" s="1">
        <v>140</v>
      </c>
      <c r="U419" s="1" t="s">
        <v>2804</v>
      </c>
      <c r="V419" s="2" t="s">
        <v>161</v>
      </c>
      <c r="W419" s="2" t="s">
        <v>454</v>
      </c>
      <c r="X419" s="2">
        <v>20255154049</v>
      </c>
      <c r="Y419" s="14">
        <v>46021</v>
      </c>
      <c r="Z419" s="14">
        <v>46027</v>
      </c>
      <c r="AA419" s="14">
        <v>45995</v>
      </c>
      <c r="AB419" s="14">
        <v>46008</v>
      </c>
      <c r="AC419" s="14">
        <v>46022</v>
      </c>
      <c r="AD419" s="2" t="s">
        <v>2869</v>
      </c>
      <c r="AE419" s="2" t="s">
        <v>2890</v>
      </c>
      <c r="AF419" s="2">
        <v>1</v>
      </c>
      <c r="AG419" s="2">
        <v>1.22</v>
      </c>
      <c r="AH419" s="2"/>
      <c r="AI419" s="2" t="s">
        <v>180</v>
      </c>
      <c r="AJ419" s="2"/>
      <c r="AK419" s="14">
        <v>46003</v>
      </c>
      <c r="AL419" s="14">
        <v>46004</v>
      </c>
      <c r="AM419" s="14">
        <v>46006</v>
      </c>
      <c r="AN419" s="2"/>
      <c r="AO419" s="2">
        <v>6374585</v>
      </c>
      <c r="AP419" s="14">
        <v>46009</v>
      </c>
      <c r="AQ419" s="14">
        <v>46022</v>
      </c>
      <c r="AR419" s="15" t="s">
        <v>3274</v>
      </c>
      <c r="AS419" s="2"/>
      <c r="AT419" s="44">
        <v>52514</v>
      </c>
      <c r="AV419" s="14">
        <v>46027</v>
      </c>
      <c r="AW419" s="14">
        <v>46028</v>
      </c>
      <c r="AY419" s="2">
        <v>6740055</v>
      </c>
      <c r="AZ419" s="5">
        <v>46029</v>
      </c>
      <c r="BA419" s="1">
        <v>1885916</v>
      </c>
      <c r="BB419" s="2">
        <v>339465</v>
      </c>
      <c r="BC419" s="5">
        <v>46029</v>
      </c>
      <c r="BD419" s="14">
        <v>46030</v>
      </c>
      <c r="BF419" s="32">
        <v>46031</v>
      </c>
      <c r="BG419" s="5">
        <v>46032</v>
      </c>
      <c r="BH419" s="1" t="s">
        <v>3337</v>
      </c>
      <c r="BI419" s="1" t="s">
        <v>273</v>
      </c>
      <c r="BQ419" s="14">
        <v>46028</v>
      </c>
      <c r="BR419" s="5">
        <v>46028</v>
      </c>
    </row>
    <row r="420" spans="1:70" ht="18" customHeight="1" x14ac:dyDescent="0.3">
      <c r="A420" s="2">
        <v>420</v>
      </c>
      <c r="B420" s="2">
        <v>7055296</v>
      </c>
      <c r="C420" s="111">
        <v>45999</v>
      </c>
      <c r="D420" s="2">
        <v>116350</v>
      </c>
      <c r="E420" s="2" t="s">
        <v>840</v>
      </c>
      <c r="F420" s="8" t="s">
        <v>760</v>
      </c>
      <c r="G420" s="8" t="s">
        <v>2968</v>
      </c>
      <c r="H420" s="8" t="s">
        <v>749</v>
      </c>
      <c r="I420" s="83">
        <v>52529</v>
      </c>
      <c r="J420" s="2" t="s">
        <v>1631</v>
      </c>
      <c r="K420" s="2" t="s">
        <v>126</v>
      </c>
      <c r="L420" s="2" t="s">
        <v>1632</v>
      </c>
      <c r="M420" s="134">
        <v>46013</v>
      </c>
      <c r="N420" s="56" t="s">
        <v>3356</v>
      </c>
      <c r="Q420" s="67">
        <f t="shared" si="48"/>
        <v>9</v>
      </c>
      <c r="R420" s="29">
        <f t="shared" si="49"/>
        <v>10</v>
      </c>
      <c r="T420" s="1"/>
      <c r="U420" s="1" t="s">
        <v>2969</v>
      </c>
      <c r="V420" s="2" t="s">
        <v>2970</v>
      </c>
      <c r="W420" s="2" t="s">
        <v>2971</v>
      </c>
      <c r="X420" s="2">
        <v>20255148296</v>
      </c>
      <c r="Y420" s="14">
        <v>46007</v>
      </c>
      <c r="Z420" s="14">
        <v>46015</v>
      </c>
      <c r="AA420" s="14">
        <v>45997</v>
      </c>
      <c r="AB420" s="14">
        <v>46013</v>
      </c>
      <c r="AC420" s="14">
        <v>46022</v>
      </c>
      <c r="AD420" s="2" t="s">
        <v>2965</v>
      </c>
      <c r="AE420" s="2" t="s">
        <v>2972</v>
      </c>
      <c r="AF420" s="2">
        <v>4</v>
      </c>
      <c r="AG420" s="2">
        <v>5.97</v>
      </c>
      <c r="AH420" s="2"/>
      <c r="AI420" s="2" t="s">
        <v>180</v>
      </c>
      <c r="AJ420" s="2"/>
      <c r="AK420" s="14">
        <v>46012</v>
      </c>
      <c r="AL420" s="14">
        <v>46013</v>
      </c>
      <c r="AM420" s="14">
        <v>46013</v>
      </c>
      <c r="AN420" s="2"/>
      <c r="AO420" s="2">
        <v>6480149</v>
      </c>
      <c r="AP420" s="14">
        <v>46014</v>
      </c>
      <c r="AQ420" s="14">
        <v>46022</v>
      </c>
      <c r="AR420" s="15" t="s">
        <v>3166</v>
      </c>
      <c r="AS420" s="2"/>
      <c r="AT420" s="44">
        <v>52748</v>
      </c>
      <c r="AV420" s="14">
        <v>46028</v>
      </c>
      <c r="AW420" s="2"/>
      <c r="AY420" s="2">
        <v>6763039</v>
      </c>
      <c r="AZ420" s="5">
        <v>46030</v>
      </c>
      <c r="BA420" s="1">
        <v>10564580</v>
      </c>
      <c r="BB420" s="2">
        <v>1901624</v>
      </c>
      <c r="BC420" s="5">
        <v>46030</v>
      </c>
      <c r="BD420" s="14">
        <v>46030</v>
      </c>
      <c r="BF420" s="32">
        <v>46031</v>
      </c>
      <c r="BG420" s="5">
        <v>46032</v>
      </c>
      <c r="BH420" s="1" t="s">
        <v>3353</v>
      </c>
      <c r="BI420" s="1" t="s">
        <v>273</v>
      </c>
      <c r="BQ420" s="2"/>
      <c r="BR420" s="1"/>
    </row>
    <row r="421" spans="1:70" ht="18" customHeight="1" x14ac:dyDescent="0.3">
      <c r="A421" s="2">
        <v>421</v>
      </c>
      <c r="B421" s="2">
        <v>7055297</v>
      </c>
      <c r="C421" s="111">
        <v>45996</v>
      </c>
      <c r="D421" s="2">
        <v>41540</v>
      </c>
      <c r="E421" s="2" t="s">
        <v>840</v>
      </c>
      <c r="F421" s="8" t="s">
        <v>573</v>
      </c>
      <c r="G421" s="8" t="s">
        <v>2973</v>
      </c>
      <c r="H421" s="8" t="s">
        <v>201</v>
      </c>
      <c r="I421" s="83">
        <v>52534</v>
      </c>
      <c r="J421" s="2" t="s">
        <v>1631</v>
      </c>
      <c r="K421" s="2" t="s">
        <v>126</v>
      </c>
      <c r="L421" s="2" t="s">
        <v>1632</v>
      </c>
      <c r="M421" s="134">
        <v>46015</v>
      </c>
      <c r="N421" s="56" t="s">
        <v>3357</v>
      </c>
      <c r="Q421" s="67">
        <f t="shared" si="48"/>
        <v>7</v>
      </c>
      <c r="R421" s="29">
        <f t="shared" si="49"/>
        <v>9</v>
      </c>
      <c r="T421" s="1"/>
      <c r="U421" s="1" t="s">
        <v>2978</v>
      </c>
      <c r="V421" s="2" t="s">
        <v>2970</v>
      </c>
      <c r="W421" s="2" t="s">
        <v>2971</v>
      </c>
      <c r="X421" s="2">
        <v>20255148299</v>
      </c>
      <c r="Y421" s="14">
        <v>46007</v>
      </c>
      <c r="Z421" s="14">
        <v>46015</v>
      </c>
      <c r="AA421" s="14">
        <v>45996</v>
      </c>
      <c r="AB421" s="14">
        <v>46016</v>
      </c>
      <c r="AC421" s="14">
        <v>46023</v>
      </c>
      <c r="AD421" s="2" t="s">
        <v>2979</v>
      </c>
      <c r="AE421" s="2" t="s">
        <v>2980</v>
      </c>
      <c r="AF421" s="2">
        <v>2</v>
      </c>
      <c r="AG421" s="2">
        <v>2.4900000000000002</v>
      </c>
      <c r="AH421" s="2"/>
      <c r="AI421" s="2" t="s">
        <v>180</v>
      </c>
      <c r="AJ421" s="2"/>
      <c r="AK421" s="14">
        <v>46012</v>
      </c>
      <c r="AL421" s="14">
        <v>46014</v>
      </c>
      <c r="AM421" s="14">
        <v>46014</v>
      </c>
      <c r="AN421" s="2"/>
      <c r="AO421" s="2">
        <v>6550856</v>
      </c>
      <c r="AP421" s="14">
        <v>46017</v>
      </c>
      <c r="AQ421" s="14">
        <v>46023</v>
      </c>
      <c r="AR421" s="15" t="s">
        <v>3263</v>
      </c>
      <c r="AS421" s="2"/>
      <c r="AT421" s="44">
        <v>52749</v>
      </c>
      <c r="AV421" s="14">
        <v>46028</v>
      </c>
      <c r="AW421" s="14">
        <v>46029</v>
      </c>
      <c r="AY421" s="2">
        <v>6760381</v>
      </c>
      <c r="AZ421" s="5">
        <v>46030</v>
      </c>
      <c r="BA421" s="1">
        <v>3771832</v>
      </c>
      <c r="BB421" s="2">
        <v>678930</v>
      </c>
      <c r="BC421" s="5">
        <v>46030</v>
      </c>
      <c r="BD421" s="14">
        <v>46030</v>
      </c>
      <c r="BF421" s="32">
        <v>46031</v>
      </c>
      <c r="BG421" s="5">
        <v>46032</v>
      </c>
      <c r="BH421" s="1" t="s">
        <v>3353</v>
      </c>
      <c r="BI421" s="1" t="s">
        <v>273</v>
      </c>
      <c r="BQ421" s="14">
        <v>46029</v>
      </c>
      <c r="BR421" s="14">
        <v>46029</v>
      </c>
    </row>
    <row r="422" spans="1:70" ht="18" customHeight="1" x14ac:dyDescent="0.3">
      <c r="A422" s="2">
        <v>422</v>
      </c>
      <c r="B422" s="2">
        <v>7055288</v>
      </c>
      <c r="C422" s="111">
        <v>45996</v>
      </c>
      <c r="D422" s="2">
        <v>27924</v>
      </c>
      <c r="E422" s="2" t="s">
        <v>840</v>
      </c>
      <c r="F422" s="8" t="s">
        <v>760</v>
      </c>
      <c r="G422" s="8" t="s">
        <v>2968</v>
      </c>
      <c r="H422" s="8" t="s">
        <v>568</v>
      </c>
      <c r="I422" s="83">
        <v>52536</v>
      </c>
      <c r="J422" s="2" t="s">
        <v>1631</v>
      </c>
      <c r="K422" s="2" t="s">
        <v>126</v>
      </c>
      <c r="L422" s="2" t="s">
        <v>1632</v>
      </c>
      <c r="M422" s="134">
        <v>46016</v>
      </c>
      <c r="N422" s="56" t="s">
        <v>3338</v>
      </c>
      <c r="Q422" s="67">
        <f t="shared" si="48"/>
        <v>7</v>
      </c>
      <c r="R422" s="29">
        <f t="shared" si="49"/>
        <v>9</v>
      </c>
      <c r="T422" s="1"/>
      <c r="U422" s="1" t="s">
        <v>2989</v>
      </c>
      <c r="V422" s="2" t="s">
        <v>161</v>
      </c>
      <c r="W422" s="2" t="s">
        <v>454</v>
      </c>
      <c r="X422" s="2">
        <v>20255148294</v>
      </c>
      <c r="Y422" s="14">
        <v>46007</v>
      </c>
      <c r="Z422" s="14">
        <v>46015</v>
      </c>
      <c r="AA422" s="14">
        <v>45996</v>
      </c>
      <c r="AB422" s="14">
        <v>46016</v>
      </c>
      <c r="AC422" s="14">
        <v>46023</v>
      </c>
      <c r="AD422" s="2" t="s">
        <v>2979</v>
      </c>
      <c r="AE422" s="2" t="s">
        <v>2990</v>
      </c>
      <c r="AF422" s="2">
        <v>1</v>
      </c>
      <c r="AG422" s="2">
        <v>1.48</v>
      </c>
      <c r="AH422" s="2"/>
      <c r="AI422" s="2" t="s">
        <v>180</v>
      </c>
      <c r="AJ422" s="2"/>
      <c r="AK422" s="14">
        <v>46012</v>
      </c>
      <c r="AL422" s="14">
        <v>46014</v>
      </c>
      <c r="AM422" s="14">
        <v>46014</v>
      </c>
      <c r="AN422" s="2"/>
      <c r="AO422" s="2">
        <v>6547949</v>
      </c>
      <c r="AP422" s="14">
        <v>46017</v>
      </c>
      <c r="AQ422" s="14">
        <v>46023</v>
      </c>
      <c r="AR422" s="15" t="s">
        <v>3254</v>
      </c>
      <c r="AS422" s="2"/>
      <c r="AT422" s="44">
        <v>52752</v>
      </c>
      <c r="AV422" s="14">
        <v>46028</v>
      </c>
      <c r="AW422" s="14">
        <v>46029</v>
      </c>
      <c r="AY422" s="2">
        <v>6760409</v>
      </c>
      <c r="AZ422" s="5">
        <v>46030</v>
      </c>
      <c r="BA422" s="1">
        <v>2535499</v>
      </c>
      <c r="BB422" s="2">
        <v>456390</v>
      </c>
      <c r="BC422" s="5">
        <v>46030</v>
      </c>
      <c r="BD422" s="14">
        <v>46030</v>
      </c>
      <c r="BF422" s="32">
        <v>46031</v>
      </c>
      <c r="BG422" s="5">
        <v>46032</v>
      </c>
      <c r="BH422" s="1" t="s">
        <v>3337</v>
      </c>
      <c r="BI422" s="1" t="s">
        <v>273</v>
      </c>
      <c r="BQ422" s="14">
        <v>46029</v>
      </c>
      <c r="BR422" s="14">
        <v>46029</v>
      </c>
    </row>
    <row r="423" spans="1:70" ht="18" customHeight="1" x14ac:dyDescent="0.3">
      <c r="A423" s="2">
        <v>423</v>
      </c>
      <c r="B423" s="8" t="s">
        <v>2993</v>
      </c>
      <c r="C423" s="8" t="s">
        <v>2994</v>
      </c>
      <c r="D423" s="8" t="s">
        <v>2995</v>
      </c>
      <c r="E423" s="2" t="s">
        <v>840</v>
      </c>
      <c r="F423" s="8" t="s">
        <v>2996</v>
      </c>
      <c r="G423" s="8" t="s">
        <v>2997</v>
      </c>
      <c r="H423" s="8" t="s">
        <v>2998</v>
      </c>
      <c r="I423" s="83">
        <v>52540</v>
      </c>
      <c r="J423" s="2" t="s">
        <v>1631</v>
      </c>
      <c r="K423" s="2" t="s">
        <v>126</v>
      </c>
      <c r="L423" s="2" t="s">
        <v>1632</v>
      </c>
      <c r="M423" s="134">
        <v>46016</v>
      </c>
      <c r="N423" s="56" t="s">
        <v>3347</v>
      </c>
      <c r="Q423" s="67">
        <f t="shared" si="48"/>
        <v>7</v>
      </c>
      <c r="R423" s="29">
        <f t="shared" si="49"/>
        <v>9</v>
      </c>
      <c r="T423" s="1"/>
      <c r="U423" s="8" t="s">
        <v>3000</v>
      </c>
      <c r="V423" s="1" t="s">
        <v>239</v>
      </c>
      <c r="W423" s="1" t="s">
        <v>454</v>
      </c>
      <c r="X423" s="2">
        <v>20255148306</v>
      </c>
      <c r="Y423" s="14">
        <v>46007</v>
      </c>
      <c r="Z423" s="14">
        <v>46015</v>
      </c>
      <c r="AA423" s="14">
        <v>45996</v>
      </c>
      <c r="AB423" s="14">
        <v>46016</v>
      </c>
      <c r="AC423" s="14">
        <v>46023</v>
      </c>
      <c r="AD423" s="2" t="s">
        <v>2979</v>
      </c>
      <c r="AE423" s="2" t="s">
        <v>2999</v>
      </c>
      <c r="AF423" s="2">
        <v>4</v>
      </c>
      <c r="AG423" s="2">
        <v>4.46</v>
      </c>
      <c r="AH423" s="2"/>
      <c r="AI423" s="2" t="s">
        <v>180</v>
      </c>
      <c r="AJ423" s="2"/>
      <c r="AK423" s="14">
        <v>46012</v>
      </c>
      <c r="AL423" s="14">
        <v>46014</v>
      </c>
      <c r="AM423" s="14">
        <v>46014</v>
      </c>
      <c r="AN423" s="2"/>
      <c r="AO423" s="2">
        <v>6545295</v>
      </c>
      <c r="AP423" s="14">
        <v>46017</v>
      </c>
      <c r="AQ423" s="14">
        <v>46023</v>
      </c>
      <c r="AR423" s="15" t="s">
        <v>3256</v>
      </c>
      <c r="AS423" s="2"/>
      <c r="AT423" s="44">
        <v>52753</v>
      </c>
      <c r="AV423" s="14">
        <v>46028</v>
      </c>
      <c r="AW423" s="14">
        <v>46029</v>
      </c>
      <c r="AY423" s="2">
        <v>6760410</v>
      </c>
      <c r="AZ423" s="5">
        <v>46030</v>
      </c>
      <c r="BA423" s="1">
        <v>7337593</v>
      </c>
      <c r="BB423" s="2">
        <v>1320767</v>
      </c>
      <c r="BC423" s="5">
        <v>46030</v>
      </c>
      <c r="BD423" s="14">
        <v>46030</v>
      </c>
      <c r="BF423" s="32">
        <v>46031</v>
      </c>
      <c r="BG423" s="5">
        <v>46032</v>
      </c>
      <c r="BH423" s="1" t="s">
        <v>3346</v>
      </c>
      <c r="BI423" s="1" t="s">
        <v>273</v>
      </c>
      <c r="BQ423" s="14">
        <v>46029</v>
      </c>
      <c r="BR423" s="14">
        <v>46029</v>
      </c>
    </row>
    <row r="424" spans="1:70" ht="18" customHeight="1" x14ac:dyDescent="0.3">
      <c r="A424" s="2">
        <v>424</v>
      </c>
      <c r="B424" s="2">
        <v>7055284</v>
      </c>
      <c r="C424" s="110">
        <v>45995</v>
      </c>
      <c r="D424" s="2">
        <v>69810</v>
      </c>
      <c r="E424" s="2" t="s">
        <v>840</v>
      </c>
      <c r="F424" s="8" t="s">
        <v>1382</v>
      </c>
      <c r="G424" s="8" t="s">
        <v>1383</v>
      </c>
      <c r="H424" s="8" t="s">
        <v>451</v>
      </c>
      <c r="I424" s="83">
        <v>52541</v>
      </c>
      <c r="J424" s="2" t="s">
        <v>1631</v>
      </c>
      <c r="K424" s="2" t="s">
        <v>126</v>
      </c>
      <c r="L424" s="2" t="s">
        <v>1632</v>
      </c>
      <c r="M424" s="134">
        <v>46016</v>
      </c>
      <c r="N424" s="56" t="s">
        <v>3349</v>
      </c>
      <c r="Q424" s="67">
        <f t="shared" si="48"/>
        <v>7</v>
      </c>
      <c r="R424" s="29">
        <f t="shared" si="49"/>
        <v>9</v>
      </c>
      <c r="T424" s="1"/>
      <c r="U424" s="1" t="s">
        <v>3001</v>
      </c>
      <c r="V424" s="1" t="s">
        <v>239</v>
      </c>
      <c r="W424" s="1" t="s">
        <v>454</v>
      </c>
      <c r="X424" s="2">
        <v>20255148303</v>
      </c>
      <c r="Y424" s="14">
        <v>46007</v>
      </c>
      <c r="Z424" s="14">
        <v>46015</v>
      </c>
      <c r="AA424" s="14">
        <v>45996</v>
      </c>
      <c r="AB424" s="14">
        <v>46016</v>
      </c>
      <c r="AC424" s="14">
        <v>46023</v>
      </c>
      <c r="AD424" s="2" t="s">
        <v>2979</v>
      </c>
      <c r="AE424" s="2" t="s">
        <v>3002</v>
      </c>
      <c r="AF424" s="2">
        <v>2</v>
      </c>
      <c r="AG424" s="2">
        <v>3.51</v>
      </c>
      <c r="AH424" s="2"/>
      <c r="AI424" s="2" t="s">
        <v>180</v>
      </c>
      <c r="AJ424" s="2"/>
      <c r="AK424" s="14">
        <v>46012</v>
      </c>
      <c r="AL424" s="14">
        <v>46014</v>
      </c>
      <c r="AM424" s="14">
        <v>46014</v>
      </c>
      <c r="AN424" s="2"/>
      <c r="AO424" s="2">
        <v>6544772</v>
      </c>
      <c r="AP424" s="14">
        <v>46017</v>
      </c>
      <c r="AQ424" s="14">
        <v>46023</v>
      </c>
      <c r="AR424" s="15" t="s">
        <v>3255</v>
      </c>
      <c r="AS424" s="2"/>
      <c r="AT424" s="44">
        <v>52754</v>
      </c>
      <c r="AV424" s="14">
        <v>46028</v>
      </c>
      <c r="AW424" s="14">
        <v>46029</v>
      </c>
      <c r="AY424" s="2">
        <v>6760406</v>
      </c>
      <c r="AZ424" s="5">
        <v>46030</v>
      </c>
      <c r="BA424" s="1">
        <v>6338748</v>
      </c>
      <c r="BB424" s="2">
        <v>1140975</v>
      </c>
      <c r="BC424" s="5">
        <v>46030</v>
      </c>
      <c r="BD424" s="14">
        <v>46030</v>
      </c>
      <c r="BF424" s="32">
        <v>46031</v>
      </c>
      <c r="BG424" s="5">
        <v>46032</v>
      </c>
      <c r="BH424" s="1" t="s">
        <v>3342</v>
      </c>
      <c r="BI424" s="1" t="s">
        <v>273</v>
      </c>
      <c r="BQ424" s="14">
        <v>46029</v>
      </c>
      <c r="BR424" s="14">
        <v>46029</v>
      </c>
    </row>
    <row r="425" spans="1:70" ht="18" customHeight="1" x14ac:dyDescent="0.3">
      <c r="A425" s="2">
        <v>425</v>
      </c>
      <c r="B425" s="8" t="s">
        <v>3003</v>
      </c>
      <c r="C425" s="8" t="s">
        <v>3004</v>
      </c>
      <c r="D425" s="8" t="s">
        <v>3005</v>
      </c>
      <c r="E425" s="2" t="s">
        <v>840</v>
      </c>
      <c r="F425" s="8" t="s">
        <v>3006</v>
      </c>
      <c r="G425" s="8" t="s">
        <v>3007</v>
      </c>
      <c r="H425" s="8" t="s">
        <v>3008</v>
      </c>
      <c r="I425" s="83">
        <v>52542</v>
      </c>
      <c r="J425" s="2" t="s">
        <v>1631</v>
      </c>
      <c r="K425" s="2" t="s">
        <v>126</v>
      </c>
      <c r="L425" s="2" t="s">
        <v>1632</v>
      </c>
      <c r="M425" s="134">
        <v>46016</v>
      </c>
      <c r="N425" s="56" t="s">
        <v>3347</v>
      </c>
      <c r="Q425" s="67">
        <f t="shared" si="48"/>
        <v>7</v>
      </c>
      <c r="R425" s="29">
        <f t="shared" si="49"/>
        <v>9</v>
      </c>
      <c r="T425" s="1"/>
      <c r="U425" s="8" t="s">
        <v>3009</v>
      </c>
      <c r="V425" s="1" t="s">
        <v>239</v>
      </c>
      <c r="W425" s="1" t="s">
        <v>454</v>
      </c>
      <c r="X425" s="2">
        <v>20255148300</v>
      </c>
      <c r="Y425" s="14">
        <v>46007</v>
      </c>
      <c r="Z425" s="14">
        <v>46015</v>
      </c>
      <c r="AA425" s="14">
        <v>45996</v>
      </c>
      <c r="AB425" s="14">
        <v>46016</v>
      </c>
      <c r="AC425" s="14">
        <v>46023</v>
      </c>
      <c r="AD425" s="2" t="s">
        <v>2979</v>
      </c>
      <c r="AE425" s="2" t="s">
        <v>3010</v>
      </c>
      <c r="AF425" s="2">
        <v>6</v>
      </c>
      <c r="AG425" s="2">
        <v>6.49</v>
      </c>
      <c r="AH425" s="2"/>
      <c r="AI425" s="2" t="s">
        <v>180</v>
      </c>
      <c r="AJ425" s="2"/>
      <c r="AK425" s="14">
        <v>46012</v>
      </c>
      <c r="AL425" s="14">
        <v>46014</v>
      </c>
      <c r="AM425" s="14">
        <v>46014</v>
      </c>
      <c r="AN425" s="2"/>
      <c r="AO425" s="2">
        <v>6544486</v>
      </c>
      <c r="AP425" s="14">
        <v>46017</v>
      </c>
      <c r="AQ425" s="14">
        <v>46023</v>
      </c>
      <c r="AR425" s="15" t="s">
        <v>3255</v>
      </c>
      <c r="AS425" s="2"/>
      <c r="AT425" s="44">
        <v>52755</v>
      </c>
      <c r="AV425" s="14">
        <v>46028</v>
      </c>
      <c r="AW425" s="14">
        <v>46029</v>
      </c>
      <c r="AY425" s="2">
        <v>6760411</v>
      </c>
      <c r="AZ425" s="5">
        <v>46030</v>
      </c>
      <c r="BA425" s="1">
        <v>11413242</v>
      </c>
      <c r="BB425" s="2">
        <v>2054384</v>
      </c>
      <c r="BC425" s="5">
        <v>46030</v>
      </c>
      <c r="BD425" s="14">
        <v>46030</v>
      </c>
      <c r="BF425" s="32">
        <v>46031</v>
      </c>
      <c r="BG425" s="5">
        <v>46032</v>
      </c>
      <c r="BH425" s="1" t="s">
        <v>3346</v>
      </c>
      <c r="BI425" s="1" t="s">
        <v>273</v>
      </c>
      <c r="BQ425" s="14">
        <v>46029</v>
      </c>
      <c r="BR425" s="14">
        <v>46029</v>
      </c>
    </row>
    <row r="426" spans="1:70" ht="18" customHeight="1" x14ac:dyDescent="0.3">
      <c r="A426" s="2">
        <v>426</v>
      </c>
      <c r="B426" s="2">
        <v>7060259</v>
      </c>
      <c r="C426" s="111">
        <v>46000</v>
      </c>
      <c r="D426" s="2">
        <v>31155</v>
      </c>
      <c r="E426" s="2" t="s">
        <v>840</v>
      </c>
      <c r="F426" s="8" t="s">
        <v>219</v>
      </c>
      <c r="G426" s="8" t="s">
        <v>2757</v>
      </c>
      <c r="H426" s="8" t="s">
        <v>520</v>
      </c>
      <c r="I426" s="83">
        <v>52561</v>
      </c>
      <c r="J426" s="2" t="s">
        <v>142</v>
      </c>
      <c r="K426" s="2" t="s">
        <v>126</v>
      </c>
      <c r="L426" s="2" t="s">
        <v>854</v>
      </c>
      <c r="M426" s="134">
        <v>46018</v>
      </c>
      <c r="N426" s="56" t="s">
        <v>3339</v>
      </c>
      <c r="Q426" s="67">
        <f t="shared" si="48"/>
        <v>3</v>
      </c>
      <c r="R426" s="29">
        <f t="shared" si="49"/>
        <v>11</v>
      </c>
      <c r="T426" s="1"/>
      <c r="U426" s="1" t="s">
        <v>3031</v>
      </c>
      <c r="V426" s="1" t="s">
        <v>384</v>
      </c>
      <c r="W426" s="1" t="s">
        <v>421</v>
      </c>
      <c r="X426" s="2">
        <v>20255149918</v>
      </c>
      <c r="Y426" s="14">
        <v>46011</v>
      </c>
      <c r="Z426" s="14">
        <v>46017</v>
      </c>
      <c r="AA426" s="14">
        <v>46018</v>
      </c>
      <c r="AB426" s="14">
        <v>46018</v>
      </c>
      <c r="AC426" s="14">
        <v>46021</v>
      </c>
      <c r="AD426" s="2">
        <v>17621173670</v>
      </c>
      <c r="AE426" s="2" t="s">
        <v>3032</v>
      </c>
      <c r="AF426" s="2">
        <v>1</v>
      </c>
      <c r="AG426" s="2">
        <v>297</v>
      </c>
      <c r="AH426" s="2"/>
      <c r="AI426" s="2" t="s">
        <v>180</v>
      </c>
      <c r="AJ426" s="2"/>
      <c r="AK426" s="14">
        <v>46014</v>
      </c>
      <c r="AL426" s="14">
        <v>46015</v>
      </c>
      <c r="AM426" s="14">
        <v>46015</v>
      </c>
      <c r="AN426" s="2"/>
      <c r="AO426" s="2">
        <v>6566184</v>
      </c>
      <c r="AP426" s="14">
        <v>46018</v>
      </c>
      <c r="AQ426" s="14">
        <v>46021</v>
      </c>
      <c r="AR426" s="15" t="s">
        <v>3259</v>
      </c>
      <c r="AS426" s="2"/>
      <c r="AT426" s="44">
        <v>52661</v>
      </c>
      <c r="AV426" s="14">
        <v>46022</v>
      </c>
      <c r="AW426" s="14">
        <v>46024</v>
      </c>
      <c r="AY426" s="2">
        <v>6762323</v>
      </c>
      <c r="AZ426" s="5">
        <v>46030</v>
      </c>
      <c r="BA426" s="1">
        <v>2828874</v>
      </c>
      <c r="BB426" s="2">
        <v>509197</v>
      </c>
      <c r="BC426" s="5">
        <v>46030</v>
      </c>
      <c r="BD426" s="14">
        <v>46030</v>
      </c>
      <c r="BF426" s="32">
        <v>46031</v>
      </c>
      <c r="BG426" s="5">
        <v>46032</v>
      </c>
      <c r="BH426" s="1" t="s">
        <v>3336</v>
      </c>
      <c r="BI426" s="1" t="s">
        <v>273</v>
      </c>
      <c r="BQ426" s="14">
        <v>46024</v>
      </c>
      <c r="BR426" s="1"/>
    </row>
    <row r="427" spans="1:70" ht="18" customHeight="1" x14ac:dyDescent="0.3">
      <c r="A427" s="2">
        <v>427</v>
      </c>
      <c r="B427" s="2">
        <v>7067080</v>
      </c>
      <c r="C427" s="111">
        <v>46007</v>
      </c>
      <c r="D427" s="2">
        <v>23270</v>
      </c>
      <c r="E427" s="2" t="s">
        <v>840</v>
      </c>
      <c r="F427" s="8" t="s">
        <v>1382</v>
      </c>
      <c r="G427" s="8" t="s">
        <v>1383</v>
      </c>
      <c r="H427" s="8" t="s">
        <v>770</v>
      </c>
      <c r="I427" s="83">
        <v>52562</v>
      </c>
      <c r="J427" s="2" t="s">
        <v>142</v>
      </c>
      <c r="K427" s="2" t="s">
        <v>126</v>
      </c>
      <c r="L427" s="2" t="s">
        <v>854</v>
      </c>
      <c r="M427" s="134">
        <v>46018</v>
      </c>
      <c r="N427" s="56" t="s">
        <v>3355</v>
      </c>
      <c r="Q427" s="67">
        <f t="shared" si="48"/>
        <v>3</v>
      </c>
      <c r="R427" s="29">
        <f t="shared" si="49"/>
        <v>11</v>
      </c>
      <c r="T427" s="1">
        <v>313</v>
      </c>
      <c r="U427" s="1" t="s">
        <v>2969</v>
      </c>
      <c r="V427" s="2" t="s">
        <v>2970</v>
      </c>
      <c r="W427" s="2" t="s">
        <v>2971</v>
      </c>
      <c r="X427" s="2">
        <v>20255149919</v>
      </c>
      <c r="Y427" s="14">
        <v>46011</v>
      </c>
      <c r="Z427" s="14">
        <v>46017</v>
      </c>
      <c r="AA427" s="14">
        <v>46018</v>
      </c>
      <c r="AB427" s="14">
        <v>46018</v>
      </c>
      <c r="AC427" s="14">
        <v>46021</v>
      </c>
      <c r="AD427" s="2">
        <v>17621173670</v>
      </c>
      <c r="AE427" s="2" t="s">
        <v>3033</v>
      </c>
      <c r="AF427" s="2">
        <v>1</v>
      </c>
      <c r="AG427" s="2">
        <v>195</v>
      </c>
      <c r="AH427" s="2"/>
      <c r="AI427" s="2" t="s">
        <v>180</v>
      </c>
      <c r="AJ427" s="2"/>
      <c r="AK427" s="14">
        <v>46014</v>
      </c>
      <c r="AL427" s="14">
        <v>46015</v>
      </c>
      <c r="AM427" s="14">
        <v>46015</v>
      </c>
      <c r="AN427" s="2"/>
      <c r="AO427" s="2">
        <v>6566707</v>
      </c>
      <c r="AP427" s="14">
        <v>46018</v>
      </c>
      <c r="AQ427" s="14">
        <v>46021</v>
      </c>
      <c r="AR427" s="15" t="s">
        <v>3271</v>
      </c>
      <c r="AS427" s="2"/>
      <c r="AT427" s="44">
        <v>52662</v>
      </c>
      <c r="AV427" s="14">
        <v>46022</v>
      </c>
      <c r="AW427" s="14">
        <v>46024</v>
      </c>
      <c r="AY427" s="2">
        <v>6734140</v>
      </c>
      <c r="AZ427" s="5">
        <v>46028</v>
      </c>
      <c r="BA427" s="1">
        <v>2112916</v>
      </c>
      <c r="BB427" s="2">
        <v>380325</v>
      </c>
      <c r="BC427" s="5">
        <v>46028</v>
      </c>
      <c r="BD427" s="14">
        <v>46030</v>
      </c>
      <c r="BF427" s="32">
        <v>46031</v>
      </c>
      <c r="BG427" s="5">
        <v>46032</v>
      </c>
      <c r="BH427" s="1" t="s">
        <v>3353</v>
      </c>
      <c r="BI427" s="1" t="s">
        <v>273</v>
      </c>
      <c r="BQ427" s="14">
        <v>46024</v>
      </c>
      <c r="BR427" s="5">
        <v>46028</v>
      </c>
    </row>
    <row r="428" spans="1:70" ht="18" customHeight="1" x14ac:dyDescent="0.3">
      <c r="A428" s="2">
        <v>428</v>
      </c>
      <c r="B428" s="2">
        <v>7060219</v>
      </c>
      <c r="C428" s="111">
        <v>46000</v>
      </c>
      <c r="D428" s="2">
        <v>69810</v>
      </c>
      <c r="E428" s="2" t="s">
        <v>840</v>
      </c>
      <c r="F428" s="8" t="s">
        <v>760</v>
      </c>
      <c r="G428" s="8" t="s">
        <v>2968</v>
      </c>
      <c r="H428" s="8" t="s">
        <v>451</v>
      </c>
      <c r="I428" s="83">
        <v>52563</v>
      </c>
      <c r="J428" s="2" t="s">
        <v>142</v>
      </c>
      <c r="K428" s="2" t="s">
        <v>126</v>
      </c>
      <c r="L428" s="2" t="s">
        <v>854</v>
      </c>
      <c r="M428" s="134">
        <v>46018</v>
      </c>
      <c r="N428" s="56" t="s">
        <v>3354</v>
      </c>
      <c r="Q428" s="67">
        <f t="shared" si="48"/>
        <v>4</v>
      </c>
      <c r="R428" s="29">
        <f t="shared" si="49"/>
        <v>10</v>
      </c>
      <c r="T428" s="1">
        <v>938</v>
      </c>
      <c r="U428" s="1" t="s">
        <v>3034</v>
      </c>
      <c r="V428" s="2" t="s">
        <v>2970</v>
      </c>
      <c r="W428" s="2" t="s">
        <v>2971</v>
      </c>
      <c r="X428" s="2">
        <v>20255149921</v>
      </c>
      <c r="Y428" s="14">
        <v>46011</v>
      </c>
      <c r="Z428" s="14">
        <v>46017</v>
      </c>
      <c r="AA428" s="14">
        <v>46018</v>
      </c>
      <c r="AB428" s="14">
        <v>46018</v>
      </c>
      <c r="AC428" s="14">
        <v>46022</v>
      </c>
      <c r="AD428" s="2">
        <v>17621173670</v>
      </c>
      <c r="AE428" s="2" t="s">
        <v>3035</v>
      </c>
      <c r="AF428" s="2">
        <v>2</v>
      </c>
      <c r="AG428" s="2">
        <v>594</v>
      </c>
      <c r="AH428" s="2"/>
      <c r="AI428" s="2" t="s">
        <v>180</v>
      </c>
      <c r="AJ428" s="2"/>
      <c r="AK428" s="14">
        <v>46014</v>
      </c>
      <c r="AL428" s="14">
        <v>46015</v>
      </c>
      <c r="AM428" s="14">
        <v>46015</v>
      </c>
      <c r="AN428" s="2"/>
      <c r="AO428" s="2">
        <v>6566713</v>
      </c>
      <c r="AP428" s="14">
        <v>46018</v>
      </c>
      <c r="AQ428" s="14">
        <v>46022</v>
      </c>
      <c r="AS428" s="2"/>
      <c r="AT428" s="44">
        <v>52660</v>
      </c>
      <c r="AV428" s="14">
        <v>46024</v>
      </c>
      <c r="AW428" s="2" t="s">
        <v>3203</v>
      </c>
      <c r="AY428" s="2">
        <v>6734281</v>
      </c>
      <c r="AZ428" s="5">
        <v>46028</v>
      </c>
      <c r="BA428" s="1">
        <v>6338748</v>
      </c>
      <c r="BB428" s="2">
        <v>1140975</v>
      </c>
      <c r="BC428" s="5">
        <v>46028</v>
      </c>
      <c r="BD428" s="14">
        <v>45665</v>
      </c>
      <c r="BF428" s="32">
        <v>46031</v>
      </c>
      <c r="BG428" s="5">
        <v>46032</v>
      </c>
      <c r="BH428" s="1" t="s">
        <v>3353</v>
      </c>
      <c r="BI428" s="1" t="s">
        <v>273</v>
      </c>
      <c r="BQ428" s="14">
        <v>46025</v>
      </c>
      <c r="BR428" s="5">
        <v>45660</v>
      </c>
    </row>
    <row r="429" spans="1:70" ht="18" customHeight="1" x14ac:dyDescent="0.3">
      <c r="A429" s="2">
        <v>429</v>
      </c>
      <c r="B429" s="2">
        <v>7002130</v>
      </c>
      <c r="C429" s="111">
        <v>45922</v>
      </c>
      <c r="D429" s="2">
        <v>31155</v>
      </c>
      <c r="E429" s="2" t="s">
        <v>840</v>
      </c>
      <c r="F429" s="8" t="s">
        <v>219</v>
      </c>
      <c r="G429" s="8" t="s">
        <v>2757</v>
      </c>
      <c r="H429" s="8" t="s">
        <v>520</v>
      </c>
      <c r="I429" s="83">
        <v>52578</v>
      </c>
      <c r="J429" s="2" t="s">
        <v>142</v>
      </c>
      <c r="K429" s="2" t="s">
        <v>126</v>
      </c>
      <c r="L429" s="2" t="s">
        <v>854</v>
      </c>
      <c r="M429" s="134">
        <v>46017</v>
      </c>
      <c r="N429" s="56" t="s">
        <v>3339</v>
      </c>
      <c r="Q429" s="67">
        <f t="shared" si="48"/>
        <v>4</v>
      </c>
      <c r="R429" s="29">
        <f t="shared" si="49"/>
        <v>11</v>
      </c>
      <c r="T429" s="1"/>
      <c r="U429" s="1" t="s">
        <v>3055</v>
      </c>
      <c r="V429" s="1" t="s">
        <v>384</v>
      </c>
      <c r="W429" s="1" t="s">
        <v>421</v>
      </c>
      <c r="X429" s="2">
        <v>20255150643</v>
      </c>
      <c r="Y429" s="14">
        <v>46013</v>
      </c>
      <c r="Z429" s="14">
        <v>46020</v>
      </c>
      <c r="AA429" s="14">
        <v>46017</v>
      </c>
      <c r="AB429" s="14">
        <v>46017</v>
      </c>
      <c r="AC429" s="14">
        <v>46021</v>
      </c>
      <c r="AD429" s="2">
        <v>61850669194</v>
      </c>
      <c r="AE429" s="2" t="s">
        <v>3056</v>
      </c>
      <c r="AF429" s="2">
        <v>1</v>
      </c>
      <c r="AG429" s="2">
        <v>290.5</v>
      </c>
      <c r="AH429" s="2"/>
      <c r="AI429" s="2" t="s">
        <v>180</v>
      </c>
      <c r="AJ429" s="2"/>
      <c r="AK429" s="14">
        <v>46015</v>
      </c>
      <c r="AL429" s="14">
        <v>46015</v>
      </c>
      <c r="AM429" s="14">
        <v>46017</v>
      </c>
      <c r="AN429" s="2"/>
      <c r="AO429" s="2">
        <v>6564308</v>
      </c>
      <c r="AP429" s="14">
        <v>46018</v>
      </c>
      <c r="AQ429" s="14">
        <v>46021</v>
      </c>
      <c r="AR429" s="15" t="s">
        <v>3260</v>
      </c>
      <c r="AS429" s="2"/>
      <c r="AT429" s="44">
        <v>52651</v>
      </c>
      <c r="AV429" s="14">
        <v>46022</v>
      </c>
      <c r="AW429" s="14">
        <v>46024</v>
      </c>
      <c r="AY429" s="2">
        <v>6762159</v>
      </c>
      <c r="AZ429" s="5">
        <v>46030</v>
      </c>
      <c r="BA429" s="1">
        <v>2828874</v>
      </c>
      <c r="BB429" s="2">
        <v>509197</v>
      </c>
      <c r="BC429" s="5">
        <v>46030</v>
      </c>
      <c r="BD429" s="14">
        <v>46030</v>
      </c>
      <c r="BF429" s="32">
        <v>46031</v>
      </c>
      <c r="BG429" s="5">
        <v>46032</v>
      </c>
      <c r="BH429" s="1" t="s">
        <v>3336</v>
      </c>
      <c r="BI429" s="1" t="s">
        <v>273</v>
      </c>
      <c r="BQ429" s="14">
        <v>46024</v>
      </c>
      <c r="BR429" s="1"/>
    </row>
    <row r="430" spans="1:70" ht="18" customHeight="1" x14ac:dyDescent="0.3">
      <c r="A430" s="2">
        <v>430</v>
      </c>
      <c r="B430" s="2">
        <v>7002129</v>
      </c>
      <c r="C430" s="111">
        <v>45922</v>
      </c>
      <c r="D430" s="2">
        <v>155775</v>
      </c>
      <c r="E430" s="2" t="s">
        <v>840</v>
      </c>
      <c r="F430" s="8" t="s">
        <v>219</v>
      </c>
      <c r="G430" s="8" t="s">
        <v>2757</v>
      </c>
      <c r="H430" s="8" t="s">
        <v>525</v>
      </c>
      <c r="I430" s="83">
        <v>52590</v>
      </c>
      <c r="J430" s="2" t="s">
        <v>142</v>
      </c>
      <c r="K430" s="2" t="s">
        <v>126</v>
      </c>
      <c r="L430" s="2" t="s">
        <v>854</v>
      </c>
      <c r="M430" s="134">
        <v>46017</v>
      </c>
      <c r="N430" s="56" t="s">
        <v>3358</v>
      </c>
      <c r="Q430" s="67">
        <f t="shared" si="48"/>
        <v>4</v>
      </c>
      <c r="R430" s="29">
        <f t="shared" si="49"/>
        <v>11</v>
      </c>
      <c r="T430" s="1"/>
      <c r="U430" s="1" t="s">
        <v>3055</v>
      </c>
      <c r="V430" s="1" t="s">
        <v>384</v>
      </c>
      <c r="W430" s="1" t="s">
        <v>421</v>
      </c>
      <c r="X430" s="2">
        <v>20255150641</v>
      </c>
      <c r="Y430" s="14">
        <v>46014</v>
      </c>
      <c r="Z430" s="14">
        <v>46020</v>
      </c>
      <c r="AA430" s="14">
        <v>46017</v>
      </c>
      <c r="AB430" s="14">
        <v>46017</v>
      </c>
      <c r="AC430" s="14">
        <v>46021</v>
      </c>
      <c r="AD430" s="2">
        <v>61850669194</v>
      </c>
      <c r="AE430" s="2" t="s">
        <v>3072</v>
      </c>
      <c r="AF430" s="2">
        <v>5</v>
      </c>
      <c r="AG430" s="2">
        <v>1462.5</v>
      </c>
      <c r="AH430" s="2"/>
      <c r="AI430" s="2" t="s">
        <v>180</v>
      </c>
      <c r="AJ430" s="2"/>
      <c r="AK430" s="14">
        <v>46017</v>
      </c>
      <c r="AL430" s="14">
        <v>46017</v>
      </c>
      <c r="AM430" s="14">
        <v>46017</v>
      </c>
      <c r="AN430" s="2"/>
      <c r="AO430" s="2">
        <v>6566185</v>
      </c>
      <c r="AP430" s="14">
        <v>46018</v>
      </c>
      <c r="AQ430" s="14">
        <v>46021</v>
      </c>
      <c r="AR430" s="15" t="s">
        <v>3261</v>
      </c>
      <c r="AS430" s="2"/>
      <c r="AT430" s="44">
        <v>52649</v>
      </c>
      <c r="AV430" s="14">
        <v>46022</v>
      </c>
      <c r="AW430" s="14">
        <v>46025</v>
      </c>
      <c r="AY430" s="2">
        <v>6760408</v>
      </c>
      <c r="AZ430" s="5">
        <v>46030</v>
      </c>
      <c r="BA430" s="1">
        <v>14144370</v>
      </c>
      <c r="BB430" s="2">
        <v>2545987</v>
      </c>
      <c r="BC430" s="5">
        <v>46030</v>
      </c>
      <c r="BD430" s="14">
        <v>46030</v>
      </c>
      <c r="BF430" s="32">
        <v>46031</v>
      </c>
      <c r="BG430" s="5">
        <v>46032</v>
      </c>
      <c r="BH430" s="1" t="s">
        <v>3336</v>
      </c>
      <c r="BI430" s="1" t="s">
        <v>273</v>
      </c>
      <c r="BQ430" s="14">
        <v>46025</v>
      </c>
      <c r="BR430" s="1"/>
    </row>
    <row r="431" spans="1:70" ht="18" customHeight="1" x14ac:dyDescent="0.3">
      <c r="A431" s="2">
        <v>431</v>
      </c>
      <c r="B431" s="2">
        <v>1030277</v>
      </c>
      <c r="C431" s="111">
        <v>46006</v>
      </c>
      <c r="D431" s="2">
        <v>207146</v>
      </c>
      <c r="E431" s="2" t="s">
        <v>681</v>
      </c>
      <c r="F431" s="2" t="s">
        <v>3014</v>
      </c>
      <c r="G431" s="2" t="s">
        <v>3082</v>
      </c>
      <c r="H431" s="2">
        <v>100</v>
      </c>
      <c r="I431" s="83">
        <v>52603</v>
      </c>
      <c r="J431" s="2" t="s">
        <v>142</v>
      </c>
      <c r="K431" s="2" t="s">
        <v>126</v>
      </c>
      <c r="L431" s="2" t="s">
        <v>854</v>
      </c>
      <c r="M431" s="134">
        <v>46020</v>
      </c>
      <c r="N431" s="56" t="s">
        <v>3352</v>
      </c>
      <c r="Q431" s="67">
        <f t="shared" si="48"/>
        <v>2</v>
      </c>
      <c r="R431" s="29">
        <f t="shared" si="49"/>
        <v>10</v>
      </c>
      <c r="T431" s="1"/>
      <c r="U431" s="1" t="s">
        <v>3094</v>
      </c>
      <c r="V431" s="2" t="s">
        <v>755</v>
      </c>
      <c r="W431" s="1" t="s">
        <v>827</v>
      </c>
      <c r="X431" s="2" t="s">
        <v>3144</v>
      </c>
      <c r="Y431" s="14">
        <v>46020</v>
      </c>
      <c r="Z431" s="14">
        <v>46023</v>
      </c>
      <c r="AA431" s="14">
        <v>46020</v>
      </c>
      <c r="AB431" s="14">
        <v>46020</v>
      </c>
      <c r="AC431" s="14">
        <v>46022</v>
      </c>
      <c r="AD431" s="2">
        <v>22917792725</v>
      </c>
      <c r="AE431" s="2" t="s">
        <v>3099</v>
      </c>
      <c r="AF431" s="2">
        <v>3</v>
      </c>
      <c r="AG431" s="2">
        <v>675</v>
      </c>
      <c r="AH431" s="2"/>
      <c r="AI431" s="2" t="s">
        <v>3116</v>
      </c>
      <c r="AJ431" s="2"/>
      <c r="AK431" s="14">
        <v>46017</v>
      </c>
      <c r="AL431" s="14">
        <v>46018</v>
      </c>
      <c r="AM431" s="14">
        <v>46020</v>
      </c>
      <c r="AN431" s="2"/>
      <c r="AO431" s="2">
        <v>6601068</v>
      </c>
      <c r="AP431" s="14">
        <v>46020</v>
      </c>
      <c r="AQ431" s="14">
        <v>46022</v>
      </c>
      <c r="AR431" s="15" t="s">
        <v>3264</v>
      </c>
      <c r="AS431" s="2"/>
      <c r="AT431" s="44">
        <v>52679</v>
      </c>
      <c r="AV431" s="14">
        <v>46023</v>
      </c>
      <c r="AW431" s="14">
        <v>46025</v>
      </c>
      <c r="AY431" s="2">
        <v>6760382</v>
      </c>
      <c r="AZ431" s="5">
        <v>46030</v>
      </c>
      <c r="BA431" s="1">
        <v>18808857</v>
      </c>
      <c r="BB431" s="2">
        <v>3385594</v>
      </c>
      <c r="BC431" s="5">
        <v>46030</v>
      </c>
      <c r="BD431" s="14">
        <v>46030</v>
      </c>
      <c r="BF431" s="32">
        <v>46031</v>
      </c>
      <c r="BG431" s="5">
        <v>46032</v>
      </c>
      <c r="BH431" s="1" t="s">
        <v>3344</v>
      </c>
      <c r="BI431" s="1" t="s">
        <v>273</v>
      </c>
      <c r="BQ431" s="14">
        <v>46025</v>
      </c>
      <c r="BR431" s="14">
        <v>46029</v>
      </c>
    </row>
    <row r="432" spans="1:70" ht="18" customHeight="1" x14ac:dyDescent="0.3">
      <c r="A432" s="2">
        <v>432</v>
      </c>
      <c r="B432" s="2">
        <v>1022263</v>
      </c>
      <c r="C432" s="111">
        <v>46006</v>
      </c>
      <c r="D432" s="2">
        <v>36480</v>
      </c>
      <c r="E432" s="2" t="s">
        <v>681</v>
      </c>
      <c r="F432" s="2" t="s">
        <v>137</v>
      </c>
      <c r="G432" s="2" t="s">
        <v>3111</v>
      </c>
      <c r="H432" s="2">
        <v>60</v>
      </c>
      <c r="I432" s="83">
        <v>52616</v>
      </c>
      <c r="J432" s="2" t="s">
        <v>142</v>
      </c>
      <c r="K432" s="2" t="s">
        <v>126</v>
      </c>
      <c r="L432" s="2" t="s">
        <v>854</v>
      </c>
      <c r="M432" s="134">
        <v>46020</v>
      </c>
      <c r="N432" s="56" t="s">
        <v>3345</v>
      </c>
      <c r="O432" s="1">
        <v>1000</v>
      </c>
      <c r="Q432" s="67">
        <f t="shared" si="48"/>
        <v>4</v>
      </c>
      <c r="R432" s="29">
        <f t="shared" si="49"/>
        <v>8</v>
      </c>
      <c r="T432" s="1">
        <v>245</v>
      </c>
      <c r="U432" s="1" t="s">
        <v>3112</v>
      </c>
      <c r="V432" s="2" t="s">
        <v>3239</v>
      </c>
      <c r="W432" s="2" t="s">
        <v>3238</v>
      </c>
      <c r="X432" s="2" t="s">
        <v>3145</v>
      </c>
      <c r="Y432" s="14">
        <v>46021</v>
      </c>
      <c r="Z432" s="14">
        <v>46023</v>
      </c>
      <c r="AA432" s="14">
        <v>46020</v>
      </c>
      <c r="AB432" s="14">
        <v>46020</v>
      </c>
      <c r="AC432" s="14">
        <v>46024</v>
      </c>
      <c r="AD432" s="2">
        <v>21707727134</v>
      </c>
      <c r="AE432" s="2" t="s">
        <v>3113</v>
      </c>
      <c r="AF432" s="2">
        <v>1</v>
      </c>
      <c r="AG432" s="2">
        <v>15</v>
      </c>
      <c r="AH432" s="2"/>
      <c r="AI432" s="2" t="s">
        <v>180</v>
      </c>
      <c r="AJ432" s="2"/>
      <c r="AK432" s="14">
        <v>46017</v>
      </c>
      <c r="AL432" s="14">
        <v>46018</v>
      </c>
      <c r="AM432" s="14">
        <v>46020</v>
      </c>
      <c r="AN432" s="2"/>
      <c r="AO432" s="2">
        <v>6623691</v>
      </c>
      <c r="AP432" s="14">
        <v>46021</v>
      </c>
      <c r="AQ432" s="14">
        <v>46024</v>
      </c>
      <c r="AS432" s="2"/>
      <c r="AT432" s="44">
        <v>52707</v>
      </c>
      <c r="AV432" s="14">
        <v>46025</v>
      </c>
      <c r="AW432" s="14">
        <v>45662</v>
      </c>
      <c r="AY432" s="2">
        <v>6740027</v>
      </c>
      <c r="AZ432" s="5">
        <v>46029</v>
      </c>
      <c r="BA432" s="1">
        <v>3312384</v>
      </c>
      <c r="BB432" s="2">
        <v>596229</v>
      </c>
      <c r="BC432" s="5">
        <v>46029</v>
      </c>
      <c r="BD432" s="14">
        <v>46030</v>
      </c>
      <c r="BF432" s="32">
        <v>46031</v>
      </c>
      <c r="BG432" s="5">
        <v>46032</v>
      </c>
      <c r="BH432" s="1" t="s">
        <v>3344</v>
      </c>
      <c r="BI432" s="1" t="s">
        <v>273</v>
      </c>
      <c r="BQ432" s="14">
        <v>45662</v>
      </c>
      <c r="BR432" s="14">
        <v>45662</v>
      </c>
    </row>
    <row r="433" spans="1:70" ht="18" customHeight="1" x14ac:dyDescent="0.3">
      <c r="A433" s="2">
        <v>433</v>
      </c>
      <c r="B433" s="2">
        <v>1024043</v>
      </c>
      <c r="C433" s="111">
        <v>46006</v>
      </c>
      <c r="D433" s="2">
        <v>20714.599999999999</v>
      </c>
      <c r="E433" s="2" t="s">
        <v>681</v>
      </c>
      <c r="F433" s="2" t="s">
        <v>3014</v>
      </c>
      <c r="G433" s="2" t="s">
        <v>3082</v>
      </c>
      <c r="H433" s="2">
        <v>10</v>
      </c>
      <c r="I433" s="83">
        <v>52667</v>
      </c>
      <c r="J433" s="2" t="s">
        <v>142</v>
      </c>
      <c r="K433" s="2" t="s">
        <v>126</v>
      </c>
      <c r="L433" s="2" t="s">
        <v>854</v>
      </c>
      <c r="M433" s="134">
        <v>46016</v>
      </c>
      <c r="N433" s="56" t="s">
        <v>3351</v>
      </c>
      <c r="O433" s="1">
        <v>3919.96</v>
      </c>
      <c r="Q433" s="67">
        <f t="shared" si="48"/>
        <v>8</v>
      </c>
      <c r="R433" s="29">
        <f t="shared" si="49"/>
        <v>8</v>
      </c>
      <c r="T433" s="1"/>
      <c r="U433" s="1" t="s">
        <v>3153</v>
      </c>
      <c r="V433" s="2" t="s">
        <v>3239</v>
      </c>
      <c r="W433" s="2" t="s">
        <v>3238</v>
      </c>
      <c r="X433" s="2" t="s">
        <v>3154</v>
      </c>
      <c r="Y433" s="14">
        <v>46016</v>
      </c>
      <c r="Z433" s="14">
        <v>46020</v>
      </c>
      <c r="AA433" s="14">
        <v>46016</v>
      </c>
      <c r="AB433" s="14">
        <v>46016</v>
      </c>
      <c r="AC433" s="14">
        <v>46024</v>
      </c>
      <c r="AD433" s="2">
        <v>31295160855</v>
      </c>
      <c r="AE433" s="2" t="s">
        <v>3152</v>
      </c>
      <c r="AF433" s="2">
        <v>1</v>
      </c>
      <c r="AG433" s="2">
        <v>100</v>
      </c>
      <c r="AH433" s="2"/>
      <c r="AI433" s="2" t="s">
        <v>3116</v>
      </c>
      <c r="AJ433" s="2"/>
      <c r="AK433" s="14">
        <v>46022</v>
      </c>
      <c r="AL433" s="14">
        <v>46022</v>
      </c>
      <c r="AM433" s="14">
        <v>46023</v>
      </c>
      <c r="AN433" s="2"/>
      <c r="AO433" s="2">
        <v>6651822</v>
      </c>
      <c r="AP433" s="14">
        <v>46023</v>
      </c>
      <c r="AQ433" s="14">
        <v>46024</v>
      </c>
      <c r="AR433" s="15" t="s">
        <v>3265</v>
      </c>
      <c r="AS433" s="2"/>
      <c r="AT433" s="44">
        <v>52759</v>
      </c>
      <c r="AV433" s="14">
        <v>46028</v>
      </c>
      <c r="AW433" s="14">
        <v>46029</v>
      </c>
      <c r="AY433" s="2">
        <v>6760380</v>
      </c>
      <c r="AZ433" s="5">
        <v>46030</v>
      </c>
      <c r="BA433" s="1">
        <v>1880886</v>
      </c>
      <c r="BB433" s="2">
        <v>338559</v>
      </c>
      <c r="BC433" s="5">
        <v>46030</v>
      </c>
      <c r="BD433" s="14">
        <v>46030</v>
      </c>
      <c r="BF433" s="32">
        <v>46031</v>
      </c>
      <c r="BG433" s="5">
        <v>46032</v>
      </c>
      <c r="BH433" s="1" t="s">
        <v>3344</v>
      </c>
      <c r="BI433" s="1" t="s">
        <v>273</v>
      </c>
      <c r="BQ433" s="14">
        <v>46029</v>
      </c>
      <c r="BR433" s="14">
        <v>46029</v>
      </c>
    </row>
    <row r="434" spans="1:70" ht="18" customHeight="1" x14ac:dyDescent="0.3">
      <c r="A434" s="2">
        <v>434</v>
      </c>
      <c r="B434" s="2">
        <v>1029114</v>
      </c>
      <c r="C434" s="111">
        <v>46006</v>
      </c>
      <c r="D434" s="2">
        <v>207146</v>
      </c>
      <c r="E434" s="2" t="s">
        <v>681</v>
      </c>
      <c r="F434" s="2" t="s">
        <v>3014</v>
      </c>
      <c r="G434" s="2" t="s">
        <v>3082</v>
      </c>
      <c r="H434" s="2">
        <v>100</v>
      </c>
      <c r="I434" s="83">
        <v>52669</v>
      </c>
      <c r="J434" s="2" t="s">
        <v>142</v>
      </c>
      <c r="K434" s="2" t="s">
        <v>126</v>
      </c>
      <c r="L434" s="2" t="s">
        <v>854</v>
      </c>
      <c r="M434" s="134">
        <v>46020</v>
      </c>
      <c r="N434" s="56" t="s">
        <v>3352</v>
      </c>
      <c r="O434" s="1">
        <v>3018.96</v>
      </c>
      <c r="Q434" s="67">
        <f t="shared" si="48"/>
        <v>4</v>
      </c>
      <c r="R434" s="29">
        <f t="shared" si="49"/>
        <v>8</v>
      </c>
      <c r="T434" s="1"/>
      <c r="U434" s="1" t="s">
        <v>3095</v>
      </c>
      <c r="V434" s="2" t="s">
        <v>755</v>
      </c>
      <c r="W434" s="1" t="s">
        <v>827</v>
      </c>
      <c r="X434" s="2" t="s">
        <v>3158</v>
      </c>
      <c r="Y434" s="14">
        <v>46016</v>
      </c>
      <c r="Z434" s="14">
        <v>46020</v>
      </c>
      <c r="AA434" s="14">
        <v>46020</v>
      </c>
      <c r="AB434" s="14">
        <v>46020</v>
      </c>
      <c r="AC434" s="14">
        <v>46024</v>
      </c>
      <c r="AD434" s="2">
        <v>60751579986</v>
      </c>
      <c r="AE434" s="2" t="s">
        <v>3157</v>
      </c>
      <c r="AF434" s="2">
        <v>3</v>
      </c>
      <c r="AG434" s="2">
        <v>766</v>
      </c>
      <c r="AH434" s="2"/>
      <c r="AI434" s="2" t="s">
        <v>3116</v>
      </c>
      <c r="AJ434" s="2"/>
      <c r="AK434" s="14">
        <v>46022</v>
      </c>
      <c r="AL434" s="14">
        <v>46022</v>
      </c>
      <c r="AM434" s="14">
        <v>46023</v>
      </c>
      <c r="AN434" s="2"/>
      <c r="AO434" s="2">
        <v>6652500</v>
      </c>
      <c r="AP434" s="14">
        <v>46023</v>
      </c>
      <c r="AQ434" s="14">
        <v>46024</v>
      </c>
      <c r="AR434" s="15" t="s">
        <v>3266</v>
      </c>
      <c r="AS434" s="2"/>
      <c r="AT434" s="44">
        <v>52760</v>
      </c>
      <c r="AV434" s="14">
        <v>46028</v>
      </c>
      <c r="AW434" s="14">
        <v>46029</v>
      </c>
      <c r="AY434" s="2">
        <v>6760379</v>
      </c>
      <c r="AZ434" s="5">
        <v>46030</v>
      </c>
      <c r="BA434" s="1">
        <v>18808857</v>
      </c>
      <c r="BB434" s="2">
        <v>3385594</v>
      </c>
      <c r="BC434" s="5">
        <v>46030</v>
      </c>
      <c r="BD434" s="14">
        <v>46030</v>
      </c>
      <c r="BF434" s="32">
        <v>46031</v>
      </c>
      <c r="BG434" s="5">
        <v>46032</v>
      </c>
      <c r="BH434" s="1" t="s">
        <v>3344</v>
      </c>
      <c r="BI434" s="1" t="s">
        <v>273</v>
      </c>
      <c r="BQ434" s="14">
        <v>46029</v>
      </c>
      <c r="BR434" s="5">
        <v>46029</v>
      </c>
    </row>
    <row r="435" spans="1:70" ht="18" customHeight="1" x14ac:dyDescent="0.3">
      <c r="A435" s="2">
        <v>435</v>
      </c>
      <c r="B435" s="2" t="s">
        <v>2924</v>
      </c>
      <c r="C435" s="111">
        <v>45995</v>
      </c>
      <c r="D435" s="2">
        <v>30576</v>
      </c>
      <c r="E435" s="2" t="s">
        <v>677</v>
      </c>
      <c r="F435" s="2" t="s">
        <v>345</v>
      </c>
      <c r="G435" s="2" t="s">
        <v>346</v>
      </c>
      <c r="H435" s="2">
        <v>64</v>
      </c>
      <c r="I435" s="83">
        <v>52455</v>
      </c>
      <c r="J435" s="2" t="s">
        <v>142</v>
      </c>
      <c r="K435" s="2" t="s">
        <v>126</v>
      </c>
      <c r="L435" s="2" t="s">
        <v>854</v>
      </c>
      <c r="M435" s="134">
        <v>46008</v>
      </c>
      <c r="N435" s="56" t="s">
        <v>3373</v>
      </c>
      <c r="Q435" s="67">
        <f t="shared" ref="Q435:Q442" si="50">AQ435-AB435</f>
        <v>1</v>
      </c>
      <c r="R435" s="29">
        <f t="shared" si="49"/>
        <v>27</v>
      </c>
      <c r="T435" s="1"/>
      <c r="U435" s="1" t="s">
        <v>2925</v>
      </c>
      <c r="V435" s="1" t="s">
        <v>204</v>
      </c>
      <c r="W435" s="1" t="s">
        <v>203</v>
      </c>
      <c r="X435" s="2" t="s">
        <v>2960</v>
      </c>
      <c r="Y435" s="14">
        <v>46009</v>
      </c>
      <c r="Z435" s="14">
        <v>46018</v>
      </c>
      <c r="AA435" s="14">
        <v>46008</v>
      </c>
      <c r="AB435" s="14">
        <v>46008</v>
      </c>
      <c r="AC435" s="14">
        <v>46009</v>
      </c>
      <c r="AD435" s="2">
        <v>15792691852</v>
      </c>
      <c r="AE435" s="2">
        <v>412658401</v>
      </c>
      <c r="AF435" s="2">
        <v>1</v>
      </c>
      <c r="AG435" s="2">
        <v>8</v>
      </c>
      <c r="AH435" s="2"/>
      <c r="AI435" s="2" t="s">
        <v>179</v>
      </c>
      <c r="AJ435" s="2"/>
      <c r="AK435" s="14">
        <v>46007</v>
      </c>
      <c r="AL435" s="14">
        <v>46007</v>
      </c>
      <c r="AM435" s="14">
        <v>46007</v>
      </c>
      <c r="AN435" s="2"/>
      <c r="AO435" s="2">
        <v>6344619</v>
      </c>
      <c r="AP435" s="14">
        <v>46008</v>
      </c>
      <c r="AQ435" s="14">
        <v>46009</v>
      </c>
      <c r="AS435" s="2"/>
      <c r="AT435" s="44">
        <v>52830</v>
      </c>
      <c r="AV435" s="14">
        <v>46035</v>
      </c>
      <c r="AW435" s="14">
        <v>46035</v>
      </c>
      <c r="AY435" s="2">
        <v>6860373</v>
      </c>
      <c r="AZ435" s="5">
        <v>46035</v>
      </c>
      <c r="BA435" s="1">
        <v>2776301</v>
      </c>
      <c r="BB435" s="2">
        <v>499734</v>
      </c>
      <c r="BC435" s="5">
        <v>46035</v>
      </c>
      <c r="BD435" s="14">
        <v>46035</v>
      </c>
      <c r="BF435" s="32">
        <v>46035</v>
      </c>
      <c r="BG435" s="5">
        <v>46036</v>
      </c>
      <c r="BH435" s="1" t="s">
        <v>3372</v>
      </c>
      <c r="BI435" s="1" t="s">
        <v>273</v>
      </c>
      <c r="BQ435" s="14">
        <v>46035</v>
      </c>
      <c r="BR435" s="5">
        <v>46035</v>
      </c>
    </row>
    <row r="436" spans="1:70" ht="18" customHeight="1" x14ac:dyDescent="0.3">
      <c r="A436" s="2">
        <v>436</v>
      </c>
      <c r="B436" s="2">
        <v>1025084</v>
      </c>
      <c r="C436" s="111">
        <v>46006</v>
      </c>
      <c r="D436" s="2">
        <v>207146</v>
      </c>
      <c r="E436" s="2" t="s">
        <v>681</v>
      </c>
      <c r="F436" s="2" t="s">
        <v>3014</v>
      </c>
      <c r="G436" s="2" t="s">
        <v>3082</v>
      </c>
      <c r="H436" s="2">
        <v>100</v>
      </c>
      <c r="I436" s="83">
        <v>52599</v>
      </c>
      <c r="J436" s="2" t="s">
        <v>142</v>
      </c>
      <c r="K436" s="2" t="s">
        <v>126</v>
      </c>
      <c r="L436" s="2" t="s">
        <v>854</v>
      </c>
      <c r="M436" s="134">
        <v>46021</v>
      </c>
      <c r="N436" s="56" t="s">
        <v>3376</v>
      </c>
      <c r="Q436" s="67">
        <f t="shared" si="50"/>
        <v>2</v>
      </c>
      <c r="R436" s="29">
        <f t="shared" si="49"/>
        <v>13</v>
      </c>
      <c r="T436" s="1"/>
      <c r="U436" s="1" t="s">
        <v>3011</v>
      </c>
      <c r="V436" s="2" t="s">
        <v>755</v>
      </c>
      <c r="W436" s="1" t="s">
        <v>827</v>
      </c>
      <c r="X436" s="2" t="s">
        <v>3092</v>
      </c>
      <c r="Y436" s="14">
        <v>46015</v>
      </c>
      <c r="Z436" s="14">
        <v>46020</v>
      </c>
      <c r="AA436" s="14">
        <v>46021</v>
      </c>
      <c r="AB436" s="14">
        <v>46021</v>
      </c>
      <c r="AC436" s="14">
        <v>46023</v>
      </c>
      <c r="AD436" s="2">
        <v>60751579920</v>
      </c>
      <c r="AE436" s="2" t="s">
        <v>3093</v>
      </c>
      <c r="AF436" s="2">
        <v>3</v>
      </c>
      <c r="AG436" s="2">
        <v>752.5</v>
      </c>
      <c r="AH436" s="2"/>
      <c r="AI436" s="2" t="s">
        <v>3116</v>
      </c>
      <c r="AJ436" s="2"/>
      <c r="AK436" s="14">
        <v>46016</v>
      </c>
      <c r="AL436" s="14">
        <v>46018</v>
      </c>
      <c r="AM436" s="14">
        <v>46020</v>
      </c>
      <c r="AN436" s="2"/>
      <c r="AO436" s="2">
        <v>6613460</v>
      </c>
      <c r="AP436" s="14">
        <v>46021</v>
      </c>
      <c r="AQ436" s="14">
        <v>46023</v>
      </c>
      <c r="AR436" s="15" t="s">
        <v>3279</v>
      </c>
      <c r="AS436" s="2"/>
      <c r="AT436" s="44">
        <v>52691</v>
      </c>
      <c r="AV436" s="14">
        <v>46025</v>
      </c>
      <c r="AW436" s="14">
        <v>46025</v>
      </c>
      <c r="AY436" s="2">
        <v>6832017</v>
      </c>
      <c r="AZ436" s="5">
        <v>46034</v>
      </c>
      <c r="BA436" s="1">
        <v>18808857</v>
      </c>
      <c r="BB436" s="2">
        <v>3385594</v>
      </c>
      <c r="BC436" s="5">
        <v>46034</v>
      </c>
      <c r="BD436" s="14">
        <v>46034</v>
      </c>
      <c r="BF436" s="32">
        <v>46035</v>
      </c>
      <c r="BG436" s="5">
        <v>46036</v>
      </c>
      <c r="BH436" s="1" t="s">
        <v>3375</v>
      </c>
      <c r="BI436" s="1" t="s">
        <v>273</v>
      </c>
      <c r="BQ436" s="14">
        <v>46025</v>
      </c>
      <c r="BR436" s="5">
        <v>46030</v>
      </c>
    </row>
    <row r="437" spans="1:70" ht="18" customHeight="1" x14ac:dyDescent="0.3">
      <c r="A437" s="2">
        <v>437</v>
      </c>
      <c r="B437" s="2">
        <v>1029612</v>
      </c>
      <c r="C437" s="111">
        <v>46006</v>
      </c>
      <c r="D437" s="2">
        <v>56258.85</v>
      </c>
      <c r="E437" s="2" t="s">
        <v>681</v>
      </c>
      <c r="F437" s="2" t="s">
        <v>3101</v>
      </c>
      <c r="G437" s="2" t="s">
        <v>3102</v>
      </c>
      <c r="H437" s="2">
        <v>15</v>
      </c>
      <c r="I437" s="83">
        <v>52607</v>
      </c>
      <c r="J437" s="2" t="s">
        <v>142</v>
      </c>
      <c r="K437" s="2" t="s">
        <v>126</v>
      </c>
      <c r="L437" s="2" t="s">
        <v>854</v>
      </c>
      <c r="M437" s="134">
        <v>46020</v>
      </c>
      <c r="N437" s="56" t="s">
        <v>3377</v>
      </c>
      <c r="Q437" s="67">
        <f t="shared" si="50"/>
        <v>3</v>
      </c>
      <c r="R437" s="29">
        <f t="shared" si="49"/>
        <v>13</v>
      </c>
      <c r="T437" s="1"/>
      <c r="U437" s="1" t="s">
        <v>3103</v>
      </c>
      <c r="V437" s="2" t="s">
        <v>755</v>
      </c>
      <c r="W437" s="1" t="s">
        <v>827</v>
      </c>
      <c r="X437" s="2" t="s">
        <v>3136</v>
      </c>
      <c r="Y437" s="14">
        <v>46020</v>
      </c>
      <c r="Z437" s="14">
        <v>46023</v>
      </c>
      <c r="AA437" s="14">
        <v>46020</v>
      </c>
      <c r="AB437" s="14">
        <v>46020</v>
      </c>
      <c r="AC437" s="14">
        <v>46023</v>
      </c>
      <c r="AD437" s="2">
        <v>31295162981</v>
      </c>
      <c r="AE437" s="2" t="s">
        <v>3104</v>
      </c>
      <c r="AF437" s="2">
        <v>4</v>
      </c>
      <c r="AG437" s="2">
        <v>32.799999999999997</v>
      </c>
      <c r="AH437" s="2"/>
      <c r="AI437" s="2" t="s">
        <v>3116</v>
      </c>
      <c r="AJ437" s="2"/>
      <c r="AK437" s="14">
        <v>46017</v>
      </c>
      <c r="AL437" s="14">
        <v>46018</v>
      </c>
      <c r="AM437" s="14">
        <v>46020</v>
      </c>
      <c r="AN437" s="2"/>
      <c r="AO437" s="2">
        <v>6611429</v>
      </c>
      <c r="AP437" s="14">
        <v>46021</v>
      </c>
      <c r="AQ437" s="14">
        <v>46023</v>
      </c>
      <c r="AR437" s="15" t="s">
        <v>3278</v>
      </c>
      <c r="AS437" s="2"/>
      <c r="AT437" s="44">
        <v>52695</v>
      </c>
      <c r="AV437" s="14">
        <v>46025</v>
      </c>
      <c r="AW437" s="14">
        <v>46027</v>
      </c>
      <c r="AY437" s="2">
        <v>6832604</v>
      </c>
      <c r="AZ437" s="5">
        <v>46034</v>
      </c>
      <c r="BA437" s="1">
        <v>5108304</v>
      </c>
      <c r="BB437" s="2">
        <v>919495</v>
      </c>
      <c r="BC437" s="5">
        <v>46034</v>
      </c>
      <c r="BD437" s="14">
        <v>46034</v>
      </c>
      <c r="BF437" s="32">
        <v>46035</v>
      </c>
      <c r="BG437" s="5">
        <v>46036</v>
      </c>
      <c r="BH437" s="1" t="s">
        <v>3375</v>
      </c>
      <c r="BI437" s="1" t="s">
        <v>273</v>
      </c>
      <c r="BQ437" s="14">
        <v>46027</v>
      </c>
      <c r="BR437" s="5">
        <v>46030</v>
      </c>
    </row>
    <row r="438" spans="1:70" ht="18" customHeight="1" x14ac:dyDescent="0.3">
      <c r="A438" s="2">
        <v>438</v>
      </c>
      <c r="B438" s="2">
        <v>1029126</v>
      </c>
      <c r="C438" s="111">
        <v>46006</v>
      </c>
      <c r="D438" s="2">
        <v>207146</v>
      </c>
      <c r="E438" s="2" t="s">
        <v>681</v>
      </c>
      <c r="F438" s="2" t="s">
        <v>3014</v>
      </c>
      <c r="G438" s="2" t="s">
        <v>3082</v>
      </c>
      <c r="H438" s="2">
        <v>100</v>
      </c>
      <c r="I438" s="83">
        <v>52617</v>
      </c>
      <c r="J438" s="2" t="s">
        <v>142</v>
      </c>
      <c r="K438" s="2" t="s">
        <v>126</v>
      </c>
      <c r="L438" s="2" t="s">
        <v>854</v>
      </c>
      <c r="M438" s="134">
        <v>46021</v>
      </c>
      <c r="N438" s="56" t="s">
        <v>3377</v>
      </c>
      <c r="Q438" s="67">
        <f t="shared" si="50"/>
        <v>2</v>
      </c>
      <c r="R438" s="29">
        <f t="shared" si="49"/>
        <v>13</v>
      </c>
      <c r="T438" s="1"/>
      <c r="U438" s="1" t="s">
        <v>3095</v>
      </c>
      <c r="V438" s="2" t="s">
        <v>755</v>
      </c>
      <c r="W438" s="1" t="s">
        <v>827</v>
      </c>
      <c r="X438" s="2" t="s">
        <v>3114</v>
      </c>
      <c r="Y438" s="14">
        <v>46016</v>
      </c>
      <c r="Z438" s="14">
        <v>46020</v>
      </c>
      <c r="AA438" s="14">
        <v>46021</v>
      </c>
      <c r="AB438" s="14">
        <v>46021</v>
      </c>
      <c r="AC438" s="14">
        <v>46023</v>
      </c>
      <c r="AD438" s="2">
        <v>61565328830</v>
      </c>
      <c r="AE438" s="2" t="s">
        <v>3115</v>
      </c>
      <c r="AF438" s="2">
        <v>3</v>
      </c>
      <c r="AG438" s="2">
        <v>743.5</v>
      </c>
      <c r="AH438" s="2"/>
      <c r="AI438" s="2" t="s">
        <v>3116</v>
      </c>
      <c r="AJ438" s="2"/>
      <c r="AK438" s="14">
        <v>46020</v>
      </c>
      <c r="AL438" s="14">
        <v>46020</v>
      </c>
      <c r="AM438" s="14">
        <v>46021</v>
      </c>
      <c r="AN438" s="2"/>
      <c r="AO438" s="2">
        <v>6613659</v>
      </c>
      <c r="AP438" s="14">
        <v>46021</v>
      </c>
      <c r="AQ438" s="14">
        <v>46023</v>
      </c>
      <c r="AR438" s="15" t="s">
        <v>3270</v>
      </c>
      <c r="AS438" s="2"/>
      <c r="AT438" s="44">
        <v>52710</v>
      </c>
      <c r="AV438" s="14">
        <v>46025</v>
      </c>
      <c r="AW438" s="14">
        <v>46030</v>
      </c>
      <c r="AY438" s="2">
        <v>6832068</v>
      </c>
      <c r="AZ438" s="5">
        <v>46034</v>
      </c>
      <c r="BA438" s="1">
        <v>18808857</v>
      </c>
      <c r="BB438" s="2">
        <v>3385594</v>
      </c>
      <c r="BC438" s="5">
        <v>46034</v>
      </c>
      <c r="BD438" s="14">
        <v>46034</v>
      </c>
      <c r="BF438" s="32">
        <v>46035</v>
      </c>
      <c r="BG438" s="5">
        <v>46036</v>
      </c>
      <c r="BH438" s="1" t="s">
        <v>3375</v>
      </c>
      <c r="BI438" s="1" t="s">
        <v>273</v>
      </c>
      <c r="BQ438" s="14">
        <v>45662</v>
      </c>
      <c r="BR438" s="14">
        <v>46030</v>
      </c>
    </row>
    <row r="439" spans="1:70" ht="18" customHeight="1" x14ac:dyDescent="0.3">
      <c r="A439" s="2">
        <v>439</v>
      </c>
      <c r="B439" s="2">
        <v>1029125</v>
      </c>
      <c r="C439" s="111">
        <v>46006</v>
      </c>
      <c r="D439" s="2">
        <v>147073.66</v>
      </c>
      <c r="E439" s="2" t="s">
        <v>681</v>
      </c>
      <c r="F439" s="2" t="s">
        <v>3014</v>
      </c>
      <c r="G439" s="2" t="s">
        <v>3082</v>
      </c>
      <c r="H439" s="2">
        <v>71</v>
      </c>
      <c r="I439" s="83">
        <v>52619</v>
      </c>
      <c r="J439" s="2" t="s">
        <v>142</v>
      </c>
      <c r="K439" s="2" t="s">
        <v>126</v>
      </c>
      <c r="L439" s="2" t="s">
        <v>854</v>
      </c>
      <c r="M439" s="134">
        <v>46021</v>
      </c>
      <c r="N439" s="56" t="s">
        <v>3378</v>
      </c>
      <c r="O439" s="1">
        <v>2203.14</v>
      </c>
      <c r="Q439" s="67">
        <f t="shared" si="50"/>
        <v>3</v>
      </c>
      <c r="R439" s="29">
        <f t="shared" si="49"/>
        <v>12</v>
      </c>
      <c r="T439" s="1"/>
      <c r="U439" s="1" t="s">
        <v>3117</v>
      </c>
      <c r="V439" s="2" t="s">
        <v>755</v>
      </c>
      <c r="W439" s="1" t="s">
        <v>827</v>
      </c>
      <c r="X439" s="2" t="s">
        <v>3118</v>
      </c>
      <c r="Y439" s="14">
        <v>46016</v>
      </c>
      <c r="Z439" s="14">
        <v>46020</v>
      </c>
      <c r="AA439" s="14">
        <v>46021</v>
      </c>
      <c r="AB439" s="14">
        <v>46021</v>
      </c>
      <c r="AC439" s="14">
        <v>46024</v>
      </c>
      <c r="AD439" s="2">
        <v>61565328841</v>
      </c>
      <c r="AE439" s="2" t="s">
        <v>3119</v>
      </c>
      <c r="AF439" s="2">
        <v>2</v>
      </c>
      <c r="AG439" s="2">
        <v>559</v>
      </c>
      <c r="AH439" s="2"/>
      <c r="AI439" s="2" t="s">
        <v>3116</v>
      </c>
      <c r="AJ439" s="2"/>
      <c r="AK439" s="14">
        <v>46020</v>
      </c>
      <c r="AL439" s="14">
        <v>46020</v>
      </c>
      <c r="AM439" s="14">
        <v>46021</v>
      </c>
      <c r="AN439" s="2"/>
      <c r="AO439" s="2">
        <v>6623908</v>
      </c>
      <c r="AP439" s="14">
        <v>46021</v>
      </c>
      <c r="AQ439" s="14">
        <v>46024</v>
      </c>
      <c r="AR439" s="15" t="s">
        <v>3280</v>
      </c>
      <c r="AS439" s="2"/>
      <c r="AT439" s="44">
        <v>52711</v>
      </c>
      <c r="AV439" s="14">
        <v>46025</v>
      </c>
      <c r="AW439" s="14">
        <v>46026</v>
      </c>
      <c r="AY439" s="2">
        <v>6832129</v>
      </c>
      <c r="AZ439" s="5">
        <v>46034</v>
      </c>
      <c r="BA439" s="1">
        <v>13354288</v>
      </c>
      <c r="BB439" s="2">
        <v>2403772</v>
      </c>
      <c r="BC439" s="5">
        <v>46034</v>
      </c>
      <c r="BD439" s="14">
        <v>46034</v>
      </c>
      <c r="BF439" s="32">
        <v>46035</v>
      </c>
      <c r="BG439" s="5">
        <v>46036</v>
      </c>
      <c r="BH439" s="1" t="s">
        <v>3375</v>
      </c>
      <c r="BI439" s="1" t="s">
        <v>273</v>
      </c>
      <c r="BQ439" s="14">
        <v>46026</v>
      </c>
      <c r="BR439" s="5">
        <v>46030</v>
      </c>
    </row>
    <row r="440" spans="1:70" ht="18" customHeight="1" x14ac:dyDescent="0.3">
      <c r="A440" s="2">
        <v>440</v>
      </c>
      <c r="B440" s="2">
        <v>1029128</v>
      </c>
      <c r="C440" s="111">
        <v>46006</v>
      </c>
      <c r="D440" s="2">
        <v>207146</v>
      </c>
      <c r="E440" s="2" t="s">
        <v>681</v>
      </c>
      <c r="F440" s="2" t="s">
        <v>3014</v>
      </c>
      <c r="G440" s="2" t="s">
        <v>3082</v>
      </c>
      <c r="H440" s="2">
        <v>100</v>
      </c>
      <c r="I440" s="83">
        <v>52630</v>
      </c>
      <c r="J440" s="2" t="s">
        <v>142</v>
      </c>
      <c r="K440" s="2" t="s">
        <v>126</v>
      </c>
      <c r="L440" s="2" t="s">
        <v>854</v>
      </c>
      <c r="M440" s="134">
        <v>46023</v>
      </c>
      <c r="N440" s="56" t="s">
        <v>3379</v>
      </c>
      <c r="Q440" s="67">
        <f t="shared" si="50"/>
        <v>4</v>
      </c>
      <c r="R440" s="29">
        <f t="shared" si="49"/>
        <v>9</v>
      </c>
      <c r="T440" s="1"/>
      <c r="U440" s="1" t="s">
        <v>3095</v>
      </c>
      <c r="V440" s="2" t="s">
        <v>755</v>
      </c>
      <c r="W440" s="1" t="s">
        <v>827</v>
      </c>
      <c r="X440" s="2" t="s">
        <v>3132</v>
      </c>
      <c r="Y440" s="14">
        <v>46016</v>
      </c>
      <c r="Z440" s="14">
        <v>46020</v>
      </c>
      <c r="AA440" s="14">
        <v>46023</v>
      </c>
      <c r="AB440" s="14">
        <v>46023</v>
      </c>
      <c r="AC440" s="14">
        <v>46027</v>
      </c>
      <c r="AD440" s="2">
        <v>60751579990</v>
      </c>
      <c r="AE440" s="2" t="s">
        <v>3133</v>
      </c>
      <c r="AF440" s="2">
        <v>3</v>
      </c>
      <c r="AG440" s="2">
        <v>717.5</v>
      </c>
      <c r="AH440" s="2"/>
      <c r="AI440" s="2" t="s">
        <v>3116</v>
      </c>
      <c r="AJ440" s="2"/>
      <c r="AK440" s="14">
        <v>46020</v>
      </c>
      <c r="AL440" s="14">
        <v>46020</v>
      </c>
      <c r="AM440" s="14">
        <v>46021</v>
      </c>
      <c r="AN440" s="2"/>
      <c r="AO440" s="2">
        <v>6662829</v>
      </c>
      <c r="AP440" s="14">
        <v>46024</v>
      </c>
      <c r="AQ440" s="14">
        <v>46027</v>
      </c>
      <c r="AS440" s="2"/>
      <c r="AT440" s="44">
        <v>52784</v>
      </c>
      <c r="AV440" s="14">
        <v>46031</v>
      </c>
      <c r="AW440" s="14">
        <v>46031</v>
      </c>
      <c r="AY440" s="2">
        <v>6833668</v>
      </c>
      <c r="AZ440" s="5">
        <v>46034</v>
      </c>
      <c r="BA440" s="1">
        <v>18808857</v>
      </c>
      <c r="BB440" s="2">
        <v>3385594</v>
      </c>
      <c r="BC440" s="5">
        <v>46034</v>
      </c>
      <c r="BD440" s="14">
        <v>46034</v>
      </c>
      <c r="BF440" s="32">
        <v>46035</v>
      </c>
      <c r="BG440" s="5">
        <v>46036</v>
      </c>
      <c r="BH440" s="1" t="s">
        <v>1550</v>
      </c>
      <c r="BI440" s="1" t="s">
        <v>282</v>
      </c>
      <c r="BQ440" s="14">
        <v>46031</v>
      </c>
      <c r="BR440" s="5">
        <v>46034</v>
      </c>
    </row>
    <row r="441" spans="1:70" ht="18" customHeight="1" x14ac:dyDescent="0.3">
      <c r="A441" s="2">
        <v>441</v>
      </c>
      <c r="B441" s="2">
        <v>1029129</v>
      </c>
      <c r="C441" s="111">
        <v>46006</v>
      </c>
      <c r="D441" s="2">
        <v>207146</v>
      </c>
      <c r="E441" s="2" t="s">
        <v>681</v>
      </c>
      <c r="F441" s="2" t="s">
        <v>3014</v>
      </c>
      <c r="G441" s="2" t="s">
        <v>3082</v>
      </c>
      <c r="H441" s="2">
        <v>100</v>
      </c>
      <c r="I441" s="83">
        <v>52668</v>
      </c>
      <c r="J441" s="2" t="s">
        <v>142</v>
      </c>
      <c r="K441" s="2" t="s">
        <v>126</v>
      </c>
      <c r="L441" s="2" t="s">
        <v>854</v>
      </c>
      <c r="M441" s="134">
        <v>46019</v>
      </c>
      <c r="N441" s="56" t="s">
        <v>3380</v>
      </c>
      <c r="O441" s="1">
        <v>5852.68</v>
      </c>
      <c r="Q441" s="67">
        <f t="shared" si="50"/>
        <v>6</v>
      </c>
      <c r="R441" s="29">
        <f t="shared" si="49"/>
        <v>11</v>
      </c>
      <c r="T441" s="1"/>
      <c r="U441" s="1" t="s">
        <v>3095</v>
      </c>
      <c r="V441" s="2" t="s">
        <v>755</v>
      </c>
      <c r="W441" s="1" t="s">
        <v>827</v>
      </c>
      <c r="X441" s="2" t="s">
        <v>3156</v>
      </c>
      <c r="Y441" s="14">
        <v>46016</v>
      </c>
      <c r="Z441" s="14">
        <v>46022</v>
      </c>
      <c r="AA441" s="14">
        <v>46019</v>
      </c>
      <c r="AB441" s="14">
        <v>46019</v>
      </c>
      <c r="AC441" s="14">
        <v>46025</v>
      </c>
      <c r="AD441" s="2">
        <v>60751580023</v>
      </c>
      <c r="AE441" s="2" t="s">
        <v>3155</v>
      </c>
      <c r="AF441" s="2">
        <v>3</v>
      </c>
      <c r="AG441" s="2">
        <v>766</v>
      </c>
      <c r="AH441" s="2"/>
      <c r="AI441" s="2" t="s">
        <v>3116</v>
      </c>
      <c r="AJ441" s="2"/>
      <c r="AK441" s="14">
        <v>46022</v>
      </c>
      <c r="AL441" s="14">
        <v>46022</v>
      </c>
      <c r="AM441" s="14">
        <v>46023</v>
      </c>
      <c r="AN441" s="2"/>
      <c r="AO441" s="2">
        <v>6651821</v>
      </c>
      <c r="AP441" s="14">
        <v>46023</v>
      </c>
      <c r="AQ441" s="14">
        <v>46025</v>
      </c>
      <c r="AR441" s="15" t="s">
        <v>3206</v>
      </c>
      <c r="AS441" s="2"/>
      <c r="AT441" s="44">
        <v>52768</v>
      </c>
      <c r="AV441" s="14">
        <v>46030</v>
      </c>
      <c r="AW441" s="14">
        <v>46030</v>
      </c>
      <c r="AY441" s="2">
        <v>6832128</v>
      </c>
      <c r="AZ441" s="5">
        <v>46034</v>
      </c>
      <c r="BA441" s="1">
        <v>18808857</v>
      </c>
      <c r="BB441" s="2">
        <v>3385594</v>
      </c>
      <c r="BC441" s="5">
        <v>46034</v>
      </c>
      <c r="BD441" s="14">
        <v>46034</v>
      </c>
      <c r="BF441" s="32">
        <v>46035</v>
      </c>
      <c r="BG441" s="5">
        <v>46036</v>
      </c>
      <c r="BH441" s="1" t="s">
        <v>1550</v>
      </c>
      <c r="BI441" s="1" t="s">
        <v>282</v>
      </c>
      <c r="BQ441" s="14">
        <v>46030</v>
      </c>
      <c r="BR441" s="5">
        <v>46030</v>
      </c>
    </row>
    <row r="442" spans="1:70" ht="18" customHeight="1" x14ac:dyDescent="0.3">
      <c r="A442" s="2">
        <v>442</v>
      </c>
      <c r="B442" s="2">
        <v>1029124</v>
      </c>
      <c r="C442" s="111">
        <v>46006</v>
      </c>
      <c r="D442" s="2">
        <v>207146</v>
      </c>
      <c r="E442" s="2" t="s">
        <v>681</v>
      </c>
      <c r="F442" s="2" t="s">
        <v>3014</v>
      </c>
      <c r="G442" s="2" t="s">
        <v>3082</v>
      </c>
      <c r="H442" s="2">
        <v>100</v>
      </c>
      <c r="I442" s="83">
        <v>52670</v>
      </c>
      <c r="J442" s="2" t="s">
        <v>142</v>
      </c>
      <c r="K442" s="2" t="s">
        <v>126</v>
      </c>
      <c r="L442" s="2" t="s">
        <v>854</v>
      </c>
      <c r="M442" s="134">
        <v>46023</v>
      </c>
      <c r="N442" s="56" t="s">
        <v>3381</v>
      </c>
      <c r="Q442" s="67">
        <f t="shared" si="50"/>
        <v>2</v>
      </c>
      <c r="R442" s="29">
        <f t="shared" si="49"/>
        <v>11</v>
      </c>
      <c r="T442" s="1"/>
      <c r="U442" s="1" t="s">
        <v>3117</v>
      </c>
      <c r="V442" s="2" t="s">
        <v>755</v>
      </c>
      <c r="W442" s="1" t="s">
        <v>827</v>
      </c>
      <c r="X442" s="2" t="s">
        <v>3160</v>
      </c>
      <c r="Y442" s="14">
        <v>46016</v>
      </c>
      <c r="Z442" s="14">
        <v>46020</v>
      </c>
      <c r="AA442" s="14">
        <v>46023</v>
      </c>
      <c r="AB442" s="14">
        <v>46023</v>
      </c>
      <c r="AC442" s="14">
        <v>46025</v>
      </c>
      <c r="AD442" s="2">
        <v>60751580001</v>
      </c>
      <c r="AE442" s="2" t="s">
        <v>3159</v>
      </c>
      <c r="AF442" s="2">
        <v>3</v>
      </c>
      <c r="AG442" s="2">
        <v>749</v>
      </c>
      <c r="AH442" s="2"/>
      <c r="AI442" s="2" t="s">
        <v>3116</v>
      </c>
      <c r="AJ442" s="2"/>
      <c r="AK442" s="14">
        <v>46022</v>
      </c>
      <c r="AL442" s="14">
        <v>46022</v>
      </c>
      <c r="AM442" s="14">
        <v>46023</v>
      </c>
      <c r="AN442" s="2"/>
      <c r="AO442" s="2">
        <v>6663240</v>
      </c>
      <c r="AP442" s="14">
        <v>46024</v>
      </c>
      <c r="AQ442" s="14">
        <v>46025</v>
      </c>
      <c r="AS442" s="2"/>
      <c r="AT442" s="44">
        <v>52786</v>
      </c>
      <c r="AV442" s="14">
        <v>46031</v>
      </c>
      <c r="AW442" s="14">
        <v>46031</v>
      </c>
      <c r="AY442" s="2">
        <v>6834171</v>
      </c>
      <c r="AZ442" s="5">
        <v>46034</v>
      </c>
      <c r="BA442" s="1">
        <v>18808857</v>
      </c>
      <c r="BB442" s="2">
        <v>3385594</v>
      </c>
      <c r="BC442" s="5">
        <v>46034</v>
      </c>
      <c r="BD442" s="14">
        <v>46034</v>
      </c>
      <c r="BF442" s="32">
        <v>46035</v>
      </c>
      <c r="BG442" s="5">
        <v>46036</v>
      </c>
      <c r="BH442" s="1" t="s">
        <v>1550</v>
      </c>
      <c r="BI442" s="1" t="s">
        <v>282</v>
      </c>
      <c r="BQ442" s="14">
        <v>46031</v>
      </c>
      <c r="BR442" s="5">
        <v>46034</v>
      </c>
    </row>
    <row r="443" spans="1:70" ht="18" customHeight="1" x14ac:dyDescent="0.3">
      <c r="A443" s="2">
        <v>443</v>
      </c>
      <c r="B443" s="8" t="s">
        <v>2893</v>
      </c>
      <c r="C443" s="8" t="s">
        <v>2894</v>
      </c>
      <c r="D443" s="8" t="s">
        <v>2895</v>
      </c>
      <c r="E443" s="2" t="s">
        <v>840</v>
      </c>
      <c r="F443" s="8" t="s">
        <v>2896</v>
      </c>
      <c r="G443" s="8" t="s">
        <v>2897</v>
      </c>
      <c r="H443" s="8" t="s">
        <v>2898</v>
      </c>
      <c r="I443" s="83">
        <v>52447</v>
      </c>
      <c r="J443" s="2" t="s">
        <v>1631</v>
      </c>
      <c r="K443" s="2" t="s">
        <v>126</v>
      </c>
      <c r="L443" s="2" t="s">
        <v>1632</v>
      </c>
      <c r="M443" s="134">
        <v>46009</v>
      </c>
      <c r="N443" s="56" t="s">
        <v>3399</v>
      </c>
      <c r="Q443" s="67">
        <f t="shared" ref="Q443:Q448" si="51">AQ443-AB443</f>
        <v>14</v>
      </c>
      <c r="R443" s="29">
        <f t="shared" si="49"/>
        <v>16</v>
      </c>
      <c r="T443" s="1"/>
      <c r="U443" s="7" t="s">
        <v>2899</v>
      </c>
      <c r="V443" s="1" t="s">
        <v>204</v>
      </c>
      <c r="W443" s="1" t="s">
        <v>203</v>
      </c>
      <c r="X443" s="2">
        <v>20255154021</v>
      </c>
      <c r="Y443" s="14">
        <v>46021</v>
      </c>
      <c r="Z443" s="14">
        <v>46027</v>
      </c>
      <c r="AA443" s="14">
        <v>45995</v>
      </c>
      <c r="AB443" s="14">
        <v>46008</v>
      </c>
      <c r="AC443" s="14">
        <v>46022</v>
      </c>
      <c r="AD443" s="2" t="s">
        <v>2869</v>
      </c>
      <c r="AE443" s="2" t="s">
        <v>2900</v>
      </c>
      <c r="AF443" s="2">
        <v>2</v>
      </c>
      <c r="AG443" s="2">
        <v>0.52</v>
      </c>
      <c r="AH443" s="2"/>
      <c r="AI443" s="2" t="s">
        <v>180</v>
      </c>
      <c r="AJ443" s="2"/>
      <c r="AK443" s="14">
        <v>46003</v>
      </c>
      <c r="AL443" s="14">
        <v>46004</v>
      </c>
      <c r="AM443" s="14">
        <v>46006</v>
      </c>
      <c r="AN443" s="2"/>
      <c r="AO443" s="2">
        <v>6374587</v>
      </c>
      <c r="AP443" s="14">
        <v>46009</v>
      </c>
      <c r="AQ443" s="14">
        <v>46022</v>
      </c>
      <c r="AR443" s="15" t="s">
        <v>3204</v>
      </c>
      <c r="AS443" s="2"/>
      <c r="AT443" s="44">
        <v>52520</v>
      </c>
      <c r="AV443" s="14">
        <v>46027</v>
      </c>
      <c r="AW443" s="14">
        <v>46028</v>
      </c>
      <c r="AY443" s="2">
        <v>6832067</v>
      </c>
      <c r="AZ443" s="5">
        <v>46034</v>
      </c>
      <c r="BA443" s="1">
        <v>1037254</v>
      </c>
      <c r="BB443" s="2">
        <v>186706</v>
      </c>
      <c r="BC443" s="5">
        <v>46034</v>
      </c>
      <c r="BD443" s="14">
        <v>46034</v>
      </c>
      <c r="BF443" s="32">
        <v>46035</v>
      </c>
      <c r="BG443" s="5">
        <v>46038</v>
      </c>
      <c r="BH443" s="1" t="s">
        <v>3398</v>
      </c>
      <c r="BI443" s="1" t="s">
        <v>273</v>
      </c>
      <c r="BQ443" s="14">
        <v>46028</v>
      </c>
      <c r="BR443" s="5">
        <v>46030</v>
      </c>
    </row>
    <row r="444" spans="1:70" ht="18" customHeight="1" x14ac:dyDescent="0.3">
      <c r="A444" s="2">
        <v>444</v>
      </c>
      <c r="B444" s="8" t="s">
        <v>2915</v>
      </c>
      <c r="C444" s="8" t="s">
        <v>2916</v>
      </c>
      <c r="D444" s="8" t="s">
        <v>2917</v>
      </c>
      <c r="E444" s="2" t="s">
        <v>840</v>
      </c>
      <c r="F444" s="8" t="s">
        <v>2918</v>
      </c>
      <c r="G444" s="8" t="s">
        <v>2919</v>
      </c>
      <c r="H444" s="8" t="s">
        <v>2920</v>
      </c>
      <c r="I444" s="83">
        <v>52450</v>
      </c>
      <c r="J444" s="2" t="s">
        <v>1631</v>
      </c>
      <c r="K444" s="2" t="s">
        <v>126</v>
      </c>
      <c r="L444" s="2" t="s">
        <v>1632</v>
      </c>
      <c r="M444" s="134">
        <v>46009</v>
      </c>
      <c r="N444" s="56" t="s">
        <v>3400</v>
      </c>
      <c r="Q444" s="67">
        <f t="shared" si="51"/>
        <v>14</v>
      </c>
      <c r="R444" s="29">
        <f t="shared" si="49"/>
        <v>16</v>
      </c>
      <c r="T444" s="1"/>
      <c r="U444" s="7" t="s">
        <v>2921</v>
      </c>
      <c r="V444" s="1" t="s">
        <v>204</v>
      </c>
      <c r="W444" s="1" t="s">
        <v>203</v>
      </c>
      <c r="X444" s="2">
        <v>20255154023</v>
      </c>
      <c r="Y444" s="14">
        <v>46021</v>
      </c>
      <c r="Z444" s="14">
        <v>46027</v>
      </c>
      <c r="AA444" s="14">
        <v>45995</v>
      </c>
      <c r="AB444" s="14">
        <v>46008</v>
      </c>
      <c r="AC444" s="14">
        <v>46022</v>
      </c>
      <c r="AD444" s="2" t="s">
        <v>2869</v>
      </c>
      <c r="AE444" s="2" t="s">
        <v>2922</v>
      </c>
      <c r="AF444" s="2">
        <v>3</v>
      </c>
      <c r="AG444" s="2">
        <v>3.53</v>
      </c>
      <c r="AH444" s="2"/>
      <c r="AI444" s="2" t="s">
        <v>180</v>
      </c>
      <c r="AJ444" s="2"/>
      <c r="AK444" s="14">
        <v>46006</v>
      </c>
      <c r="AL444" s="14">
        <v>46006</v>
      </c>
      <c r="AM444" s="14">
        <v>46006</v>
      </c>
      <c r="AN444" s="2"/>
      <c r="AO444" s="2">
        <v>6373362</v>
      </c>
      <c r="AP444" s="14">
        <v>46009</v>
      </c>
      <c r="AQ444" s="14">
        <v>46022</v>
      </c>
      <c r="AR444" s="15" t="s">
        <v>3205</v>
      </c>
      <c r="AS444" s="2"/>
      <c r="AT444" s="44">
        <v>52521</v>
      </c>
      <c r="AV444" s="14">
        <v>46027</v>
      </c>
      <c r="AW444" s="14">
        <v>46028</v>
      </c>
      <c r="AY444" s="2">
        <v>6832066</v>
      </c>
      <c r="AZ444" s="5">
        <v>46034</v>
      </c>
      <c r="BA444" s="1">
        <v>5186269</v>
      </c>
      <c r="BB444" s="2">
        <v>933528</v>
      </c>
      <c r="BC444" s="5">
        <v>46034</v>
      </c>
      <c r="BD444" s="14">
        <v>46034</v>
      </c>
      <c r="BF444" s="32">
        <v>46035</v>
      </c>
      <c r="BG444" s="5">
        <v>46038</v>
      </c>
      <c r="BH444" s="1" t="s">
        <v>3398</v>
      </c>
      <c r="BI444" s="1" t="s">
        <v>273</v>
      </c>
      <c r="BQ444" s="14">
        <v>46028</v>
      </c>
      <c r="BR444" s="5">
        <v>46030</v>
      </c>
    </row>
    <row r="445" spans="1:70" ht="18" customHeight="1" x14ac:dyDescent="0.3">
      <c r="A445" s="2">
        <v>445</v>
      </c>
      <c r="B445" s="2">
        <v>7055278</v>
      </c>
      <c r="C445" s="111">
        <v>45994</v>
      </c>
      <c r="D445" s="2">
        <v>16616</v>
      </c>
      <c r="E445" s="2" t="s">
        <v>840</v>
      </c>
      <c r="F445" s="8" t="s">
        <v>540</v>
      </c>
      <c r="G445" s="8" t="s">
        <v>1335</v>
      </c>
      <c r="H445" s="8" t="s">
        <v>2991</v>
      </c>
      <c r="I445" s="83">
        <v>52538</v>
      </c>
      <c r="J445" s="2" t="s">
        <v>1631</v>
      </c>
      <c r="K445" s="2" t="s">
        <v>126</v>
      </c>
      <c r="L445" s="2" t="s">
        <v>1632</v>
      </c>
      <c r="M445" s="134">
        <v>46016</v>
      </c>
      <c r="N445" s="56" t="s">
        <v>3397</v>
      </c>
      <c r="Q445" s="67">
        <f t="shared" si="51"/>
        <v>7</v>
      </c>
      <c r="R445" s="29">
        <f t="shared" si="49"/>
        <v>15</v>
      </c>
      <c r="T445" s="1"/>
      <c r="U445" s="1" t="s">
        <v>2220</v>
      </c>
      <c r="V445" s="1" t="s">
        <v>645</v>
      </c>
      <c r="W445" s="71" t="s">
        <v>426</v>
      </c>
      <c r="X445" s="2">
        <v>20255148302</v>
      </c>
      <c r="Y445" s="14">
        <v>46007</v>
      </c>
      <c r="Z445" s="14">
        <v>46015</v>
      </c>
      <c r="AA445" s="14">
        <v>45996</v>
      </c>
      <c r="AB445" s="14">
        <v>46016</v>
      </c>
      <c r="AC445" s="14">
        <v>46023</v>
      </c>
      <c r="AD445" s="2" t="s">
        <v>2979</v>
      </c>
      <c r="AE445" s="2" t="s">
        <v>2992</v>
      </c>
      <c r="AF445" s="2">
        <v>1</v>
      </c>
      <c r="AG445" s="2">
        <v>1.33</v>
      </c>
      <c r="AH445" s="2"/>
      <c r="AI445" s="2" t="s">
        <v>180</v>
      </c>
      <c r="AJ445" s="2"/>
      <c r="AK445" s="14">
        <v>46012</v>
      </c>
      <c r="AL445" s="14">
        <v>46014</v>
      </c>
      <c r="AM445" s="14">
        <v>46014</v>
      </c>
      <c r="AN445" s="2"/>
      <c r="AO445" s="2">
        <v>6546623</v>
      </c>
      <c r="AP445" s="14">
        <v>46017</v>
      </c>
      <c r="AQ445" s="14">
        <v>46023</v>
      </c>
      <c r="AS445" s="2"/>
      <c r="AT445" s="44">
        <v>52780</v>
      </c>
      <c r="AV445" s="14">
        <v>46031</v>
      </c>
      <c r="AW445" s="14">
        <v>46031</v>
      </c>
      <c r="AY445" s="2">
        <v>6860250</v>
      </c>
      <c r="AZ445" s="5">
        <v>46035</v>
      </c>
      <c r="BA445" s="1">
        <v>1508733</v>
      </c>
      <c r="BB445" s="2">
        <v>271572</v>
      </c>
      <c r="BC445" s="5">
        <v>46035</v>
      </c>
      <c r="BD445" s="14">
        <v>46035</v>
      </c>
      <c r="BF445" s="32">
        <v>46036</v>
      </c>
      <c r="BG445" s="5">
        <v>46038</v>
      </c>
      <c r="BH445" s="1" t="s">
        <v>3396</v>
      </c>
      <c r="BI445" s="1" t="s">
        <v>282</v>
      </c>
      <c r="BQ445" s="14">
        <v>46031</v>
      </c>
      <c r="BR445" s="5">
        <v>46035</v>
      </c>
    </row>
    <row r="446" spans="1:70" ht="18" customHeight="1" x14ac:dyDescent="0.3">
      <c r="A446" s="2">
        <v>446</v>
      </c>
      <c r="B446" s="8" t="s">
        <v>2882</v>
      </c>
      <c r="C446" s="8" t="s">
        <v>2883</v>
      </c>
      <c r="D446" s="8" t="s">
        <v>2884</v>
      </c>
      <c r="E446" s="2" t="s">
        <v>840</v>
      </c>
      <c r="F446" s="8" t="s">
        <v>2885</v>
      </c>
      <c r="G446" s="8" t="s">
        <v>2886</v>
      </c>
      <c r="H446" s="8" t="s">
        <v>2887</v>
      </c>
      <c r="I446" s="83">
        <v>52438</v>
      </c>
      <c r="J446" s="2" t="s">
        <v>1631</v>
      </c>
      <c r="K446" s="2" t="s">
        <v>126</v>
      </c>
      <c r="L446" s="2" t="s">
        <v>1632</v>
      </c>
      <c r="M446" s="134">
        <v>46009</v>
      </c>
      <c r="N446" s="56" t="s">
        <v>3405</v>
      </c>
      <c r="Q446" s="67">
        <f t="shared" si="51"/>
        <v>14</v>
      </c>
      <c r="R446" s="29">
        <f t="shared" si="49"/>
        <v>16</v>
      </c>
      <c r="T446" s="1">
        <v>2423</v>
      </c>
      <c r="U446" s="8" t="s">
        <v>2888</v>
      </c>
      <c r="V446" s="1" t="s">
        <v>626</v>
      </c>
      <c r="W446" s="1" t="s">
        <v>627</v>
      </c>
      <c r="X446" s="2">
        <v>20255154047</v>
      </c>
      <c r="Y446" s="14">
        <v>46021</v>
      </c>
      <c r="Z446" s="14">
        <v>46027</v>
      </c>
      <c r="AA446" s="14">
        <v>45995</v>
      </c>
      <c r="AB446" s="14">
        <v>46008</v>
      </c>
      <c r="AC446" s="14">
        <v>46022</v>
      </c>
      <c r="AD446" s="2" t="s">
        <v>2869</v>
      </c>
      <c r="AE446" s="2" t="s">
        <v>2889</v>
      </c>
      <c r="AF446" s="2">
        <v>11</v>
      </c>
      <c r="AG446" s="2">
        <v>18.37</v>
      </c>
      <c r="AH446" s="2"/>
      <c r="AI446" s="2" t="s">
        <v>180</v>
      </c>
      <c r="AJ446" s="2"/>
      <c r="AK446" s="14">
        <v>46003</v>
      </c>
      <c r="AL446" s="14">
        <v>46004</v>
      </c>
      <c r="AM446" s="14">
        <v>46006</v>
      </c>
      <c r="AN446" s="2"/>
      <c r="AO446" s="2">
        <v>6371528</v>
      </c>
      <c r="AP446" s="14">
        <v>46009</v>
      </c>
      <c r="AQ446" s="14">
        <v>46022</v>
      </c>
      <c r="AS446" s="2"/>
      <c r="AT446" s="44">
        <v>52512</v>
      </c>
      <c r="AV446" s="14">
        <v>46027</v>
      </c>
      <c r="AW446" s="14">
        <v>46029</v>
      </c>
      <c r="AY446" s="2">
        <v>6832132</v>
      </c>
      <c r="AZ446" s="5">
        <v>46034</v>
      </c>
      <c r="BA446" s="1">
        <v>32750198</v>
      </c>
      <c r="BB446" s="2">
        <v>5895036</v>
      </c>
      <c r="BC446" s="5">
        <v>46034</v>
      </c>
      <c r="BD446" s="14">
        <v>46035</v>
      </c>
      <c r="BF446" s="32">
        <v>46036</v>
      </c>
      <c r="BG446" s="5">
        <v>46038</v>
      </c>
      <c r="BH446" s="1" t="s">
        <v>3404</v>
      </c>
      <c r="BI446" s="1" t="s">
        <v>273</v>
      </c>
      <c r="BQ446" s="14">
        <v>46029</v>
      </c>
      <c r="BR446" s="5">
        <v>46031</v>
      </c>
    </row>
    <row r="447" spans="1:70" ht="18" customHeight="1" x14ac:dyDescent="0.3">
      <c r="A447" s="2">
        <v>447</v>
      </c>
      <c r="B447" s="2">
        <v>7069068</v>
      </c>
      <c r="C447" s="111">
        <v>46009</v>
      </c>
      <c r="D447" s="2">
        <v>65156</v>
      </c>
      <c r="E447" s="2" t="s">
        <v>840</v>
      </c>
      <c r="F447" s="8" t="s">
        <v>1382</v>
      </c>
      <c r="G447" s="8" t="s">
        <v>1383</v>
      </c>
      <c r="H447" s="8" t="s">
        <v>3122</v>
      </c>
      <c r="I447" s="83">
        <v>52623</v>
      </c>
      <c r="J447" s="2" t="s">
        <v>142</v>
      </c>
      <c r="K447" s="2" t="s">
        <v>126</v>
      </c>
      <c r="L447" s="2" t="s">
        <v>854</v>
      </c>
      <c r="M447" s="134">
        <v>46020</v>
      </c>
      <c r="N447" s="56" t="s">
        <v>3402</v>
      </c>
      <c r="Q447" s="67">
        <f t="shared" si="51"/>
        <v>5</v>
      </c>
      <c r="R447" s="29">
        <f t="shared" si="49"/>
        <v>13</v>
      </c>
      <c r="T447" s="1">
        <v>438</v>
      </c>
      <c r="U447" s="1" t="s">
        <v>3129</v>
      </c>
      <c r="V447" s="1" t="s">
        <v>626</v>
      </c>
      <c r="W447" s="1" t="s">
        <v>627</v>
      </c>
      <c r="X447" s="2">
        <v>20255151724</v>
      </c>
      <c r="Y447" s="14">
        <v>46016</v>
      </c>
      <c r="Z447" s="14">
        <v>46022</v>
      </c>
      <c r="AA447" s="14">
        <v>46020</v>
      </c>
      <c r="AB447" s="14">
        <v>46020</v>
      </c>
      <c r="AC447" s="14">
        <v>46025</v>
      </c>
      <c r="AD447" s="2">
        <v>23215586874</v>
      </c>
      <c r="AE447" s="2" t="s">
        <v>3131</v>
      </c>
      <c r="AF447" s="2">
        <v>2</v>
      </c>
      <c r="AG447" s="2">
        <v>585</v>
      </c>
      <c r="AH447" s="2"/>
      <c r="AI447" s="2" t="s">
        <v>629</v>
      </c>
      <c r="AJ447" s="2"/>
      <c r="AK447" s="14">
        <v>46020</v>
      </c>
      <c r="AL447" s="14">
        <v>46020</v>
      </c>
      <c r="AM447" s="14">
        <v>46021</v>
      </c>
      <c r="AN447" s="2"/>
      <c r="AO447" s="2">
        <v>6613657</v>
      </c>
      <c r="AP447" s="14">
        <v>46021</v>
      </c>
      <c r="AQ447" s="14">
        <v>46025</v>
      </c>
      <c r="AS447" s="2"/>
      <c r="AT447" s="44">
        <v>52706</v>
      </c>
      <c r="AV447" s="14">
        <v>46025</v>
      </c>
      <c r="AW447" s="14">
        <v>46027</v>
      </c>
      <c r="AY447" s="2">
        <v>6832130</v>
      </c>
      <c r="AZ447" s="5">
        <v>46034</v>
      </c>
      <c r="BA447" s="1">
        <v>5916165</v>
      </c>
      <c r="BB447" s="2">
        <v>1064910</v>
      </c>
      <c r="BC447" s="5">
        <v>46034</v>
      </c>
      <c r="BD447" s="14">
        <v>46035</v>
      </c>
      <c r="BF447" s="32">
        <v>46036</v>
      </c>
      <c r="BG447" s="5">
        <v>46038</v>
      </c>
      <c r="BH447" s="1" t="s">
        <v>3401</v>
      </c>
      <c r="BI447" s="1" t="s">
        <v>273</v>
      </c>
      <c r="BQ447" s="14">
        <v>46027</v>
      </c>
      <c r="BR447" s="5">
        <v>46031</v>
      </c>
    </row>
    <row r="448" spans="1:70" ht="18" customHeight="1" x14ac:dyDescent="0.3">
      <c r="A448" s="2">
        <v>448</v>
      </c>
      <c r="B448" s="8" t="s">
        <v>3123</v>
      </c>
      <c r="C448" s="8" t="s">
        <v>3124</v>
      </c>
      <c r="D448" s="8" t="s">
        <v>3125</v>
      </c>
      <c r="E448" s="2" t="s">
        <v>840</v>
      </c>
      <c r="F448" s="8" t="s">
        <v>3126</v>
      </c>
      <c r="G448" s="8" t="s">
        <v>3127</v>
      </c>
      <c r="H448" s="8" t="s">
        <v>3128</v>
      </c>
      <c r="I448" s="83">
        <v>52624</v>
      </c>
      <c r="J448" s="2" t="s">
        <v>142</v>
      </c>
      <c r="K448" s="2" t="s">
        <v>126</v>
      </c>
      <c r="L448" s="2" t="s">
        <v>854</v>
      </c>
      <c r="M448" s="134">
        <v>46020</v>
      </c>
      <c r="N448" s="56" t="s">
        <v>3403</v>
      </c>
      <c r="Q448" s="67">
        <f t="shared" si="51"/>
        <v>3</v>
      </c>
      <c r="R448" s="29">
        <f t="shared" si="49"/>
        <v>15</v>
      </c>
      <c r="T448" s="1">
        <v>656</v>
      </c>
      <c r="U448" s="7" t="s">
        <v>2964</v>
      </c>
      <c r="V448" s="1" t="s">
        <v>626</v>
      </c>
      <c r="W448" s="1" t="s">
        <v>627</v>
      </c>
      <c r="X448" s="2">
        <v>20255151679</v>
      </c>
      <c r="Y448" s="14">
        <v>46017</v>
      </c>
      <c r="Z448" s="14">
        <v>46022</v>
      </c>
      <c r="AA448" s="14">
        <v>46020</v>
      </c>
      <c r="AB448" s="14">
        <v>46020</v>
      </c>
      <c r="AC448" s="14">
        <v>46023</v>
      </c>
      <c r="AD448" s="2">
        <v>23215586874</v>
      </c>
      <c r="AE448" s="2" t="s">
        <v>3130</v>
      </c>
      <c r="AF448" s="2">
        <v>4</v>
      </c>
      <c r="AG448" s="2">
        <v>921</v>
      </c>
      <c r="AH448" s="2"/>
      <c r="AI448" s="2" t="s">
        <v>629</v>
      </c>
      <c r="AJ448" s="2"/>
      <c r="AK448" s="14">
        <v>46020</v>
      </c>
      <c r="AL448" s="14">
        <v>46020</v>
      </c>
      <c r="AM448" s="14">
        <v>46021</v>
      </c>
      <c r="AN448" s="2"/>
      <c r="AO448" s="2">
        <v>6616409</v>
      </c>
      <c r="AP448" s="14">
        <v>46021</v>
      </c>
      <c r="AQ448" s="14">
        <v>46023</v>
      </c>
      <c r="AS448" s="2"/>
      <c r="AT448" s="44">
        <v>52704</v>
      </c>
      <c r="AV448" s="14">
        <v>46025</v>
      </c>
      <c r="AW448" s="14">
        <v>46027</v>
      </c>
      <c r="AY448" s="2">
        <v>6832131</v>
      </c>
      <c r="AZ448" s="5">
        <v>46034</v>
      </c>
      <c r="BA448" s="1">
        <v>8874247</v>
      </c>
      <c r="BB448" s="2">
        <v>1597364</v>
      </c>
      <c r="BC448" s="5">
        <v>46034</v>
      </c>
      <c r="BD448" s="14">
        <v>46035</v>
      </c>
      <c r="BF448" s="32">
        <v>46036</v>
      </c>
      <c r="BG448" s="5">
        <v>46038</v>
      </c>
      <c r="BH448" s="1" t="s">
        <v>3401</v>
      </c>
      <c r="BI448" s="1" t="s">
        <v>273</v>
      </c>
      <c r="BQ448" s="14">
        <v>46027</v>
      </c>
      <c r="BR448" s="5">
        <v>46031</v>
      </c>
    </row>
    <row r="449" spans="1:70" ht="18" customHeight="1" x14ac:dyDescent="0.3">
      <c r="A449" s="2">
        <v>449</v>
      </c>
      <c r="B449" s="8" t="s">
        <v>2365</v>
      </c>
      <c r="C449" s="8" t="s">
        <v>2366</v>
      </c>
      <c r="D449" s="8" t="s">
        <v>2367</v>
      </c>
      <c r="E449" s="2" t="s">
        <v>840</v>
      </c>
      <c r="F449" s="8" t="s">
        <v>2368</v>
      </c>
      <c r="G449" s="8" t="s">
        <v>2583</v>
      </c>
      <c r="H449" s="8" t="s">
        <v>2369</v>
      </c>
      <c r="I449" s="83">
        <v>51603</v>
      </c>
      <c r="J449" s="2" t="s">
        <v>1631</v>
      </c>
      <c r="K449" s="2" t="s">
        <v>126</v>
      </c>
      <c r="L449" s="2" t="s">
        <v>1632</v>
      </c>
      <c r="M449" s="134">
        <v>45935</v>
      </c>
      <c r="N449" s="56" t="s">
        <v>3507</v>
      </c>
      <c r="Q449" s="67">
        <f t="shared" ref="Q449:Q458" si="52">AQ449-AB449</f>
        <v>9</v>
      </c>
      <c r="R449" s="29">
        <f t="shared" si="49"/>
        <v>100</v>
      </c>
      <c r="T449" s="1"/>
      <c r="U449" s="8" t="s">
        <v>2370</v>
      </c>
      <c r="V449" s="1" t="s">
        <v>844</v>
      </c>
      <c r="W449" s="2" t="s">
        <v>380</v>
      </c>
      <c r="X449" s="2">
        <v>20255154063</v>
      </c>
      <c r="Y449" s="14">
        <v>46021</v>
      </c>
      <c r="Z449" s="14">
        <v>46027</v>
      </c>
      <c r="AA449" s="14">
        <v>45922</v>
      </c>
      <c r="AB449" s="14">
        <v>45935</v>
      </c>
      <c r="AC449" s="14">
        <v>45944</v>
      </c>
      <c r="AD449" s="2" t="s">
        <v>2371</v>
      </c>
      <c r="AE449" s="2" t="s">
        <v>2372</v>
      </c>
      <c r="AF449" s="2">
        <v>19</v>
      </c>
      <c r="AG449" s="2">
        <v>30.67</v>
      </c>
      <c r="AH449" s="2"/>
      <c r="AI449" s="2" t="s">
        <v>180</v>
      </c>
      <c r="AJ449" s="2"/>
      <c r="AK449" s="14">
        <v>45934</v>
      </c>
      <c r="AL449" s="14">
        <v>45934</v>
      </c>
      <c r="AM449" s="14">
        <v>45935</v>
      </c>
      <c r="AN449" s="2"/>
      <c r="AO449" s="2">
        <v>4937101</v>
      </c>
      <c r="AP449" s="14">
        <v>45936</v>
      </c>
      <c r="AQ449" s="14">
        <v>45944</v>
      </c>
      <c r="AR449" s="15" t="s">
        <v>2499</v>
      </c>
      <c r="AS449" s="2"/>
      <c r="AT449" s="44">
        <v>51688</v>
      </c>
      <c r="AV449" s="14">
        <v>46027</v>
      </c>
      <c r="AW449" s="14">
        <v>46027</v>
      </c>
      <c r="AY449" s="2">
        <v>6857955</v>
      </c>
      <c r="AZ449" s="5">
        <v>46035</v>
      </c>
      <c r="BA449" s="1">
        <v>51862690</v>
      </c>
      <c r="BB449" s="2">
        <v>9335284</v>
      </c>
      <c r="BC449" s="5">
        <v>46035</v>
      </c>
      <c r="BD449" s="14">
        <v>46035</v>
      </c>
      <c r="BF449" s="32">
        <v>46036</v>
      </c>
      <c r="BG449" s="5">
        <v>46044</v>
      </c>
      <c r="BH449" s="8" t="s">
        <v>3506</v>
      </c>
      <c r="BI449" s="1" t="s">
        <v>273</v>
      </c>
      <c r="BQ449" s="14">
        <v>46027</v>
      </c>
      <c r="BR449" s="1"/>
    </row>
    <row r="450" spans="1:70" ht="18" customHeight="1" x14ac:dyDescent="0.3">
      <c r="A450" s="2">
        <v>450</v>
      </c>
      <c r="B450" s="2">
        <v>7002895</v>
      </c>
      <c r="C450" s="111">
        <v>45922</v>
      </c>
      <c r="D450" s="2">
        <v>103850</v>
      </c>
      <c r="E450" s="2" t="s">
        <v>840</v>
      </c>
      <c r="F450" s="8" t="s">
        <v>219</v>
      </c>
      <c r="G450" s="8" t="s">
        <v>2585</v>
      </c>
      <c r="H450" s="8" t="s">
        <v>749</v>
      </c>
      <c r="I450" s="83">
        <v>51839</v>
      </c>
      <c r="J450" s="2" t="s">
        <v>142</v>
      </c>
      <c r="K450" s="2" t="s">
        <v>126</v>
      </c>
      <c r="L450" s="2" t="s">
        <v>854</v>
      </c>
      <c r="M450" s="134">
        <v>45957</v>
      </c>
      <c r="N450" s="56" t="s">
        <v>3505</v>
      </c>
      <c r="Q450" s="67">
        <f t="shared" si="52"/>
        <v>2</v>
      </c>
      <c r="R450" s="29">
        <f t="shared" si="49"/>
        <v>85</v>
      </c>
      <c r="T450" s="1"/>
      <c r="U450" s="1" t="s">
        <v>2243</v>
      </c>
      <c r="V450" s="1" t="s">
        <v>844</v>
      </c>
      <c r="W450" s="2" t="s">
        <v>380</v>
      </c>
      <c r="X450" s="2" t="s">
        <v>3216</v>
      </c>
      <c r="Y450" s="14">
        <v>46027</v>
      </c>
      <c r="Z450" s="14">
        <v>46031</v>
      </c>
      <c r="AA450" s="14">
        <v>45957</v>
      </c>
      <c r="AB450" s="14">
        <v>45957</v>
      </c>
      <c r="AC450" s="14">
        <v>45959</v>
      </c>
      <c r="AD450" s="2">
        <v>17604825925</v>
      </c>
      <c r="AE450" s="2" t="s">
        <v>2522</v>
      </c>
      <c r="AF450" s="2">
        <v>4</v>
      </c>
      <c r="AG450" s="2">
        <v>1086</v>
      </c>
      <c r="AH450" s="2"/>
      <c r="AI450" s="2" t="s">
        <v>629</v>
      </c>
      <c r="AJ450" s="2"/>
      <c r="AK450" s="14">
        <v>45954</v>
      </c>
      <c r="AL450" s="14">
        <v>45954</v>
      </c>
      <c r="AM450" s="14">
        <v>45955</v>
      </c>
      <c r="AN450" s="2"/>
      <c r="AO450" s="2">
        <v>5340140</v>
      </c>
      <c r="AP450" s="14">
        <v>45957</v>
      </c>
      <c r="AQ450" s="14">
        <v>45959</v>
      </c>
      <c r="AR450" s="15" t="s">
        <v>2638</v>
      </c>
      <c r="AS450" s="2"/>
      <c r="AT450" s="44">
        <v>51919</v>
      </c>
      <c r="AV450" s="14">
        <v>46028</v>
      </c>
      <c r="AW450" s="14">
        <v>46029</v>
      </c>
      <c r="AY450" s="2">
        <v>6857960</v>
      </c>
      <c r="AZ450" s="5">
        <v>46035</v>
      </c>
      <c r="BA450" s="1">
        <v>9429580</v>
      </c>
      <c r="BB450" s="2">
        <v>1697324</v>
      </c>
      <c r="BC450" s="5">
        <v>46035</v>
      </c>
      <c r="BD450" s="14">
        <v>46035</v>
      </c>
      <c r="BF450" s="32">
        <v>46036</v>
      </c>
      <c r="BG450" s="5">
        <v>46044</v>
      </c>
      <c r="BH450" s="1" t="s">
        <v>3504</v>
      </c>
      <c r="BI450" s="1" t="s">
        <v>273</v>
      </c>
      <c r="BQ450" s="14">
        <v>46029</v>
      </c>
      <c r="BR450" s="1"/>
    </row>
    <row r="451" spans="1:70" ht="18" customHeight="1" x14ac:dyDescent="0.3">
      <c r="A451" s="2">
        <v>451</v>
      </c>
      <c r="B451" s="2">
        <v>6995992</v>
      </c>
      <c r="C451" s="111">
        <v>45923</v>
      </c>
      <c r="D451" s="2">
        <v>51925</v>
      </c>
      <c r="E451" s="2" t="s">
        <v>840</v>
      </c>
      <c r="F451" s="8" t="s">
        <v>219</v>
      </c>
      <c r="G451" s="8" t="s">
        <v>2582</v>
      </c>
      <c r="H451" s="8" t="s">
        <v>446</v>
      </c>
      <c r="I451" s="83">
        <v>52098</v>
      </c>
      <c r="J451" s="2" t="s">
        <v>1631</v>
      </c>
      <c r="K451" s="2" t="s">
        <v>126</v>
      </c>
      <c r="L451" s="2" t="s">
        <v>1632</v>
      </c>
      <c r="M451" s="134">
        <v>45975</v>
      </c>
      <c r="N451" s="56" t="s">
        <v>3509</v>
      </c>
      <c r="Q451" s="67">
        <f t="shared" si="52"/>
        <v>3</v>
      </c>
      <c r="R451" s="29">
        <f t="shared" si="49"/>
        <v>64</v>
      </c>
      <c r="T451" s="1"/>
      <c r="U451" s="1" t="s">
        <v>2698</v>
      </c>
      <c r="V451" s="1" t="s">
        <v>580</v>
      </c>
      <c r="W451" s="1" t="s">
        <v>380</v>
      </c>
      <c r="X451" s="2">
        <v>20255154054</v>
      </c>
      <c r="Y451" s="14">
        <v>46021</v>
      </c>
      <c r="Z451" s="14">
        <v>46027</v>
      </c>
      <c r="AA451" s="14">
        <v>45954</v>
      </c>
      <c r="AB451" s="14">
        <v>45977</v>
      </c>
      <c r="AC451" s="14">
        <v>45980</v>
      </c>
      <c r="AD451" s="2" t="s">
        <v>2701</v>
      </c>
      <c r="AE451" s="2"/>
      <c r="AF451" s="2">
        <v>2</v>
      </c>
      <c r="AG451" s="2">
        <v>2.99</v>
      </c>
      <c r="AH451" s="2"/>
      <c r="AI451" s="2" t="s">
        <v>180</v>
      </c>
      <c r="AJ451" s="2"/>
      <c r="AK451" s="14">
        <v>45974</v>
      </c>
      <c r="AL451" s="14">
        <v>45974</v>
      </c>
      <c r="AM451" s="14">
        <v>45975</v>
      </c>
      <c r="AN451" s="2"/>
      <c r="AO451" s="2">
        <v>5747477</v>
      </c>
      <c r="AP451" s="14">
        <v>45978</v>
      </c>
      <c r="AQ451" s="14">
        <v>45980</v>
      </c>
      <c r="AR451" s="15" t="s">
        <v>2775</v>
      </c>
      <c r="AS451" s="2"/>
      <c r="AT451" s="44">
        <v>52151</v>
      </c>
      <c r="AV451" s="14">
        <v>46027</v>
      </c>
      <c r="AW451" s="14">
        <v>46027</v>
      </c>
      <c r="AY451" s="2">
        <v>6857964</v>
      </c>
      <c r="AZ451" s="5">
        <v>46035</v>
      </c>
      <c r="BA451" s="1">
        <v>4714790</v>
      </c>
      <c r="BB451" s="2">
        <v>848662</v>
      </c>
      <c r="BC451" s="5">
        <v>46035</v>
      </c>
      <c r="BD451" s="14">
        <v>46035</v>
      </c>
      <c r="BF451" s="32">
        <v>46036</v>
      </c>
      <c r="BG451" s="5">
        <v>46044</v>
      </c>
      <c r="BH451" s="1" t="s">
        <v>3508</v>
      </c>
      <c r="BI451" s="1" t="s">
        <v>273</v>
      </c>
      <c r="BQ451" s="14">
        <v>46027</v>
      </c>
      <c r="BR451" s="1"/>
    </row>
    <row r="452" spans="1:70" ht="18" customHeight="1" x14ac:dyDescent="0.3">
      <c r="A452" s="2">
        <v>452</v>
      </c>
      <c r="B452" s="2">
        <v>6995993</v>
      </c>
      <c r="C452" s="111">
        <v>45923</v>
      </c>
      <c r="D452" s="2">
        <v>72695</v>
      </c>
      <c r="E452" s="2" t="s">
        <v>840</v>
      </c>
      <c r="F452" s="8" t="s">
        <v>219</v>
      </c>
      <c r="G452" s="8" t="s">
        <v>2582</v>
      </c>
      <c r="H452" s="8" t="s">
        <v>651</v>
      </c>
      <c r="I452" s="83">
        <v>52099</v>
      </c>
      <c r="J452" s="2" t="s">
        <v>1631</v>
      </c>
      <c r="K452" s="2" t="s">
        <v>126</v>
      </c>
      <c r="L452" s="2" t="s">
        <v>1632</v>
      </c>
      <c r="M452" s="134">
        <v>45975</v>
      </c>
      <c r="N452" s="56" t="s">
        <v>3374</v>
      </c>
      <c r="Q452" s="67">
        <f t="shared" si="52"/>
        <v>3</v>
      </c>
      <c r="R452" s="29">
        <f t="shared" si="49"/>
        <v>64</v>
      </c>
      <c r="T452" s="1"/>
      <c r="U452" s="1" t="s">
        <v>2698</v>
      </c>
      <c r="V452" s="1" t="s">
        <v>580</v>
      </c>
      <c r="W452" s="1" t="s">
        <v>380</v>
      </c>
      <c r="X452" s="2">
        <v>20255154018</v>
      </c>
      <c r="Y452" s="14">
        <v>46021</v>
      </c>
      <c r="Z452" s="14">
        <v>46027</v>
      </c>
      <c r="AA452" s="14">
        <v>45954</v>
      </c>
      <c r="AB452" s="14">
        <v>45977</v>
      </c>
      <c r="AC452" s="14">
        <v>45980</v>
      </c>
      <c r="AD452" s="2" t="s">
        <v>2702</v>
      </c>
      <c r="AE452" s="2"/>
      <c r="AF452" s="2">
        <v>3</v>
      </c>
      <c r="AG452" s="2">
        <v>4.07</v>
      </c>
      <c r="AH452" s="2"/>
      <c r="AI452" s="2" t="s">
        <v>180</v>
      </c>
      <c r="AJ452" s="2"/>
      <c r="AK452" s="14">
        <v>45974</v>
      </c>
      <c r="AL452" s="14">
        <v>45974</v>
      </c>
      <c r="AM452" s="14">
        <v>45975</v>
      </c>
      <c r="AN452" s="2"/>
      <c r="AO452" s="2">
        <v>5747529</v>
      </c>
      <c r="AP452" s="14">
        <v>45978</v>
      </c>
      <c r="AQ452" s="14">
        <v>45980</v>
      </c>
      <c r="AR452" s="15" t="s">
        <v>2774</v>
      </c>
      <c r="AS452" s="2"/>
      <c r="AT452" s="44">
        <v>52153</v>
      </c>
      <c r="AV452" s="14">
        <v>46027</v>
      </c>
      <c r="AW452" s="14">
        <v>46027</v>
      </c>
      <c r="AY452" s="2">
        <v>6858911</v>
      </c>
      <c r="AZ452" s="5">
        <v>46035</v>
      </c>
      <c r="BA452" s="1">
        <v>6600706</v>
      </c>
      <c r="BB452" s="2">
        <v>1188127</v>
      </c>
      <c r="BC452" s="5">
        <v>46035</v>
      </c>
      <c r="BD452" s="14">
        <v>46035</v>
      </c>
      <c r="BF452" s="32">
        <v>46036</v>
      </c>
      <c r="BG452" s="5">
        <v>46044</v>
      </c>
      <c r="BH452" s="1" t="s">
        <v>3508</v>
      </c>
      <c r="BI452" s="1" t="s">
        <v>273</v>
      </c>
      <c r="BQ452" s="14">
        <v>46027</v>
      </c>
      <c r="BR452" s="1"/>
    </row>
    <row r="453" spans="1:70" ht="18" customHeight="1" x14ac:dyDescent="0.3">
      <c r="A453" s="2">
        <v>453</v>
      </c>
      <c r="B453" s="2">
        <v>7054301</v>
      </c>
      <c r="C453" s="111">
        <v>45992</v>
      </c>
      <c r="D453" s="2">
        <v>93080</v>
      </c>
      <c r="E453" s="2" t="s">
        <v>840</v>
      </c>
      <c r="F453" s="8" t="s">
        <v>224</v>
      </c>
      <c r="G453" s="8" t="s">
        <v>2754</v>
      </c>
      <c r="H453" s="8" t="s">
        <v>141</v>
      </c>
      <c r="I453" s="83">
        <v>52432</v>
      </c>
      <c r="J453" s="2" t="s">
        <v>1631</v>
      </c>
      <c r="K453" s="2" t="s">
        <v>126</v>
      </c>
      <c r="L453" s="2" t="s">
        <v>1632</v>
      </c>
      <c r="M453" s="134">
        <v>46009</v>
      </c>
      <c r="N453" s="56" t="s">
        <v>3663</v>
      </c>
      <c r="Q453" s="67">
        <f>AQ453-AB453</f>
        <v>14</v>
      </c>
      <c r="R453" s="29">
        <f>BG453-AC453</f>
        <v>22</v>
      </c>
      <c r="T453" s="1"/>
      <c r="U453" s="1" t="s">
        <v>2867</v>
      </c>
      <c r="V453" s="1" t="s">
        <v>844</v>
      </c>
      <c r="W453" s="2" t="s">
        <v>380</v>
      </c>
      <c r="X453" s="2">
        <v>20255154005</v>
      </c>
      <c r="Y453" s="14">
        <v>46021</v>
      </c>
      <c r="Z453" s="14">
        <v>46027</v>
      </c>
      <c r="AA453" s="14">
        <v>45995</v>
      </c>
      <c r="AB453" s="14">
        <v>46008</v>
      </c>
      <c r="AC453" s="14">
        <v>46022</v>
      </c>
      <c r="AD453" s="2" t="s">
        <v>2869</v>
      </c>
      <c r="AE453" s="2" t="s">
        <v>2870</v>
      </c>
      <c r="AF453" s="2">
        <v>3</v>
      </c>
      <c r="AG453" s="2">
        <v>4.75</v>
      </c>
      <c r="AH453" s="2"/>
      <c r="AI453" s="2" t="s">
        <v>180</v>
      </c>
      <c r="AJ453" s="2"/>
      <c r="AK453" s="14">
        <v>46003</v>
      </c>
      <c r="AL453" s="14">
        <v>46004</v>
      </c>
      <c r="AM453" s="14">
        <v>46006</v>
      </c>
      <c r="AN453" s="2"/>
      <c r="AO453" s="2">
        <v>6376337</v>
      </c>
      <c r="AP453" s="14">
        <v>46009</v>
      </c>
      <c r="AQ453" s="14">
        <v>46022</v>
      </c>
      <c r="AS453" s="2"/>
      <c r="AT453" s="44">
        <v>52506</v>
      </c>
      <c r="AV453" s="14">
        <v>46030</v>
      </c>
      <c r="AW453" s="14">
        <v>46030</v>
      </c>
      <c r="AY453" s="2">
        <v>6857949</v>
      </c>
      <c r="AZ453" s="5">
        <v>46035</v>
      </c>
      <c r="BA453" s="1">
        <v>8451664</v>
      </c>
      <c r="BB453" s="2">
        <v>1521300</v>
      </c>
      <c r="BC453" s="5">
        <v>46035</v>
      </c>
      <c r="BD453" s="14">
        <v>46035</v>
      </c>
      <c r="BF453" s="32">
        <v>46036</v>
      </c>
      <c r="BG453" s="5">
        <v>46044</v>
      </c>
      <c r="BH453" s="1" t="s">
        <v>3504</v>
      </c>
      <c r="BI453" s="1" t="s">
        <v>273</v>
      </c>
      <c r="BQ453" s="14">
        <v>46030</v>
      </c>
      <c r="BR453" s="1"/>
    </row>
    <row r="454" spans="1:70" ht="18" customHeight="1" x14ac:dyDescent="0.3">
      <c r="A454" s="2">
        <v>454</v>
      </c>
      <c r="B454" s="2">
        <v>7060249</v>
      </c>
      <c r="C454" s="111">
        <v>45999</v>
      </c>
      <c r="D454" s="2">
        <v>20770</v>
      </c>
      <c r="E454" s="2" t="s">
        <v>840</v>
      </c>
      <c r="F454" s="8" t="s">
        <v>573</v>
      </c>
      <c r="G454" s="8" t="s">
        <v>2973</v>
      </c>
      <c r="H454" s="8" t="s">
        <v>770</v>
      </c>
      <c r="I454" s="83">
        <v>52530</v>
      </c>
      <c r="J454" s="2" t="s">
        <v>1631</v>
      </c>
      <c r="K454" s="2" t="s">
        <v>126</v>
      </c>
      <c r="L454" s="2" t="s">
        <v>1632</v>
      </c>
      <c r="M454" s="134">
        <v>46013</v>
      </c>
      <c r="N454" s="56" t="s">
        <v>3523</v>
      </c>
      <c r="Q454" s="67">
        <f t="shared" si="52"/>
        <v>9</v>
      </c>
      <c r="R454" s="29">
        <f t="shared" si="49"/>
        <v>23</v>
      </c>
      <c r="T454" s="1"/>
      <c r="U454" s="1" t="s">
        <v>2974</v>
      </c>
      <c r="V454" s="2" t="s">
        <v>2975</v>
      </c>
      <c r="W454" s="2" t="s">
        <v>2976</v>
      </c>
      <c r="X454" s="2">
        <v>20255148301</v>
      </c>
      <c r="Y454" s="14">
        <v>46007</v>
      </c>
      <c r="Z454" s="14">
        <v>46015</v>
      </c>
      <c r="AA454" s="14">
        <v>45997</v>
      </c>
      <c r="AB454" s="14">
        <v>46013</v>
      </c>
      <c r="AC454" s="14">
        <v>46022</v>
      </c>
      <c r="AD454" s="2" t="s">
        <v>2965</v>
      </c>
      <c r="AE454" s="2" t="s">
        <v>2977</v>
      </c>
      <c r="AF454" s="2">
        <v>1</v>
      </c>
      <c r="AG454" s="2">
        <v>1.23</v>
      </c>
      <c r="AH454" s="2"/>
      <c r="AI454" s="2" t="s">
        <v>180</v>
      </c>
      <c r="AJ454" s="2"/>
      <c r="AK454" s="14">
        <v>46012</v>
      </c>
      <c r="AL454" s="14">
        <v>46013</v>
      </c>
      <c r="AM454" s="14">
        <v>46013</v>
      </c>
      <c r="AN454" s="2"/>
      <c r="AO454" s="2">
        <v>6480273</v>
      </c>
      <c r="AP454" s="14">
        <v>46014</v>
      </c>
      <c r="AQ454" s="14">
        <v>46022</v>
      </c>
      <c r="AS454" s="2"/>
      <c r="AT454" s="44">
        <v>52774</v>
      </c>
      <c r="AV454" s="14">
        <v>46031</v>
      </c>
      <c r="AW454" s="14">
        <v>46031</v>
      </c>
      <c r="AY454" s="2">
        <v>6970562</v>
      </c>
      <c r="AZ454" s="5">
        <v>46041</v>
      </c>
      <c r="BA454" s="1">
        <v>1894224</v>
      </c>
      <c r="BB454" s="2">
        <v>340960</v>
      </c>
      <c r="BC454" s="5">
        <v>46041</v>
      </c>
      <c r="BD454" s="14">
        <v>46041</v>
      </c>
      <c r="BF454" s="32">
        <v>46042</v>
      </c>
      <c r="BG454" s="5">
        <v>46045</v>
      </c>
      <c r="BH454" s="1" t="s">
        <v>3527</v>
      </c>
      <c r="BI454" s="1" t="s">
        <v>273</v>
      </c>
      <c r="BQ454" s="14">
        <v>46031</v>
      </c>
      <c r="BR454" s="1"/>
    </row>
    <row r="455" spans="1:70" ht="18" customHeight="1" x14ac:dyDescent="0.3">
      <c r="A455" s="2">
        <v>455</v>
      </c>
      <c r="B455" s="2">
        <v>7067081</v>
      </c>
      <c r="C455" s="111">
        <v>46007</v>
      </c>
      <c r="D455" s="2">
        <v>18616</v>
      </c>
      <c r="E455" s="2" t="s">
        <v>840</v>
      </c>
      <c r="F455" s="8" t="s">
        <v>1382</v>
      </c>
      <c r="G455" s="8" t="s">
        <v>1383</v>
      </c>
      <c r="H455" s="8" t="s">
        <v>2991</v>
      </c>
      <c r="I455" s="83">
        <v>52565</v>
      </c>
      <c r="J455" s="2" t="s">
        <v>142</v>
      </c>
      <c r="K455" s="2" t="s">
        <v>126</v>
      </c>
      <c r="L455" s="2" t="s">
        <v>854</v>
      </c>
      <c r="M455" s="134">
        <v>46018</v>
      </c>
      <c r="N455" s="56" t="s">
        <v>3519</v>
      </c>
      <c r="Q455" s="67">
        <f t="shared" si="52"/>
        <v>3</v>
      </c>
      <c r="R455" s="29">
        <f t="shared" si="49"/>
        <v>24</v>
      </c>
      <c r="T455" s="1"/>
      <c r="U455" s="1" t="s">
        <v>3036</v>
      </c>
      <c r="V455" s="2" t="s">
        <v>3037</v>
      </c>
      <c r="W455" s="2" t="s">
        <v>3038</v>
      </c>
      <c r="X455" s="2">
        <v>20255149920</v>
      </c>
      <c r="Y455" s="14">
        <v>46011</v>
      </c>
      <c r="Z455" s="14">
        <v>46017</v>
      </c>
      <c r="AA455" s="14">
        <v>46018</v>
      </c>
      <c r="AB455" s="14">
        <v>46018</v>
      </c>
      <c r="AC455" s="14">
        <v>46021</v>
      </c>
      <c r="AD455" s="2">
        <v>17621173670</v>
      </c>
      <c r="AE455" s="2" t="s">
        <v>3039</v>
      </c>
      <c r="AF455" s="2">
        <v>1</v>
      </c>
      <c r="AG455" s="2">
        <v>222.5</v>
      </c>
      <c r="AH455" s="2"/>
      <c r="AI455" s="2" t="s">
        <v>180</v>
      </c>
      <c r="AJ455" s="2"/>
      <c r="AK455" s="14">
        <v>46014</v>
      </c>
      <c r="AL455" s="14">
        <v>46015</v>
      </c>
      <c r="AM455" s="14">
        <v>46018</v>
      </c>
      <c r="AN455" s="2"/>
      <c r="AO455" s="2">
        <v>6566712</v>
      </c>
      <c r="AP455" s="14">
        <v>46018</v>
      </c>
      <c r="AQ455" s="14">
        <v>46021</v>
      </c>
      <c r="AR455" s="15" t="s">
        <v>3262</v>
      </c>
      <c r="AS455" s="2"/>
      <c r="AT455" s="44">
        <v>52659</v>
      </c>
      <c r="AV455" s="14">
        <v>46022</v>
      </c>
      <c r="AW455" s="14">
        <v>46024</v>
      </c>
      <c r="AY455" s="2">
        <v>6760302</v>
      </c>
      <c r="AZ455" s="5">
        <v>46030</v>
      </c>
      <c r="BA455" s="1">
        <v>1690333</v>
      </c>
      <c r="BB455" s="2">
        <v>304260</v>
      </c>
      <c r="BC455" s="5">
        <v>46030</v>
      </c>
      <c r="BD455" s="14">
        <v>46030</v>
      </c>
      <c r="BF455" s="32">
        <v>46031</v>
      </c>
      <c r="BG455" s="5">
        <v>46045</v>
      </c>
      <c r="BH455" s="1" t="s">
        <v>3518</v>
      </c>
      <c r="BI455" s="1" t="s">
        <v>273</v>
      </c>
      <c r="BQ455" s="14">
        <v>46024</v>
      </c>
      <c r="BR455" s="5">
        <v>46028</v>
      </c>
    </row>
    <row r="456" spans="1:70" ht="18" customHeight="1" x14ac:dyDescent="0.3">
      <c r="A456" s="2">
        <v>456</v>
      </c>
      <c r="B456" s="8" t="s">
        <v>3167</v>
      </c>
      <c r="C456" s="8" t="s">
        <v>3168</v>
      </c>
      <c r="D456" s="8" t="s">
        <v>3169</v>
      </c>
      <c r="E456" s="2" t="s">
        <v>840</v>
      </c>
      <c r="F456" s="8" t="s">
        <v>1369</v>
      </c>
      <c r="G456" s="8" t="s">
        <v>1406</v>
      </c>
      <c r="H456" s="8" t="s">
        <v>3170</v>
      </c>
      <c r="I456" s="83">
        <v>52682</v>
      </c>
      <c r="J456" s="2" t="s">
        <v>1631</v>
      </c>
      <c r="K456" s="2" t="s">
        <v>126</v>
      </c>
      <c r="L456" s="2" t="s">
        <v>1632</v>
      </c>
      <c r="M456" s="134">
        <v>46026</v>
      </c>
      <c r="N456" s="56" t="s">
        <v>3525</v>
      </c>
      <c r="Q456" s="67">
        <f t="shared" si="52"/>
        <v>9</v>
      </c>
      <c r="R456" s="29">
        <f t="shared" si="49"/>
        <v>10</v>
      </c>
      <c r="T456" s="1"/>
      <c r="U456" s="8" t="s">
        <v>3171</v>
      </c>
      <c r="V456" s="2" t="s">
        <v>2975</v>
      </c>
      <c r="W456" s="2" t="s">
        <v>2976</v>
      </c>
      <c r="X456" s="2">
        <v>20255151714</v>
      </c>
      <c r="Y456" s="14">
        <v>46016</v>
      </c>
      <c r="Z456" s="14">
        <v>46027</v>
      </c>
      <c r="AA456" s="14">
        <v>46007</v>
      </c>
      <c r="AB456" s="14">
        <v>46026</v>
      </c>
      <c r="AC456" s="14">
        <v>46035</v>
      </c>
      <c r="AD456" s="2" t="s">
        <v>3172</v>
      </c>
      <c r="AE456" s="2" t="s">
        <v>3173</v>
      </c>
      <c r="AF456" s="2">
        <v>10</v>
      </c>
      <c r="AG456" s="2">
        <v>16.68</v>
      </c>
      <c r="AH456" s="2"/>
      <c r="AI456" s="2" t="s">
        <v>180</v>
      </c>
      <c r="AJ456" s="2"/>
      <c r="AK456" s="14">
        <v>46022</v>
      </c>
      <c r="AL456" s="14">
        <v>46023</v>
      </c>
      <c r="AM456" s="14">
        <v>46024</v>
      </c>
      <c r="AN456" s="2"/>
      <c r="AO456" s="2">
        <v>6711669</v>
      </c>
      <c r="AP456" s="14">
        <v>46027</v>
      </c>
      <c r="AQ456" s="14">
        <v>46035</v>
      </c>
      <c r="AS456" s="2"/>
      <c r="AT456" s="44">
        <v>52864</v>
      </c>
      <c r="AV456" s="14">
        <v>46036</v>
      </c>
      <c r="AW456" s="14">
        <v>46037</v>
      </c>
      <c r="AY456" s="2">
        <v>6969948</v>
      </c>
      <c r="AZ456" s="5">
        <v>46041</v>
      </c>
      <c r="BA456" s="1">
        <v>29711136</v>
      </c>
      <c r="BB456" s="2">
        <v>5348004</v>
      </c>
      <c r="BC456" s="5">
        <v>46041</v>
      </c>
      <c r="BD456" s="14">
        <v>46041</v>
      </c>
      <c r="BF456" s="32">
        <v>46042</v>
      </c>
      <c r="BG456" s="5">
        <v>46045</v>
      </c>
      <c r="BH456" s="1" t="s">
        <v>3527</v>
      </c>
      <c r="BI456" s="1" t="s">
        <v>273</v>
      </c>
      <c r="BQ456" s="14">
        <v>46036</v>
      </c>
      <c r="BR456" s="5">
        <v>46037</v>
      </c>
    </row>
    <row r="457" spans="1:70" ht="18" customHeight="1" x14ac:dyDescent="0.3">
      <c r="A457" s="2">
        <v>457</v>
      </c>
      <c r="B457" s="8" t="s">
        <v>3207</v>
      </c>
      <c r="C457" s="8" t="s">
        <v>3168</v>
      </c>
      <c r="D457" s="8" t="s">
        <v>3174</v>
      </c>
      <c r="E457" s="2" t="s">
        <v>840</v>
      </c>
      <c r="F457" s="8" t="s">
        <v>1369</v>
      </c>
      <c r="G457" s="8" t="s">
        <v>1406</v>
      </c>
      <c r="H457" s="8" t="s">
        <v>3175</v>
      </c>
      <c r="I457" s="83">
        <v>52683</v>
      </c>
      <c r="J457" s="2" t="s">
        <v>1631</v>
      </c>
      <c r="K457" s="2" t="s">
        <v>126</v>
      </c>
      <c r="L457" s="2" t="s">
        <v>1632</v>
      </c>
      <c r="M457" s="134">
        <v>46026</v>
      </c>
      <c r="N457" s="56" t="s">
        <v>3524</v>
      </c>
      <c r="Q457" s="67">
        <f t="shared" si="52"/>
        <v>9</v>
      </c>
      <c r="R457" s="29">
        <f t="shared" si="49"/>
        <v>10</v>
      </c>
      <c r="T457" s="1">
        <v>1413</v>
      </c>
      <c r="U457" s="8" t="s">
        <v>3171</v>
      </c>
      <c r="V457" s="2" t="s">
        <v>2975</v>
      </c>
      <c r="W457" s="2" t="s">
        <v>2976</v>
      </c>
      <c r="X457" s="2">
        <v>20255151713</v>
      </c>
      <c r="Y457" s="14">
        <v>46016</v>
      </c>
      <c r="Z457" s="14">
        <v>46027</v>
      </c>
      <c r="AA457" s="14">
        <v>46007</v>
      </c>
      <c r="AB457" s="14">
        <v>46026</v>
      </c>
      <c r="AC457" s="14">
        <v>46035</v>
      </c>
      <c r="AD457" s="2" t="s">
        <v>3172</v>
      </c>
      <c r="AE457" s="2" t="s">
        <v>3176</v>
      </c>
      <c r="AF457" s="2">
        <v>7</v>
      </c>
      <c r="AG457" s="2">
        <v>10.78</v>
      </c>
      <c r="AH457" s="2"/>
      <c r="AI457" s="2" t="s">
        <v>180</v>
      </c>
      <c r="AJ457" s="2"/>
      <c r="AK457" s="14">
        <v>46022</v>
      </c>
      <c r="AL457" s="14">
        <v>46023</v>
      </c>
      <c r="AM457" s="14">
        <v>46024</v>
      </c>
      <c r="AN457" s="2"/>
      <c r="AO457" s="2">
        <v>6713256</v>
      </c>
      <c r="AP457" s="14">
        <v>46027</v>
      </c>
      <c r="AQ457" s="14">
        <v>46035</v>
      </c>
      <c r="AS457" s="2"/>
      <c r="AT457" s="44">
        <v>52791</v>
      </c>
      <c r="AV457" s="14">
        <v>46031</v>
      </c>
      <c r="AW457" s="14">
        <v>46034</v>
      </c>
      <c r="AY457" s="132">
        <v>6969947</v>
      </c>
      <c r="AZ457" s="5">
        <v>46041</v>
      </c>
      <c r="BA457" s="1">
        <v>19100016</v>
      </c>
      <c r="BB457" s="2">
        <v>3438003</v>
      </c>
      <c r="BC457" s="5">
        <v>46041</v>
      </c>
      <c r="BD457" s="14">
        <v>46042</v>
      </c>
      <c r="BF457" s="32">
        <v>46043</v>
      </c>
      <c r="BG457" s="5">
        <v>46045</v>
      </c>
      <c r="BH457" s="1" t="s">
        <v>3527</v>
      </c>
      <c r="BI457" s="1" t="s">
        <v>273</v>
      </c>
      <c r="BQ457" s="14">
        <v>46034</v>
      </c>
      <c r="BR457" s="5">
        <v>46034</v>
      </c>
    </row>
    <row r="458" spans="1:70" ht="18" customHeight="1" x14ac:dyDescent="0.3">
      <c r="A458" s="2">
        <v>458</v>
      </c>
      <c r="B458" s="8" t="s">
        <v>3177</v>
      </c>
      <c r="C458" s="8" t="s">
        <v>3178</v>
      </c>
      <c r="D458" s="8" t="s">
        <v>3179</v>
      </c>
      <c r="E458" s="2" t="s">
        <v>840</v>
      </c>
      <c r="F458" s="8" t="s">
        <v>3180</v>
      </c>
      <c r="G458" s="8" t="s">
        <v>2042</v>
      </c>
      <c r="H458" s="8" t="s">
        <v>3181</v>
      </c>
      <c r="I458" s="83">
        <v>52685</v>
      </c>
      <c r="J458" s="2" t="s">
        <v>1631</v>
      </c>
      <c r="K458" s="2" t="s">
        <v>126</v>
      </c>
      <c r="L458" s="2" t="s">
        <v>1632</v>
      </c>
      <c r="M458" s="134">
        <v>46026</v>
      </c>
      <c r="N458" s="56" t="s">
        <v>3520</v>
      </c>
      <c r="Q458" s="67">
        <f t="shared" si="52"/>
        <v>9</v>
      </c>
      <c r="R458" s="29">
        <f t="shared" si="49"/>
        <v>10</v>
      </c>
      <c r="T458" s="1"/>
      <c r="U458" s="8" t="s">
        <v>3182</v>
      </c>
      <c r="V458" s="2" t="s">
        <v>3037</v>
      </c>
      <c r="W458" s="2" t="s">
        <v>3038</v>
      </c>
      <c r="X458" s="2">
        <v>20255151709</v>
      </c>
      <c r="Y458" s="14">
        <v>46016</v>
      </c>
      <c r="Z458" s="14">
        <v>46027</v>
      </c>
      <c r="AA458" s="14">
        <v>46007</v>
      </c>
      <c r="AB458" s="14">
        <v>46026</v>
      </c>
      <c r="AC458" s="14">
        <v>46035</v>
      </c>
      <c r="AD458" s="2" t="s">
        <v>3172</v>
      </c>
      <c r="AE458" s="2" t="s">
        <v>3183</v>
      </c>
      <c r="AF458" s="2">
        <v>4</v>
      </c>
      <c r="AG458" s="2">
        <v>5.0999999999999996</v>
      </c>
      <c r="AH458" s="2"/>
      <c r="AI458" s="2" t="s">
        <v>180</v>
      </c>
      <c r="AJ458" s="2"/>
      <c r="AK458" s="14">
        <v>46022</v>
      </c>
      <c r="AL458" s="14">
        <v>46023</v>
      </c>
      <c r="AM458" s="14">
        <v>46024</v>
      </c>
      <c r="AN458" s="2"/>
      <c r="AO458" s="2">
        <v>6714151</v>
      </c>
      <c r="AP458" s="14">
        <v>46027</v>
      </c>
      <c r="AQ458" s="14">
        <v>46035</v>
      </c>
      <c r="AS458" s="2"/>
      <c r="AT458" s="44">
        <v>52798</v>
      </c>
      <c r="AV458" s="14">
        <v>46031</v>
      </c>
      <c r="AW458" s="14">
        <v>46034</v>
      </c>
      <c r="AY458" s="2">
        <v>6969950</v>
      </c>
      <c r="AZ458" s="5">
        <v>46041</v>
      </c>
      <c r="BA458" s="1">
        <v>7275206</v>
      </c>
      <c r="BB458" s="2">
        <v>1309537</v>
      </c>
      <c r="BC458" s="5">
        <v>46041</v>
      </c>
      <c r="BD458" s="14">
        <v>46041</v>
      </c>
      <c r="BF458" s="32">
        <v>46042</v>
      </c>
      <c r="BG458" s="5">
        <v>46045</v>
      </c>
      <c r="BH458" s="1" t="s">
        <v>3518</v>
      </c>
      <c r="BI458" s="1" t="s">
        <v>273</v>
      </c>
      <c r="BQ458" s="2"/>
      <c r="BR458" s="1"/>
    </row>
    <row r="459" spans="1:70" ht="18" customHeight="1" x14ac:dyDescent="0.3">
      <c r="A459" s="2">
        <v>459</v>
      </c>
      <c r="B459" s="2">
        <v>7065175</v>
      </c>
      <c r="C459" s="111">
        <v>46013</v>
      </c>
      <c r="D459" s="2">
        <v>23270</v>
      </c>
      <c r="E459" s="2" t="s">
        <v>840</v>
      </c>
      <c r="F459" s="8" t="s">
        <v>224</v>
      </c>
      <c r="G459" s="8" t="s">
        <v>3192</v>
      </c>
      <c r="H459" s="8" t="s">
        <v>770</v>
      </c>
      <c r="I459" s="83">
        <v>52705</v>
      </c>
      <c r="J459" s="2" t="s">
        <v>142</v>
      </c>
      <c r="K459" s="2" t="s">
        <v>126</v>
      </c>
      <c r="L459" s="2" t="s">
        <v>854</v>
      </c>
      <c r="M459" s="134">
        <v>46026</v>
      </c>
      <c r="N459" s="56" t="s">
        <v>3521</v>
      </c>
      <c r="Q459" s="67">
        <f t="shared" ref="Q459:Q461" si="53">AQ459-AB459</f>
        <v>3</v>
      </c>
      <c r="R459" s="29">
        <f t="shared" si="49"/>
        <v>16</v>
      </c>
      <c r="T459" s="1"/>
      <c r="U459" s="1" t="s">
        <v>3193</v>
      </c>
      <c r="V459" s="2" t="s">
        <v>3037</v>
      </c>
      <c r="W459" s="2" t="s">
        <v>3038</v>
      </c>
      <c r="X459" s="2">
        <v>20255153751</v>
      </c>
      <c r="Y459" s="14">
        <v>46021</v>
      </c>
      <c r="Z459" s="14">
        <v>46027</v>
      </c>
      <c r="AA459" s="14">
        <v>46026</v>
      </c>
      <c r="AB459" s="14">
        <v>46026</v>
      </c>
      <c r="AC459" s="14">
        <v>46029</v>
      </c>
      <c r="AD459" s="2">
        <v>23210616270</v>
      </c>
      <c r="AE459" s="2" t="s">
        <v>3194</v>
      </c>
      <c r="AF459" s="2">
        <v>1</v>
      </c>
      <c r="AG459" s="2">
        <v>205.5</v>
      </c>
      <c r="AH459" s="2"/>
      <c r="AI459" s="2" t="s">
        <v>180</v>
      </c>
      <c r="AJ459" s="2"/>
      <c r="AK459" s="14">
        <v>46024</v>
      </c>
      <c r="AL459" s="14">
        <v>46024</v>
      </c>
      <c r="AM459" s="14">
        <v>46025</v>
      </c>
      <c r="AN459" s="2"/>
      <c r="AO459" s="2">
        <v>6709949</v>
      </c>
      <c r="AP459" s="14">
        <v>46027</v>
      </c>
      <c r="AQ459" s="14">
        <v>46029</v>
      </c>
      <c r="AS459" s="2"/>
      <c r="AT459" s="44">
        <v>52775</v>
      </c>
      <c r="AV459" s="14">
        <v>46031</v>
      </c>
      <c r="AW459" s="14">
        <v>46031</v>
      </c>
      <c r="AY459" s="2">
        <v>6857952</v>
      </c>
      <c r="AZ459" s="5">
        <v>46035</v>
      </c>
      <c r="BA459" s="1">
        <v>2112916</v>
      </c>
      <c r="BB459" s="2">
        <v>380325</v>
      </c>
      <c r="BC459" s="5">
        <v>46035</v>
      </c>
      <c r="BD459" s="14">
        <v>46035</v>
      </c>
      <c r="BF459" s="32">
        <v>46036</v>
      </c>
      <c r="BG459" s="5">
        <v>46045</v>
      </c>
      <c r="BH459" s="1" t="s">
        <v>3518</v>
      </c>
      <c r="BI459" s="1" t="s">
        <v>273</v>
      </c>
      <c r="BQ459" s="14">
        <v>46031</v>
      </c>
      <c r="BR459" s="1"/>
    </row>
    <row r="460" spans="1:70" ht="18" customHeight="1" x14ac:dyDescent="0.3">
      <c r="A460" s="2">
        <v>460</v>
      </c>
      <c r="B460" s="2">
        <v>7065174</v>
      </c>
      <c r="C460" s="111">
        <v>46001</v>
      </c>
      <c r="D460" s="2">
        <v>20770</v>
      </c>
      <c r="E460" s="2" t="s">
        <v>840</v>
      </c>
      <c r="F460" s="8" t="s">
        <v>219</v>
      </c>
      <c r="G460" s="8" t="s">
        <v>3228</v>
      </c>
      <c r="H460" s="8" t="s">
        <v>770</v>
      </c>
      <c r="I460" s="83">
        <v>52757</v>
      </c>
      <c r="J460" s="2" t="s">
        <v>142</v>
      </c>
      <c r="K460" s="2" t="s">
        <v>126</v>
      </c>
      <c r="L460" s="2" t="s">
        <v>854</v>
      </c>
      <c r="M460" s="134">
        <v>46029</v>
      </c>
      <c r="N460" s="56" t="s">
        <v>3522</v>
      </c>
      <c r="Q460" s="67">
        <f t="shared" si="53"/>
        <v>5</v>
      </c>
      <c r="R460" s="29">
        <f t="shared" si="49"/>
        <v>11</v>
      </c>
      <c r="T460" s="1"/>
      <c r="U460" s="1" t="s">
        <v>3229</v>
      </c>
      <c r="V460" s="2" t="s">
        <v>3037</v>
      </c>
      <c r="W460" s="2" t="s">
        <v>3038</v>
      </c>
      <c r="X460" s="2">
        <v>20265000543</v>
      </c>
      <c r="Y460" s="14">
        <v>46024</v>
      </c>
      <c r="Z460" s="14">
        <v>46043</v>
      </c>
      <c r="AA460" s="14">
        <v>46029</v>
      </c>
      <c r="AB460" s="14">
        <v>46029</v>
      </c>
      <c r="AC460" s="14">
        <v>46034</v>
      </c>
      <c r="AD460" s="2">
        <v>17621172944</v>
      </c>
      <c r="AE460" s="2" t="s">
        <v>3230</v>
      </c>
      <c r="AF460" s="2">
        <v>1</v>
      </c>
      <c r="AG460" s="2">
        <v>194</v>
      </c>
      <c r="AH460" s="2"/>
      <c r="AI460" s="2" t="s">
        <v>180</v>
      </c>
      <c r="AJ460" s="2"/>
      <c r="AK460" s="14">
        <v>46028</v>
      </c>
      <c r="AL460" s="14">
        <v>46028</v>
      </c>
      <c r="AM460" s="14">
        <v>46029</v>
      </c>
      <c r="AN460" s="2"/>
      <c r="AO460" s="2">
        <v>6767389</v>
      </c>
      <c r="AP460" s="14">
        <v>46030</v>
      </c>
      <c r="AQ460" s="14">
        <v>46034</v>
      </c>
      <c r="AS460" s="2"/>
      <c r="AT460" s="44">
        <v>52815</v>
      </c>
      <c r="AV460" s="14">
        <v>46032</v>
      </c>
      <c r="AW460" s="14">
        <v>46036</v>
      </c>
      <c r="AY460" s="2">
        <v>6993215</v>
      </c>
      <c r="AZ460" s="5">
        <v>46042</v>
      </c>
      <c r="BA460" s="1">
        <v>1894224</v>
      </c>
      <c r="BB460" s="2">
        <v>340960</v>
      </c>
      <c r="BC460" s="5">
        <v>46042</v>
      </c>
      <c r="BD460" s="14">
        <v>46042</v>
      </c>
      <c r="BF460" s="32">
        <v>46044</v>
      </c>
      <c r="BG460" s="5">
        <v>46045</v>
      </c>
      <c r="BH460" s="1" t="s">
        <v>3518</v>
      </c>
      <c r="BI460" s="1" t="s">
        <v>273</v>
      </c>
      <c r="BQ460" s="14">
        <v>46036</v>
      </c>
      <c r="BR460" s="5">
        <v>46041</v>
      </c>
    </row>
    <row r="461" spans="1:70" ht="18" customHeight="1" x14ac:dyDescent="0.3">
      <c r="A461" s="2">
        <v>461</v>
      </c>
      <c r="B461" s="8" t="s">
        <v>3244</v>
      </c>
      <c r="C461" s="8" t="s">
        <v>3245</v>
      </c>
      <c r="D461" s="8" t="s">
        <v>3246</v>
      </c>
      <c r="E461" s="2" t="s">
        <v>840</v>
      </c>
      <c r="F461" s="8" t="s">
        <v>2120</v>
      </c>
      <c r="G461" s="8" t="s">
        <v>2121</v>
      </c>
      <c r="H461" s="8" t="s">
        <v>3247</v>
      </c>
      <c r="I461" s="83">
        <v>52766</v>
      </c>
      <c r="J461" s="2" t="s">
        <v>142</v>
      </c>
      <c r="K461" s="2" t="s">
        <v>126</v>
      </c>
      <c r="L461" s="2" t="s">
        <v>854</v>
      </c>
      <c r="M461" s="134">
        <v>46030</v>
      </c>
      <c r="N461" s="56" t="s">
        <v>3526</v>
      </c>
      <c r="Q461" s="67">
        <f t="shared" si="53"/>
        <v>5</v>
      </c>
      <c r="R461" s="29">
        <f t="shared" si="49"/>
        <v>10</v>
      </c>
      <c r="T461" s="1">
        <v>1099</v>
      </c>
      <c r="U461" s="8" t="s">
        <v>3248</v>
      </c>
      <c r="V461" s="2" t="s">
        <v>2975</v>
      </c>
      <c r="W461" s="2" t="s">
        <v>2976</v>
      </c>
      <c r="X461" s="2">
        <v>20265002451</v>
      </c>
      <c r="Y461" s="14">
        <v>46029</v>
      </c>
      <c r="Z461" s="14">
        <v>46034</v>
      </c>
      <c r="AA461" s="14">
        <v>46030</v>
      </c>
      <c r="AB461" s="14">
        <v>46030</v>
      </c>
      <c r="AC461" s="14">
        <v>46035</v>
      </c>
      <c r="AD461" s="2">
        <v>61849698670</v>
      </c>
      <c r="AE461" s="2" t="s">
        <v>3249</v>
      </c>
      <c r="AF461" s="2">
        <v>6</v>
      </c>
      <c r="AG461" s="2">
        <v>1423</v>
      </c>
      <c r="AH461" s="2"/>
      <c r="AI461" s="2" t="s">
        <v>180</v>
      </c>
      <c r="AJ461" s="2"/>
      <c r="AK461" s="14">
        <v>46029</v>
      </c>
      <c r="AL461" s="14">
        <v>46029</v>
      </c>
      <c r="AM461" s="14">
        <v>46030</v>
      </c>
      <c r="AN461" s="2"/>
      <c r="AO461" s="2">
        <v>6792484</v>
      </c>
      <c r="AP461" s="14">
        <v>46031</v>
      </c>
      <c r="AQ461" s="14">
        <v>46035</v>
      </c>
      <c r="AS461" s="2"/>
      <c r="AT461" s="44">
        <v>52861</v>
      </c>
      <c r="AV461" s="14">
        <v>46036</v>
      </c>
      <c r="AW461" s="14">
        <v>46037</v>
      </c>
      <c r="AY461" s="2">
        <v>6969951</v>
      </c>
      <c r="AZ461" s="5">
        <v>46041</v>
      </c>
      <c r="BA461" s="1">
        <v>14855568</v>
      </c>
      <c r="BB461" s="2">
        <v>2674002</v>
      </c>
      <c r="BC461" s="5">
        <v>46041</v>
      </c>
      <c r="BD461" s="14">
        <v>46042</v>
      </c>
      <c r="BF461" s="32">
        <v>46043</v>
      </c>
      <c r="BG461" s="5">
        <v>46045</v>
      </c>
      <c r="BH461" s="1" t="s">
        <v>3527</v>
      </c>
      <c r="BI461" s="1" t="s">
        <v>273</v>
      </c>
      <c r="BQ461" s="14">
        <v>46037</v>
      </c>
      <c r="BR461" s="5">
        <v>46037</v>
      </c>
    </row>
    <row r="462" spans="1:70" ht="18" customHeight="1" x14ac:dyDescent="0.3">
      <c r="A462" s="2">
        <v>462</v>
      </c>
      <c r="B462" s="2">
        <v>7071216</v>
      </c>
      <c r="C462" s="111" t="s">
        <v>3208</v>
      </c>
      <c r="D462" s="2">
        <v>55848</v>
      </c>
      <c r="E462" s="2" t="s">
        <v>840</v>
      </c>
      <c r="F462" s="8" t="s">
        <v>1382</v>
      </c>
      <c r="G462" s="8" t="s">
        <v>1383</v>
      </c>
      <c r="H462" s="8" t="s">
        <v>423</v>
      </c>
      <c r="I462" s="83">
        <v>52731</v>
      </c>
      <c r="J462" s="2" t="s">
        <v>142</v>
      </c>
      <c r="K462" s="2" t="s">
        <v>126</v>
      </c>
      <c r="L462" s="2" t="s">
        <v>854</v>
      </c>
      <c r="M462" s="134">
        <v>46027</v>
      </c>
      <c r="N462" s="56" t="s">
        <v>3648</v>
      </c>
      <c r="O462" s="1">
        <v>1962.72</v>
      </c>
      <c r="Q462" s="67">
        <f t="shared" ref="Q462:Q479" si="54">AQ462-AB462</f>
        <v>4</v>
      </c>
      <c r="R462" s="29">
        <f t="shared" si="49"/>
        <v>15</v>
      </c>
      <c r="T462" s="1"/>
      <c r="U462" s="2" t="s">
        <v>3209</v>
      </c>
      <c r="V462" s="1" t="s">
        <v>626</v>
      </c>
      <c r="W462" s="1" t="s">
        <v>627</v>
      </c>
      <c r="X462" s="2">
        <v>20265000523</v>
      </c>
      <c r="Y462" s="2" t="s">
        <v>3226</v>
      </c>
      <c r="Z462" s="14">
        <v>46031</v>
      </c>
      <c r="AA462" s="14">
        <v>46027</v>
      </c>
      <c r="AB462" s="14">
        <v>46027</v>
      </c>
      <c r="AC462" s="14">
        <v>46031</v>
      </c>
      <c r="AD462" s="2">
        <v>17621570054</v>
      </c>
      <c r="AE462" s="2" t="s">
        <v>3210</v>
      </c>
      <c r="AF462" s="2">
        <v>2</v>
      </c>
      <c r="AG462" s="2">
        <v>498</v>
      </c>
      <c r="AH462" s="2"/>
      <c r="AI462" s="2" t="s">
        <v>180</v>
      </c>
      <c r="AJ462" s="2"/>
      <c r="AK462" s="14">
        <v>46027</v>
      </c>
      <c r="AL462" s="14">
        <v>46027</v>
      </c>
      <c r="AM462" s="14">
        <v>46028</v>
      </c>
      <c r="AN462" s="2"/>
      <c r="AO462" s="2">
        <v>6728826</v>
      </c>
      <c r="AP462" s="14">
        <v>46028</v>
      </c>
      <c r="AQ462" s="14">
        <v>46031</v>
      </c>
      <c r="AS462" s="2"/>
      <c r="AT462" s="44">
        <v>52803</v>
      </c>
      <c r="AV462" s="14">
        <v>46031</v>
      </c>
      <c r="AW462" s="14">
        <v>46034</v>
      </c>
      <c r="AY462" s="2">
        <v>7038701</v>
      </c>
      <c r="AZ462" s="5">
        <v>46044</v>
      </c>
      <c r="BA462" s="1">
        <v>5093338</v>
      </c>
      <c r="BB462" s="2">
        <v>916801</v>
      </c>
      <c r="BC462" s="5">
        <v>46044</v>
      </c>
      <c r="BD462" s="14">
        <v>46044</v>
      </c>
      <c r="BF462" s="32">
        <v>46045</v>
      </c>
      <c r="BG462" s="5">
        <v>46046</v>
      </c>
      <c r="BH462" s="1" t="s">
        <v>3647</v>
      </c>
      <c r="BI462" s="1" t="s">
        <v>282</v>
      </c>
      <c r="BQ462" s="14">
        <v>46034</v>
      </c>
      <c r="BR462" s="5">
        <v>46043</v>
      </c>
    </row>
    <row r="463" spans="1:70" ht="18" customHeight="1" x14ac:dyDescent="0.3">
      <c r="A463" s="2">
        <v>463</v>
      </c>
      <c r="B463" s="2">
        <v>7072132</v>
      </c>
      <c r="C463" s="111">
        <v>46014</v>
      </c>
      <c r="D463" s="2">
        <v>13962</v>
      </c>
      <c r="E463" s="2" t="s">
        <v>840</v>
      </c>
      <c r="F463" s="8" t="s">
        <v>1382</v>
      </c>
      <c r="G463" s="8" t="s">
        <v>1383</v>
      </c>
      <c r="H463" s="8" t="s">
        <v>575</v>
      </c>
      <c r="I463" s="83">
        <v>52756</v>
      </c>
      <c r="J463" s="2" t="s">
        <v>142</v>
      </c>
      <c r="K463" s="2" t="s">
        <v>126</v>
      </c>
      <c r="L463" s="2" t="s">
        <v>854</v>
      </c>
      <c r="M463" s="134">
        <v>46029</v>
      </c>
      <c r="N463" s="56" t="s">
        <v>3649</v>
      </c>
      <c r="Q463" s="67">
        <f t="shared" si="54"/>
        <v>5</v>
      </c>
      <c r="R463" s="29">
        <f t="shared" si="49"/>
        <v>12</v>
      </c>
      <c r="T463" s="1"/>
      <c r="U463" s="2" t="s">
        <v>3209</v>
      </c>
      <c r="V463" s="1" t="s">
        <v>626</v>
      </c>
      <c r="W463" s="1" t="s">
        <v>627</v>
      </c>
      <c r="X463" s="2">
        <v>20265000161</v>
      </c>
      <c r="Y463" s="14">
        <v>46024</v>
      </c>
      <c r="Z463" s="14">
        <v>46031</v>
      </c>
      <c r="AA463" s="14">
        <v>46029</v>
      </c>
      <c r="AB463" s="14">
        <v>46029</v>
      </c>
      <c r="AC463" s="14">
        <v>46034</v>
      </c>
      <c r="AD463" s="2">
        <v>17621172944</v>
      </c>
      <c r="AE463" s="2" t="s">
        <v>3227</v>
      </c>
      <c r="AF463" s="2">
        <v>1</v>
      </c>
      <c r="AG463" s="2">
        <v>125</v>
      </c>
      <c r="AH463" s="2"/>
      <c r="AI463" s="2" t="s">
        <v>180</v>
      </c>
      <c r="AJ463" s="2"/>
      <c r="AK463" s="14">
        <v>46028</v>
      </c>
      <c r="AL463" s="14">
        <v>46028</v>
      </c>
      <c r="AM463" s="14">
        <v>46029</v>
      </c>
      <c r="AN463" s="2"/>
      <c r="AO463" s="2">
        <v>6767439</v>
      </c>
      <c r="AP463" s="14">
        <v>46030</v>
      </c>
      <c r="AQ463" s="14">
        <v>46034</v>
      </c>
      <c r="AS463" s="2"/>
      <c r="AT463" s="44">
        <v>52806</v>
      </c>
      <c r="AV463" s="14">
        <v>46032</v>
      </c>
      <c r="AW463" s="14">
        <v>46034</v>
      </c>
      <c r="AY463" s="2">
        <v>7038697</v>
      </c>
      <c r="AZ463" s="5">
        <v>46044</v>
      </c>
      <c r="BA463" s="1">
        <v>1273334</v>
      </c>
      <c r="BB463" s="2">
        <v>229200</v>
      </c>
      <c r="BC463" s="5">
        <v>46044</v>
      </c>
      <c r="BD463" s="14">
        <v>46044</v>
      </c>
      <c r="BF463" s="32">
        <v>46045</v>
      </c>
      <c r="BG463" s="5">
        <v>46046</v>
      </c>
      <c r="BH463" s="1" t="s">
        <v>3647</v>
      </c>
      <c r="BI463" s="1" t="s">
        <v>282</v>
      </c>
      <c r="BQ463" s="14">
        <v>46034</v>
      </c>
      <c r="BR463" s="5">
        <v>46043</v>
      </c>
    </row>
    <row r="464" spans="1:70" ht="18" customHeight="1" x14ac:dyDescent="0.3">
      <c r="A464" s="2">
        <v>464</v>
      </c>
      <c r="B464" s="2">
        <v>1024044</v>
      </c>
      <c r="C464" s="111">
        <v>46006</v>
      </c>
      <c r="D464" s="2">
        <v>207146</v>
      </c>
      <c r="E464" s="2" t="s">
        <v>681</v>
      </c>
      <c r="F464" s="2" t="s">
        <v>3014</v>
      </c>
      <c r="G464" s="2" t="s">
        <v>3082</v>
      </c>
      <c r="H464" s="2">
        <v>100</v>
      </c>
      <c r="I464" s="83">
        <v>52671</v>
      </c>
      <c r="J464" s="2" t="s">
        <v>142</v>
      </c>
      <c r="K464" s="2" t="s">
        <v>126</v>
      </c>
      <c r="L464" s="2" t="s">
        <v>854</v>
      </c>
      <c r="M464" s="134">
        <v>46023</v>
      </c>
      <c r="N464" s="56" t="s">
        <v>3653</v>
      </c>
      <c r="Q464" s="67">
        <f t="shared" si="54"/>
        <v>2</v>
      </c>
      <c r="R464" s="29">
        <f t="shared" si="49"/>
        <v>21</v>
      </c>
      <c r="T464" s="1"/>
      <c r="U464" s="1" t="s">
        <v>3011</v>
      </c>
      <c r="V464" s="2" t="s">
        <v>755</v>
      </c>
      <c r="W464" s="1" t="s">
        <v>827</v>
      </c>
      <c r="X464" s="2" t="s">
        <v>3161</v>
      </c>
      <c r="Y464" s="14">
        <v>46016</v>
      </c>
      <c r="Z464" s="14">
        <v>46023</v>
      </c>
      <c r="AA464" s="14">
        <v>46023</v>
      </c>
      <c r="AB464" s="14">
        <v>46023</v>
      </c>
      <c r="AC464" s="14">
        <v>46025</v>
      </c>
      <c r="AD464" s="2">
        <v>60751579905</v>
      </c>
      <c r="AE464" s="2" t="s">
        <v>3162</v>
      </c>
      <c r="AF464" s="2">
        <v>3</v>
      </c>
      <c r="AG464" s="2">
        <v>697</v>
      </c>
      <c r="AH464" s="2"/>
      <c r="AI464" s="2" t="s">
        <v>3116</v>
      </c>
      <c r="AJ464" s="2"/>
      <c r="AK464" s="14">
        <v>46022</v>
      </c>
      <c r="AL464" s="14">
        <v>46022</v>
      </c>
      <c r="AM464" s="14">
        <v>46023</v>
      </c>
      <c r="AN464" s="2"/>
      <c r="AO464" s="2">
        <v>6651820</v>
      </c>
      <c r="AP464" s="14">
        <v>46023</v>
      </c>
      <c r="AQ464" s="14">
        <v>46025</v>
      </c>
      <c r="AS464" s="2"/>
      <c r="AT464" s="44">
        <v>52790</v>
      </c>
      <c r="AV464" s="14">
        <v>46031</v>
      </c>
      <c r="AW464" s="14">
        <v>46036</v>
      </c>
      <c r="AY464" s="2">
        <v>6969946</v>
      </c>
      <c r="AZ464" s="5">
        <v>46041</v>
      </c>
      <c r="BA464" s="1">
        <v>18891715</v>
      </c>
      <c r="BB464" s="2">
        <v>3400509</v>
      </c>
      <c r="BC464" s="5">
        <v>46041</v>
      </c>
      <c r="BD464" s="14">
        <v>46041</v>
      </c>
      <c r="BF464" s="32">
        <v>46042</v>
      </c>
      <c r="BG464" s="5">
        <v>46046</v>
      </c>
      <c r="BH464" s="1" t="s">
        <v>3652</v>
      </c>
      <c r="BI464" s="1" t="s">
        <v>282</v>
      </c>
      <c r="BQ464" s="2"/>
      <c r="BR464" s="1"/>
    </row>
    <row r="465" spans="1:70" ht="18" customHeight="1" x14ac:dyDescent="0.3">
      <c r="A465" s="2">
        <v>465</v>
      </c>
      <c r="B465" s="2">
        <v>1032982</v>
      </c>
      <c r="C465" s="111">
        <v>46015</v>
      </c>
      <c r="D465" s="2">
        <v>18752.95</v>
      </c>
      <c r="E465" s="2" t="s">
        <v>681</v>
      </c>
      <c r="F465" s="2" t="s">
        <v>3101</v>
      </c>
      <c r="G465" s="2" t="s">
        <v>3102</v>
      </c>
      <c r="H465" s="2">
        <v>5</v>
      </c>
      <c r="I465" s="83">
        <v>52794</v>
      </c>
      <c r="J465" s="2" t="s">
        <v>142</v>
      </c>
      <c r="K465" s="2" t="s">
        <v>126</v>
      </c>
      <c r="L465" s="2" t="s">
        <v>854</v>
      </c>
      <c r="M465" s="134">
        <v>46034</v>
      </c>
      <c r="N465" s="56" t="s">
        <v>3657</v>
      </c>
      <c r="Q465" s="67">
        <f t="shared" si="54"/>
        <v>2</v>
      </c>
      <c r="R465" s="29">
        <f t="shared" si="49"/>
        <v>10</v>
      </c>
      <c r="T465" s="1">
        <v>127</v>
      </c>
      <c r="U465" s="1" t="s">
        <v>3286</v>
      </c>
      <c r="V465" s="2" t="s">
        <v>755</v>
      </c>
      <c r="W465" s="1" t="s">
        <v>827</v>
      </c>
      <c r="X465" s="2" t="s">
        <v>3362</v>
      </c>
      <c r="Y465" s="14">
        <v>46034</v>
      </c>
      <c r="Z465" s="14">
        <v>46038</v>
      </c>
      <c r="AA465" s="14">
        <v>46033</v>
      </c>
      <c r="AB465" s="14">
        <v>46034</v>
      </c>
      <c r="AC465" s="14">
        <v>46036</v>
      </c>
      <c r="AD465" s="2">
        <v>22917792935</v>
      </c>
      <c r="AE465" s="2" t="s">
        <v>3287</v>
      </c>
      <c r="AF465" s="2">
        <v>2</v>
      </c>
      <c r="AG465" s="91">
        <v>24.5</v>
      </c>
      <c r="AH465" s="2"/>
      <c r="AI465" s="2" t="s">
        <v>180</v>
      </c>
      <c r="AJ465" s="2"/>
      <c r="AK465" s="14">
        <v>46031</v>
      </c>
      <c r="AL465" s="14">
        <v>46031</v>
      </c>
      <c r="AM465" s="2"/>
      <c r="AN465" s="2"/>
      <c r="AO465" s="2">
        <v>6839547</v>
      </c>
      <c r="AP465" s="14">
        <v>46034</v>
      </c>
      <c r="AQ465" s="14">
        <v>46036</v>
      </c>
      <c r="AS465" s="2"/>
      <c r="AT465" s="44">
        <v>52848</v>
      </c>
      <c r="AV465" s="14">
        <v>46036</v>
      </c>
      <c r="AW465" s="14">
        <v>46037</v>
      </c>
      <c r="AY465" s="2">
        <v>6969945</v>
      </c>
      <c r="AZ465" s="5">
        <v>46041</v>
      </c>
      <c r="BA465" s="1">
        <v>1710269</v>
      </c>
      <c r="BB465" s="1">
        <v>307975</v>
      </c>
      <c r="BC465" s="5">
        <v>46041</v>
      </c>
      <c r="BD465" s="14">
        <v>46042</v>
      </c>
      <c r="BF465" s="32">
        <v>46043</v>
      </c>
      <c r="BG465" s="5">
        <v>46046</v>
      </c>
      <c r="BH465" s="1" t="s">
        <v>3328</v>
      </c>
      <c r="BI465" s="1" t="s">
        <v>273</v>
      </c>
      <c r="BQ465" s="2"/>
      <c r="BR465" s="1"/>
    </row>
    <row r="466" spans="1:70" ht="18" customHeight="1" x14ac:dyDescent="0.3">
      <c r="A466" s="2">
        <v>466</v>
      </c>
      <c r="B466" s="2">
        <v>1031138</v>
      </c>
      <c r="C466" s="111">
        <v>46015</v>
      </c>
      <c r="D466" s="2">
        <v>207146</v>
      </c>
      <c r="E466" s="2" t="s">
        <v>681</v>
      </c>
      <c r="F466" s="2" t="s">
        <v>3014</v>
      </c>
      <c r="G466" s="2" t="s">
        <v>3082</v>
      </c>
      <c r="H466" s="2">
        <v>100</v>
      </c>
      <c r="I466" s="83">
        <v>52796</v>
      </c>
      <c r="J466" s="2" t="s">
        <v>142</v>
      </c>
      <c r="K466" s="2" t="s">
        <v>126</v>
      </c>
      <c r="L466" s="2" t="s">
        <v>854</v>
      </c>
      <c r="M466" s="134">
        <v>46034</v>
      </c>
      <c r="N466" s="56" t="s">
        <v>3661</v>
      </c>
      <c r="Q466" s="67">
        <f t="shared" si="54"/>
        <v>4</v>
      </c>
      <c r="R466" s="29">
        <f t="shared" si="49"/>
        <v>8</v>
      </c>
      <c r="T466" s="1"/>
      <c r="U466" s="1" t="s">
        <v>3094</v>
      </c>
      <c r="V466" s="2" t="s">
        <v>755</v>
      </c>
      <c r="W466" s="1" t="s">
        <v>827</v>
      </c>
      <c r="X466" s="2" t="s">
        <v>3359</v>
      </c>
      <c r="Y466" s="14">
        <v>46034</v>
      </c>
      <c r="Z466" s="14">
        <v>46038</v>
      </c>
      <c r="AA466" s="14">
        <v>46034</v>
      </c>
      <c r="AB466" s="14">
        <v>46034</v>
      </c>
      <c r="AC466" s="14">
        <v>46038</v>
      </c>
      <c r="AD466" s="2">
        <v>21707725756</v>
      </c>
      <c r="AE466" s="2" t="s">
        <v>3288</v>
      </c>
      <c r="AF466" s="2">
        <v>3</v>
      </c>
      <c r="AG466" s="2">
        <v>728.5</v>
      </c>
      <c r="AH466" s="2"/>
      <c r="AI466" s="2" t="s">
        <v>180</v>
      </c>
      <c r="AJ466" s="2"/>
      <c r="AK466" s="14">
        <v>46031</v>
      </c>
      <c r="AL466" s="14">
        <v>46031</v>
      </c>
      <c r="AM466" s="14">
        <v>46034</v>
      </c>
      <c r="AN466" s="2"/>
      <c r="AO466" s="2">
        <v>6862809</v>
      </c>
      <c r="AP466" s="14">
        <v>46035</v>
      </c>
      <c r="AQ466" s="14">
        <v>46038</v>
      </c>
      <c r="AS466" s="2"/>
      <c r="AT466" s="44">
        <v>52901</v>
      </c>
      <c r="AV466" s="14">
        <v>46041</v>
      </c>
      <c r="AW466" s="14">
        <v>46042</v>
      </c>
      <c r="AY466" s="2">
        <v>7038558</v>
      </c>
      <c r="AZ466" s="5">
        <v>46044</v>
      </c>
      <c r="BA466" s="1">
        <v>18891715</v>
      </c>
      <c r="BB466" s="2">
        <v>3400509</v>
      </c>
      <c r="BC466" s="5">
        <v>46044</v>
      </c>
      <c r="BD466" s="14">
        <v>46044</v>
      </c>
      <c r="BF466" s="32">
        <v>46045</v>
      </c>
      <c r="BG466" s="5">
        <v>46046</v>
      </c>
      <c r="BH466" s="1" t="s">
        <v>3660</v>
      </c>
      <c r="BI466" s="1" t="s">
        <v>273</v>
      </c>
      <c r="BQ466" s="14">
        <v>46042</v>
      </c>
      <c r="BR466" s="5">
        <v>46042</v>
      </c>
    </row>
    <row r="467" spans="1:70" ht="18" customHeight="1" x14ac:dyDescent="0.3">
      <c r="A467" s="2">
        <v>467</v>
      </c>
      <c r="B467" s="2">
        <v>1031140</v>
      </c>
      <c r="C467" s="111">
        <v>46015</v>
      </c>
      <c r="D467" s="2">
        <v>207146</v>
      </c>
      <c r="E467" s="2" t="s">
        <v>681</v>
      </c>
      <c r="F467" s="2" t="s">
        <v>3014</v>
      </c>
      <c r="G467" s="2" t="s">
        <v>3082</v>
      </c>
      <c r="H467" s="2">
        <v>100</v>
      </c>
      <c r="I467" s="83">
        <v>52797</v>
      </c>
      <c r="J467" s="2" t="s">
        <v>142</v>
      </c>
      <c r="K467" s="2" t="s">
        <v>126</v>
      </c>
      <c r="L467" s="2" t="s">
        <v>854</v>
      </c>
      <c r="M467" s="134">
        <v>46034</v>
      </c>
      <c r="N467" s="56" t="s">
        <v>3661</v>
      </c>
      <c r="Q467" s="67">
        <f t="shared" si="54"/>
        <v>4</v>
      </c>
      <c r="R467" s="29">
        <f t="shared" si="49"/>
        <v>8</v>
      </c>
      <c r="T467" s="1"/>
      <c r="U467" s="1" t="s">
        <v>3289</v>
      </c>
      <c r="V467" s="2" t="s">
        <v>755</v>
      </c>
      <c r="W467" s="1" t="s">
        <v>827</v>
      </c>
      <c r="X467" s="2" t="s">
        <v>3360</v>
      </c>
      <c r="Y467" s="14">
        <v>46034</v>
      </c>
      <c r="Z467" s="14">
        <v>46038</v>
      </c>
      <c r="AA467" s="14">
        <v>46034</v>
      </c>
      <c r="AB467" s="14">
        <v>46034</v>
      </c>
      <c r="AC467" s="14">
        <v>46038</v>
      </c>
      <c r="AD467" s="2">
        <v>21707725756</v>
      </c>
      <c r="AE467" s="2" t="s">
        <v>3290</v>
      </c>
      <c r="AF467" s="2">
        <v>3</v>
      </c>
      <c r="AG467" s="2">
        <v>728.5</v>
      </c>
      <c r="AH467" s="2"/>
      <c r="AI467" s="2" t="s">
        <v>180</v>
      </c>
      <c r="AJ467" s="2"/>
      <c r="AK467" s="14">
        <v>46031</v>
      </c>
      <c r="AL467" s="14">
        <v>46031</v>
      </c>
      <c r="AM467" s="14">
        <v>46034</v>
      </c>
      <c r="AN467" s="2"/>
      <c r="AO467" s="2">
        <v>6862808</v>
      </c>
      <c r="AP467" s="14">
        <v>46035</v>
      </c>
      <c r="AQ467" s="14">
        <v>46038</v>
      </c>
      <c r="AS467" s="2"/>
      <c r="AT467" s="44">
        <v>52900</v>
      </c>
      <c r="AV467" s="14">
        <v>46041</v>
      </c>
      <c r="AW467" s="14">
        <v>46042</v>
      </c>
      <c r="AY467" s="2">
        <v>7039189</v>
      </c>
      <c r="AZ467" s="5">
        <v>46044</v>
      </c>
      <c r="BA467" s="1">
        <v>18891715</v>
      </c>
      <c r="BB467" s="2">
        <v>3400509</v>
      </c>
      <c r="BC467" s="5">
        <v>46044</v>
      </c>
      <c r="BD467" s="14">
        <v>46044</v>
      </c>
      <c r="BF467" s="32">
        <v>46045</v>
      </c>
      <c r="BG467" s="5">
        <v>46046</v>
      </c>
      <c r="BH467" s="1" t="s">
        <v>3660</v>
      </c>
      <c r="BI467" s="1" t="s">
        <v>273</v>
      </c>
      <c r="BQ467" s="14">
        <v>46042</v>
      </c>
      <c r="BR467" s="14">
        <v>46042</v>
      </c>
    </row>
    <row r="468" spans="1:70" ht="18" customHeight="1" x14ac:dyDescent="0.3">
      <c r="A468" s="2">
        <v>468</v>
      </c>
      <c r="B468" s="2">
        <v>1031141</v>
      </c>
      <c r="C468" s="111">
        <v>46015</v>
      </c>
      <c r="D468" s="2">
        <v>207146</v>
      </c>
      <c r="E468" s="2" t="s">
        <v>681</v>
      </c>
      <c r="F468" s="2" t="s">
        <v>3014</v>
      </c>
      <c r="G468" s="2" t="s">
        <v>3082</v>
      </c>
      <c r="H468" s="2">
        <v>100</v>
      </c>
      <c r="I468" s="83">
        <v>52801</v>
      </c>
      <c r="J468" s="2" t="s">
        <v>142</v>
      </c>
      <c r="K468" s="2" t="s">
        <v>126</v>
      </c>
      <c r="L468" s="2" t="s">
        <v>854</v>
      </c>
      <c r="M468" s="134">
        <v>46036</v>
      </c>
      <c r="N468" s="56" t="s">
        <v>3654</v>
      </c>
      <c r="Q468" s="67">
        <f t="shared" si="54"/>
        <v>5</v>
      </c>
      <c r="R468" s="29">
        <f t="shared" si="49"/>
        <v>5</v>
      </c>
      <c r="T468" s="1"/>
      <c r="U468" s="1" t="s">
        <v>3293</v>
      </c>
      <c r="V468" s="2" t="s">
        <v>755</v>
      </c>
      <c r="W468" s="1" t="s">
        <v>827</v>
      </c>
      <c r="X468" s="2" t="s">
        <v>3363</v>
      </c>
      <c r="Y468" s="14">
        <v>46034</v>
      </c>
      <c r="Z468" s="14">
        <v>46038</v>
      </c>
      <c r="AA468" s="14">
        <v>46036</v>
      </c>
      <c r="AB468" s="14">
        <v>46036</v>
      </c>
      <c r="AC468" s="14">
        <v>46041</v>
      </c>
      <c r="AD468" s="2">
        <v>21707727694</v>
      </c>
      <c r="AE468" s="2" t="s">
        <v>3294</v>
      </c>
      <c r="AF468" s="2">
        <v>3</v>
      </c>
      <c r="AG468" s="2">
        <v>720</v>
      </c>
      <c r="AH468" s="2"/>
      <c r="AI468" s="2" t="s">
        <v>180</v>
      </c>
      <c r="AJ468" s="2"/>
      <c r="AK468" s="14">
        <v>46031</v>
      </c>
      <c r="AL468" s="14">
        <v>46031</v>
      </c>
      <c r="AM468" s="14">
        <v>46034</v>
      </c>
      <c r="AN468" s="2"/>
      <c r="AO468" s="2">
        <v>6921973</v>
      </c>
      <c r="AP468" s="14">
        <v>46038</v>
      </c>
      <c r="AQ468" s="14">
        <v>46041</v>
      </c>
      <c r="AS468" s="2"/>
      <c r="AT468" s="44">
        <v>52926</v>
      </c>
      <c r="AV468" s="14">
        <v>46042</v>
      </c>
      <c r="AW468" s="14">
        <v>46042</v>
      </c>
      <c r="AY468" s="2">
        <v>7038561</v>
      </c>
      <c r="AZ468" s="5">
        <v>46044</v>
      </c>
      <c r="BA468" s="1">
        <v>18891715</v>
      </c>
      <c r="BB468" s="2">
        <v>3400509</v>
      </c>
      <c r="BC468" s="5">
        <v>46044</v>
      </c>
      <c r="BD468" s="14">
        <v>46044</v>
      </c>
      <c r="BF468" s="32">
        <v>46045</v>
      </c>
      <c r="BG468" s="5">
        <v>46046</v>
      </c>
      <c r="BH468" s="1" t="s">
        <v>3652</v>
      </c>
      <c r="BI468" s="1" t="s">
        <v>282</v>
      </c>
      <c r="BQ468" s="14">
        <v>46042</v>
      </c>
      <c r="BR468" s="5">
        <v>46043</v>
      </c>
    </row>
    <row r="469" spans="1:70" ht="18" customHeight="1" x14ac:dyDescent="0.3">
      <c r="A469" s="2">
        <v>469</v>
      </c>
      <c r="B469" s="2">
        <v>1031143</v>
      </c>
      <c r="C469" s="111">
        <v>46015</v>
      </c>
      <c r="D469" s="2">
        <v>207146</v>
      </c>
      <c r="E469" s="2" t="s">
        <v>681</v>
      </c>
      <c r="F469" s="2" t="s">
        <v>3014</v>
      </c>
      <c r="G469" s="2" t="s">
        <v>3082</v>
      </c>
      <c r="H469" s="2">
        <v>100</v>
      </c>
      <c r="I469" s="83">
        <v>52802</v>
      </c>
      <c r="J469" s="2" t="s">
        <v>142</v>
      </c>
      <c r="K469" s="2" t="s">
        <v>126</v>
      </c>
      <c r="L469" s="2" t="s">
        <v>854</v>
      </c>
      <c r="M469" s="134">
        <v>46036</v>
      </c>
      <c r="N469" s="56" t="s">
        <v>3662</v>
      </c>
      <c r="Q469" s="67">
        <f t="shared" si="54"/>
        <v>5</v>
      </c>
      <c r="R469" s="29">
        <f t="shared" si="49"/>
        <v>5</v>
      </c>
      <c r="T469" s="1"/>
      <c r="U469" s="1" t="s">
        <v>3289</v>
      </c>
      <c r="V469" s="2" t="s">
        <v>755</v>
      </c>
      <c r="W469" s="1" t="s">
        <v>827</v>
      </c>
      <c r="X469" s="2" t="s">
        <v>3364</v>
      </c>
      <c r="Y469" s="14">
        <v>46034</v>
      </c>
      <c r="Z469" s="14">
        <v>46038</v>
      </c>
      <c r="AA469" s="14">
        <v>46036</v>
      </c>
      <c r="AB469" s="14">
        <v>46036</v>
      </c>
      <c r="AC469" s="14">
        <v>46041</v>
      </c>
      <c r="AD469" s="2">
        <v>21707727694</v>
      </c>
      <c r="AE469" s="2" t="s">
        <v>3295</v>
      </c>
      <c r="AF469" s="2">
        <v>3</v>
      </c>
      <c r="AG469" s="2">
        <v>720</v>
      </c>
      <c r="AH469" s="2"/>
      <c r="AI469" s="2" t="s">
        <v>180</v>
      </c>
      <c r="AJ469" s="2"/>
      <c r="AK469" s="14">
        <v>46031</v>
      </c>
      <c r="AL469" s="14">
        <v>46031</v>
      </c>
      <c r="AM469" s="14">
        <v>46034</v>
      </c>
      <c r="AN469" s="2"/>
      <c r="AO469" s="141">
        <v>6922473</v>
      </c>
      <c r="AP469" s="14">
        <v>46038</v>
      </c>
      <c r="AQ469" s="14">
        <v>46041</v>
      </c>
      <c r="AS469" s="2"/>
      <c r="AT469" s="44">
        <v>52927</v>
      </c>
      <c r="AV469" s="14">
        <v>46042</v>
      </c>
      <c r="AW469" s="14">
        <v>46043</v>
      </c>
      <c r="AY469" s="2">
        <v>7038695</v>
      </c>
      <c r="AZ469" s="5">
        <v>46044</v>
      </c>
      <c r="BA469" s="1">
        <v>18891715</v>
      </c>
      <c r="BB469" s="2">
        <v>3400509</v>
      </c>
      <c r="BC469" s="5">
        <v>46044</v>
      </c>
      <c r="BD469" s="14">
        <v>46044</v>
      </c>
      <c r="BF469" s="32">
        <v>46045</v>
      </c>
      <c r="BG469" s="5">
        <v>46046</v>
      </c>
      <c r="BH469" s="1" t="s">
        <v>3660</v>
      </c>
      <c r="BI469" s="1" t="s">
        <v>273</v>
      </c>
      <c r="BQ469" s="14">
        <v>46043</v>
      </c>
      <c r="BR469" s="14">
        <v>46043</v>
      </c>
    </row>
    <row r="470" spans="1:70" ht="18" customHeight="1" x14ac:dyDescent="0.3">
      <c r="A470" s="2">
        <v>470</v>
      </c>
      <c r="B470" s="2">
        <v>1030280</v>
      </c>
      <c r="C470" s="111">
        <v>46014</v>
      </c>
      <c r="D470" s="2">
        <v>207146</v>
      </c>
      <c r="E470" s="2" t="s">
        <v>681</v>
      </c>
      <c r="F470" s="2" t="s">
        <v>3014</v>
      </c>
      <c r="G470" s="2" t="s">
        <v>3082</v>
      </c>
      <c r="H470" s="2">
        <v>100</v>
      </c>
      <c r="I470" s="83">
        <v>52808</v>
      </c>
      <c r="J470" s="2" t="s">
        <v>142</v>
      </c>
      <c r="K470" s="2" t="s">
        <v>126</v>
      </c>
      <c r="L470" s="2" t="s">
        <v>854</v>
      </c>
      <c r="M470" s="134">
        <v>46034</v>
      </c>
      <c r="N470" s="56" t="s">
        <v>3658</v>
      </c>
      <c r="Q470" s="67">
        <f t="shared" si="54"/>
        <v>4</v>
      </c>
      <c r="R470" s="29">
        <f t="shared" si="49"/>
        <v>8</v>
      </c>
      <c r="T470" s="1"/>
      <c r="U470" s="1" t="s">
        <v>3094</v>
      </c>
      <c r="V470" s="2" t="s">
        <v>755</v>
      </c>
      <c r="W470" s="1" t="s">
        <v>827</v>
      </c>
      <c r="X470" s="2" t="s">
        <v>3368</v>
      </c>
      <c r="Y470" s="14">
        <v>46034</v>
      </c>
      <c r="Z470" s="14">
        <v>46038</v>
      </c>
      <c r="AA470" s="14">
        <v>46034</v>
      </c>
      <c r="AB470" s="14">
        <v>46034</v>
      </c>
      <c r="AC470" s="14">
        <v>46038</v>
      </c>
      <c r="AD470" s="2">
        <v>21707727683</v>
      </c>
      <c r="AE470" s="2" t="s">
        <v>3296</v>
      </c>
      <c r="AF470" s="2">
        <v>3</v>
      </c>
      <c r="AG470" s="2">
        <v>720</v>
      </c>
      <c r="AH470" s="2"/>
      <c r="AI470" s="2" t="s">
        <v>180</v>
      </c>
      <c r="AJ470" s="2"/>
      <c r="AK470" s="14">
        <v>46032</v>
      </c>
      <c r="AL470" s="14">
        <v>46032</v>
      </c>
      <c r="AM470" s="14">
        <v>46034</v>
      </c>
      <c r="AN470" s="2"/>
      <c r="AO470" s="2">
        <v>6862909</v>
      </c>
      <c r="AP470" s="14">
        <v>46035</v>
      </c>
      <c r="AQ470" s="14">
        <v>46038</v>
      </c>
      <c r="AS470" s="2"/>
      <c r="AT470" s="44">
        <v>52884</v>
      </c>
      <c r="AV470" s="14">
        <v>46041</v>
      </c>
      <c r="AW470" s="14">
        <v>46042</v>
      </c>
      <c r="AY470" s="2">
        <v>7038619</v>
      </c>
      <c r="AZ470" s="5">
        <v>46044</v>
      </c>
      <c r="BA470" s="1">
        <v>18891715</v>
      </c>
      <c r="BB470" s="2">
        <v>3400509</v>
      </c>
      <c r="BC470" s="5">
        <v>46044</v>
      </c>
      <c r="BD470" s="14">
        <v>46044</v>
      </c>
      <c r="BF470" s="32">
        <v>46045</v>
      </c>
      <c r="BG470" s="5">
        <v>46046</v>
      </c>
      <c r="BH470" s="1" t="s">
        <v>3328</v>
      </c>
      <c r="BI470" s="1" t="s">
        <v>273</v>
      </c>
      <c r="BQ470" s="14">
        <v>46042</v>
      </c>
      <c r="BR470" s="5">
        <v>46042</v>
      </c>
    </row>
    <row r="471" spans="1:70" ht="18" customHeight="1" x14ac:dyDescent="0.3">
      <c r="A471" s="2">
        <v>471</v>
      </c>
      <c r="B471" s="2">
        <v>1030278</v>
      </c>
      <c r="C471" s="111">
        <v>46013</v>
      </c>
      <c r="D471" s="2">
        <v>207146</v>
      </c>
      <c r="E471" s="2" t="s">
        <v>681</v>
      </c>
      <c r="F471" s="2" t="s">
        <v>3014</v>
      </c>
      <c r="G471" s="2" t="s">
        <v>3082</v>
      </c>
      <c r="H471" s="2">
        <v>100</v>
      </c>
      <c r="I471" s="83">
        <v>52809</v>
      </c>
      <c r="J471" s="2" t="s">
        <v>142</v>
      </c>
      <c r="K471" s="2" t="s">
        <v>126</v>
      </c>
      <c r="L471" s="2" t="s">
        <v>854</v>
      </c>
      <c r="M471" s="134">
        <v>46034</v>
      </c>
      <c r="N471" s="56" t="s">
        <v>3659</v>
      </c>
      <c r="Q471" s="67">
        <f t="shared" si="54"/>
        <v>4</v>
      </c>
      <c r="R471" s="29">
        <f t="shared" si="49"/>
        <v>8</v>
      </c>
      <c r="T471" s="1"/>
      <c r="U471" s="1" t="s">
        <v>3094</v>
      </c>
      <c r="V471" s="2" t="s">
        <v>755</v>
      </c>
      <c r="W471" s="1" t="s">
        <v>827</v>
      </c>
      <c r="X471" s="2" t="s">
        <v>3366</v>
      </c>
      <c r="Y471" s="14">
        <v>46034</v>
      </c>
      <c r="Z471" s="14">
        <v>46038</v>
      </c>
      <c r="AA471" s="14">
        <v>46034</v>
      </c>
      <c r="AB471" s="14">
        <v>46034</v>
      </c>
      <c r="AC471" s="14">
        <v>46038</v>
      </c>
      <c r="AD471" s="2">
        <v>21707727683</v>
      </c>
      <c r="AE471" s="2" t="s">
        <v>3297</v>
      </c>
      <c r="AF471" s="2">
        <v>3</v>
      </c>
      <c r="AG471" s="2">
        <v>728.5</v>
      </c>
      <c r="AH471" s="2"/>
      <c r="AI471" s="2" t="s">
        <v>180</v>
      </c>
      <c r="AJ471" s="2"/>
      <c r="AK471" s="14">
        <v>46032</v>
      </c>
      <c r="AL471" s="14">
        <v>46032</v>
      </c>
      <c r="AM471" s="14">
        <v>46034</v>
      </c>
      <c r="AN471" s="2"/>
      <c r="AO471" s="2">
        <v>6862906</v>
      </c>
      <c r="AP471" s="14">
        <v>46035</v>
      </c>
      <c r="AQ471" s="14">
        <v>46038</v>
      </c>
      <c r="AS471" s="2"/>
      <c r="AT471" s="44">
        <v>52875</v>
      </c>
      <c r="AV471" s="14">
        <v>46041</v>
      </c>
      <c r="AW471" s="14">
        <v>46042</v>
      </c>
      <c r="AY471" s="2">
        <v>7038614</v>
      </c>
      <c r="AZ471" s="5">
        <v>46044</v>
      </c>
      <c r="BA471" s="1">
        <v>18891715</v>
      </c>
      <c r="BB471" s="2">
        <v>3400509</v>
      </c>
      <c r="BC471" s="5">
        <v>46044</v>
      </c>
      <c r="BD471" s="14">
        <v>46044</v>
      </c>
      <c r="BF471" s="32">
        <v>46045</v>
      </c>
      <c r="BG471" s="5">
        <v>46046</v>
      </c>
      <c r="BH471" s="1" t="s">
        <v>3328</v>
      </c>
      <c r="BI471" s="1" t="s">
        <v>273</v>
      </c>
      <c r="BQ471" s="14">
        <v>46042</v>
      </c>
      <c r="BR471" s="5">
        <v>46042</v>
      </c>
    </row>
    <row r="472" spans="1:70" ht="18" customHeight="1" x14ac:dyDescent="0.3">
      <c r="A472" s="2">
        <v>472</v>
      </c>
      <c r="B472" s="2">
        <v>1030279</v>
      </c>
      <c r="C472" s="111">
        <v>46014</v>
      </c>
      <c r="D472" s="2">
        <v>207146</v>
      </c>
      <c r="E472" s="2" t="s">
        <v>681</v>
      </c>
      <c r="F472" s="2" t="s">
        <v>3014</v>
      </c>
      <c r="G472" s="2" t="s">
        <v>3082</v>
      </c>
      <c r="H472" s="2">
        <v>100</v>
      </c>
      <c r="I472" s="83">
        <v>52810</v>
      </c>
      <c r="J472" s="2" t="s">
        <v>142</v>
      </c>
      <c r="K472" s="2" t="s">
        <v>126</v>
      </c>
      <c r="L472" s="2" t="s">
        <v>854</v>
      </c>
      <c r="M472" s="134">
        <v>46034</v>
      </c>
      <c r="N472" s="56" t="s">
        <v>3661</v>
      </c>
      <c r="Q472" s="67">
        <f t="shared" si="54"/>
        <v>4</v>
      </c>
      <c r="R472" s="29">
        <f t="shared" si="49"/>
        <v>8</v>
      </c>
      <c r="T472" s="1"/>
      <c r="U472" s="1" t="s">
        <v>3094</v>
      </c>
      <c r="V472" s="2" t="s">
        <v>755</v>
      </c>
      <c r="W472" s="1" t="s">
        <v>827</v>
      </c>
      <c r="X472" s="2" t="s">
        <v>3367</v>
      </c>
      <c r="Y472" s="14">
        <v>46034</v>
      </c>
      <c r="Z472" s="14">
        <v>46038</v>
      </c>
      <c r="AA472" s="14">
        <v>46034</v>
      </c>
      <c r="AB472" s="14">
        <v>46034</v>
      </c>
      <c r="AC472" s="14">
        <v>46038</v>
      </c>
      <c r="AD472" s="2">
        <v>21707727683</v>
      </c>
      <c r="AE472" s="2" t="s">
        <v>3298</v>
      </c>
      <c r="AF472" s="2">
        <v>3</v>
      </c>
      <c r="AG472" s="2">
        <v>720</v>
      </c>
      <c r="AH472" s="2"/>
      <c r="AI472" s="2" t="s">
        <v>180</v>
      </c>
      <c r="AJ472" s="2"/>
      <c r="AK472" s="14">
        <v>46032</v>
      </c>
      <c r="AL472" s="14">
        <v>46032</v>
      </c>
      <c r="AM472" s="14">
        <v>46034</v>
      </c>
      <c r="AN472" s="2"/>
      <c r="AO472" s="2">
        <v>6864614</v>
      </c>
      <c r="AP472" s="14">
        <v>46035</v>
      </c>
      <c r="AQ472" s="14">
        <v>46038</v>
      </c>
      <c r="AS472" s="2"/>
      <c r="AT472" s="44">
        <v>52876</v>
      </c>
      <c r="AV472" s="14">
        <v>46041</v>
      </c>
      <c r="AW472" s="14">
        <v>46042</v>
      </c>
      <c r="AY472" s="2">
        <v>7038560</v>
      </c>
      <c r="AZ472" s="5">
        <v>46044</v>
      </c>
      <c r="BA472" s="1">
        <v>18891715</v>
      </c>
      <c r="BB472" s="2">
        <v>3400509</v>
      </c>
      <c r="BC472" s="5">
        <v>46044</v>
      </c>
      <c r="BD472" s="14">
        <v>46044</v>
      </c>
      <c r="BF472" s="32">
        <v>46045</v>
      </c>
      <c r="BG472" s="5">
        <v>46046</v>
      </c>
      <c r="BH472" s="1" t="s">
        <v>3660</v>
      </c>
      <c r="BI472" s="1" t="s">
        <v>273</v>
      </c>
      <c r="BQ472" s="14">
        <v>46042</v>
      </c>
      <c r="BR472" s="5">
        <v>46042</v>
      </c>
    </row>
    <row r="473" spans="1:70" ht="18" customHeight="1" x14ac:dyDescent="0.3">
      <c r="A473" s="2">
        <v>473</v>
      </c>
      <c r="B473" s="2">
        <v>1031154</v>
      </c>
      <c r="C473" s="111">
        <v>46020</v>
      </c>
      <c r="D473" s="2">
        <v>103573</v>
      </c>
      <c r="E473" s="2" t="s">
        <v>681</v>
      </c>
      <c r="F473" s="2" t="s">
        <v>3014</v>
      </c>
      <c r="G473" s="2" t="s">
        <v>3082</v>
      </c>
      <c r="H473" s="2">
        <v>50</v>
      </c>
      <c r="I473" s="83">
        <v>52811</v>
      </c>
      <c r="J473" s="2" t="s">
        <v>142</v>
      </c>
      <c r="K473" s="2" t="s">
        <v>126</v>
      </c>
      <c r="L473" s="2" t="s">
        <v>854</v>
      </c>
      <c r="M473" s="134">
        <v>46035</v>
      </c>
      <c r="N473" s="56" t="s">
        <v>3655</v>
      </c>
      <c r="Q473" s="67">
        <f t="shared" si="54"/>
        <v>3</v>
      </c>
      <c r="R473" s="29">
        <f t="shared" si="49"/>
        <v>8</v>
      </c>
      <c r="T473" s="1"/>
      <c r="U473" s="1" t="s">
        <v>3299</v>
      </c>
      <c r="V473" s="2" t="s">
        <v>755</v>
      </c>
      <c r="W473" s="1" t="s">
        <v>827</v>
      </c>
      <c r="X473" s="2" t="s">
        <v>3371</v>
      </c>
      <c r="Y473" s="14">
        <v>46036</v>
      </c>
      <c r="Z473" s="14">
        <v>46038</v>
      </c>
      <c r="AA473" s="14">
        <v>46035</v>
      </c>
      <c r="AB473" s="14">
        <v>46035</v>
      </c>
      <c r="AC473" s="14">
        <v>46038</v>
      </c>
      <c r="AD473" s="2">
        <v>22917793134</v>
      </c>
      <c r="AE473" s="2" t="s">
        <v>3300</v>
      </c>
      <c r="AF473" s="2">
        <v>2</v>
      </c>
      <c r="AG473" s="2">
        <v>440</v>
      </c>
      <c r="AH473" s="2"/>
      <c r="AI473" s="2" t="s">
        <v>180</v>
      </c>
      <c r="AJ473" s="2"/>
      <c r="AK473" s="14">
        <v>46032</v>
      </c>
      <c r="AL473" s="14">
        <v>46032</v>
      </c>
      <c r="AM473" s="14">
        <v>46034</v>
      </c>
      <c r="AN473" s="2"/>
      <c r="AO473" s="2">
        <v>6866122</v>
      </c>
      <c r="AP473" s="14">
        <v>46035</v>
      </c>
      <c r="AQ473" s="14">
        <v>46038</v>
      </c>
      <c r="AS473" s="2"/>
      <c r="AT473" s="44">
        <v>52877</v>
      </c>
      <c r="AV473" s="14">
        <v>46041</v>
      </c>
      <c r="AW473" s="14">
        <v>46042</v>
      </c>
      <c r="AY473" s="2">
        <v>7038620</v>
      </c>
      <c r="AZ473" s="5">
        <v>46044</v>
      </c>
      <c r="BA473" s="1">
        <v>9445858</v>
      </c>
      <c r="BB473" s="2">
        <v>1700254</v>
      </c>
      <c r="BC473" s="5">
        <v>46044</v>
      </c>
      <c r="BD473" s="14">
        <v>46044</v>
      </c>
      <c r="BF473" s="32">
        <v>46045</v>
      </c>
      <c r="BG473" s="5">
        <v>46046</v>
      </c>
      <c r="BH473" s="1" t="s">
        <v>3652</v>
      </c>
      <c r="BI473" s="1" t="s">
        <v>273</v>
      </c>
      <c r="BQ473" s="14">
        <v>46042</v>
      </c>
      <c r="BR473" s="5">
        <v>46042</v>
      </c>
    </row>
    <row r="474" spans="1:70" ht="18" customHeight="1" x14ac:dyDescent="0.3">
      <c r="A474" s="2">
        <v>474</v>
      </c>
      <c r="B474" s="8" t="s">
        <v>3301</v>
      </c>
      <c r="C474" s="8" t="s">
        <v>3302</v>
      </c>
      <c r="D474" s="8" t="s">
        <v>3303</v>
      </c>
      <c r="E474" s="2" t="s">
        <v>681</v>
      </c>
      <c r="F474" s="8" t="s">
        <v>3022</v>
      </c>
      <c r="G474" s="8" t="s">
        <v>3187</v>
      </c>
      <c r="H474" s="8" t="s">
        <v>749</v>
      </c>
      <c r="I474" s="83">
        <v>52812</v>
      </c>
      <c r="J474" s="2" t="s">
        <v>142</v>
      </c>
      <c r="K474" s="2" t="s">
        <v>126</v>
      </c>
      <c r="L474" s="2" t="s">
        <v>854</v>
      </c>
      <c r="M474" s="134">
        <v>46035</v>
      </c>
      <c r="N474" s="56" t="s">
        <v>3659</v>
      </c>
      <c r="Q474" s="67">
        <f t="shared" si="54"/>
        <v>3</v>
      </c>
      <c r="R474" s="29">
        <f t="shared" si="49"/>
        <v>8</v>
      </c>
      <c r="T474" s="1"/>
      <c r="U474" s="8" t="s">
        <v>3304</v>
      </c>
      <c r="V474" s="2" t="s">
        <v>755</v>
      </c>
      <c r="W474" s="1" t="s">
        <v>827</v>
      </c>
      <c r="X474" s="2" t="s">
        <v>3370</v>
      </c>
      <c r="Y474" s="14">
        <v>46036</v>
      </c>
      <c r="Z474" s="14">
        <v>46038</v>
      </c>
      <c r="AA474" s="14">
        <v>46035</v>
      </c>
      <c r="AB474" s="14">
        <v>46035</v>
      </c>
      <c r="AC474" s="14">
        <v>46038</v>
      </c>
      <c r="AD474" s="2">
        <v>22917793134</v>
      </c>
      <c r="AE474" s="2" t="s">
        <v>3305</v>
      </c>
      <c r="AF474" s="2">
        <v>4</v>
      </c>
      <c r="AG474" s="2">
        <v>752</v>
      </c>
      <c r="AH474" s="2"/>
      <c r="AI474" s="2" t="s">
        <v>180</v>
      </c>
      <c r="AJ474" s="2"/>
      <c r="AK474" s="14">
        <v>46032</v>
      </c>
      <c r="AL474" s="14">
        <v>46032</v>
      </c>
      <c r="AM474" s="14">
        <v>46034</v>
      </c>
      <c r="AN474" s="2"/>
      <c r="AO474" s="2">
        <v>6866124</v>
      </c>
      <c r="AP474" s="14">
        <v>46035</v>
      </c>
      <c r="AQ474" s="14">
        <v>46038</v>
      </c>
      <c r="AS474" s="2"/>
      <c r="AT474" s="44">
        <v>52879</v>
      </c>
      <c r="AV474" s="14">
        <v>46041</v>
      </c>
      <c r="AW474" s="14">
        <v>46042</v>
      </c>
      <c r="AY474" s="2">
        <v>7038615</v>
      </c>
      <c r="AZ474" s="5">
        <v>46044</v>
      </c>
      <c r="BA474" s="1">
        <v>18891715</v>
      </c>
      <c r="BB474" s="2">
        <v>3400509</v>
      </c>
      <c r="BC474" s="5">
        <v>46044</v>
      </c>
      <c r="BD474" s="14">
        <v>46044</v>
      </c>
      <c r="BF474" s="32">
        <v>46045</v>
      </c>
      <c r="BG474" s="5">
        <v>46046</v>
      </c>
      <c r="BH474" s="1" t="s">
        <v>3328</v>
      </c>
      <c r="BI474" s="1" t="s">
        <v>273</v>
      </c>
      <c r="BQ474" s="14">
        <v>46042</v>
      </c>
      <c r="BR474" s="14">
        <v>46042</v>
      </c>
    </row>
    <row r="475" spans="1:70" ht="18" customHeight="1" x14ac:dyDescent="0.3">
      <c r="A475" s="2">
        <v>475</v>
      </c>
      <c r="B475" s="2">
        <v>1032983</v>
      </c>
      <c r="C475" s="111">
        <v>46014</v>
      </c>
      <c r="D475" s="2">
        <v>36030</v>
      </c>
      <c r="E475" s="2" t="s">
        <v>681</v>
      </c>
      <c r="F475" s="2" t="s">
        <v>133</v>
      </c>
      <c r="G475" s="2" t="s">
        <v>3306</v>
      </c>
      <c r="H475" s="8">
        <v>2</v>
      </c>
      <c r="I475" s="83">
        <v>52813</v>
      </c>
      <c r="J475" s="2" t="s">
        <v>142</v>
      </c>
      <c r="K475" s="2" t="s">
        <v>126</v>
      </c>
      <c r="L475" s="2" t="s">
        <v>854</v>
      </c>
      <c r="M475" s="134">
        <v>46034</v>
      </c>
      <c r="N475" s="56" t="s">
        <v>3659</v>
      </c>
      <c r="Q475" s="67">
        <f t="shared" si="54"/>
        <v>4</v>
      </c>
      <c r="R475" s="29">
        <f t="shared" si="49"/>
        <v>8</v>
      </c>
      <c r="T475" s="1"/>
      <c r="U475" s="1" t="s">
        <v>3286</v>
      </c>
      <c r="V475" s="2" t="s">
        <v>755</v>
      </c>
      <c r="W475" s="1" t="s">
        <v>827</v>
      </c>
      <c r="X475" s="2" t="s">
        <v>3369</v>
      </c>
      <c r="Y475" s="14">
        <v>46036</v>
      </c>
      <c r="Z475" s="14">
        <v>46038</v>
      </c>
      <c r="AA475" s="14">
        <v>46034</v>
      </c>
      <c r="AB475" s="14">
        <v>46034</v>
      </c>
      <c r="AC475" s="14">
        <v>46038</v>
      </c>
      <c r="AD475" s="2">
        <v>21707727683</v>
      </c>
      <c r="AE475" s="2" t="s">
        <v>3307</v>
      </c>
      <c r="AF475" s="2">
        <v>1</v>
      </c>
      <c r="AG475" s="2">
        <v>15</v>
      </c>
      <c r="AH475" s="2"/>
      <c r="AI475" s="2" t="s">
        <v>180</v>
      </c>
      <c r="AJ475" s="2"/>
      <c r="AK475" s="14">
        <v>46032</v>
      </c>
      <c r="AL475" s="14">
        <v>46032</v>
      </c>
      <c r="AM475" s="14">
        <v>46034</v>
      </c>
      <c r="AN475" s="2"/>
      <c r="AO475" s="2">
        <v>6865018</v>
      </c>
      <c r="AP475" s="14">
        <v>46035</v>
      </c>
      <c r="AQ475" s="14">
        <v>46038</v>
      </c>
      <c r="AS475" s="2"/>
      <c r="AT475" s="44">
        <v>52870</v>
      </c>
      <c r="AV475" s="14">
        <v>46041</v>
      </c>
      <c r="AW475" s="14">
        <v>46042</v>
      </c>
      <c r="AY475" s="2">
        <v>7038559</v>
      </c>
      <c r="AZ475" s="5">
        <v>46044</v>
      </c>
      <c r="BA475" s="1">
        <v>3285936</v>
      </c>
      <c r="BB475" s="2">
        <v>591469</v>
      </c>
      <c r="BC475" s="5">
        <v>46044</v>
      </c>
      <c r="BD475" s="14">
        <v>46044</v>
      </c>
      <c r="BF475" s="32">
        <v>46045</v>
      </c>
      <c r="BG475" s="5">
        <v>46046</v>
      </c>
      <c r="BH475" s="1" t="s">
        <v>3328</v>
      </c>
      <c r="BI475" s="1" t="s">
        <v>273</v>
      </c>
      <c r="BQ475" s="14">
        <v>46042</v>
      </c>
      <c r="BR475" s="5">
        <v>46042</v>
      </c>
    </row>
    <row r="476" spans="1:70" s="140" customFormat="1" ht="18" customHeight="1" x14ac:dyDescent="0.3">
      <c r="A476" s="2">
        <v>476</v>
      </c>
      <c r="B476" s="2">
        <v>1031146</v>
      </c>
      <c r="C476" s="111">
        <v>46018</v>
      </c>
      <c r="D476" s="2">
        <v>207146</v>
      </c>
      <c r="E476" s="2" t="s">
        <v>681</v>
      </c>
      <c r="F476" s="2" t="s">
        <v>3014</v>
      </c>
      <c r="G476" s="2" t="s">
        <v>3082</v>
      </c>
      <c r="H476" s="2">
        <v>100</v>
      </c>
      <c r="I476" s="83">
        <v>52885</v>
      </c>
      <c r="J476" s="2" t="s">
        <v>142</v>
      </c>
      <c r="K476" s="2" t="s">
        <v>126</v>
      </c>
      <c r="L476" s="2" t="s">
        <v>854</v>
      </c>
      <c r="M476" s="134">
        <v>46041</v>
      </c>
      <c r="N476" s="56" t="s">
        <v>3651</v>
      </c>
      <c r="O476" s="1"/>
      <c r="P476" s="15"/>
      <c r="Q476" s="67">
        <f t="shared" si="54"/>
        <v>3</v>
      </c>
      <c r="R476" s="29">
        <f t="shared" si="49"/>
        <v>4</v>
      </c>
      <c r="S476" s="15"/>
      <c r="T476" s="1"/>
      <c r="U476" s="1" t="s">
        <v>3289</v>
      </c>
      <c r="V476" s="2" t="s">
        <v>755</v>
      </c>
      <c r="W476" s="1" t="s">
        <v>827</v>
      </c>
      <c r="X476" s="2" t="s">
        <v>3426</v>
      </c>
      <c r="Y476" s="14">
        <v>46041</v>
      </c>
      <c r="Z476" s="14">
        <v>46044</v>
      </c>
      <c r="AA476" s="14">
        <v>46039</v>
      </c>
      <c r="AB476" s="14">
        <v>46039</v>
      </c>
      <c r="AC476" s="14">
        <v>46042</v>
      </c>
      <c r="AD476" s="2">
        <v>22917792950</v>
      </c>
      <c r="AE476" s="2" t="s">
        <v>3388</v>
      </c>
      <c r="AF476" s="2">
        <v>3</v>
      </c>
      <c r="AG476" s="2">
        <v>720</v>
      </c>
      <c r="AH476" s="2"/>
      <c r="AI476" s="2" t="s">
        <v>180</v>
      </c>
      <c r="AJ476" s="2"/>
      <c r="AK476" s="14">
        <v>46037</v>
      </c>
      <c r="AL476" s="14">
        <v>46038</v>
      </c>
      <c r="AM476" s="14">
        <v>46039</v>
      </c>
      <c r="AN476" s="2"/>
      <c r="AO476" s="79">
        <v>6947601</v>
      </c>
      <c r="AP476" s="14">
        <v>46039</v>
      </c>
      <c r="AQ476" s="14">
        <v>46042</v>
      </c>
      <c r="AR476" s="15"/>
      <c r="AS476" s="2"/>
      <c r="AT476" s="44">
        <v>52962</v>
      </c>
      <c r="AU476" s="15"/>
      <c r="AV476" s="14">
        <v>46043</v>
      </c>
      <c r="AW476" s="14">
        <v>46043</v>
      </c>
      <c r="AX476" s="15"/>
      <c r="AY476" s="2">
        <v>7038693</v>
      </c>
      <c r="AZ476" s="5">
        <v>46044</v>
      </c>
      <c r="BA476" s="1">
        <v>18891715</v>
      </c>
      <c r="BB476" s="2">
        <v>3400509</v>
      </c>
      <c r="BC476" s="5">
        <v>46044</v>
      </c>
      <c r="BD476" s="14">
        <v>46044</v>
      </c>
      <c r="BE476" s="15"/>
      <c r="BF476" s="32">
        <v>46045</v>
      </c>
      <c r="BG476" s="5">
        <v>46046</v>
      </c>
      <c r="BH476" s="1" t="s">
        <v>3650</v>
      </c>
      <c r="BI476" s="1" t="s">
        <v>273</v>
      </c>
      <c r="BJ476" s="15"/>
      <c r="BK476" s="15"/>
      <c r="BL476" s="15"/>
      <c r="BM476" s="15"/>
      <c r="BN476" s="15"/>
      <c r="BO476" s="15"/>
      <c r="BP476" s="15"/>
      <c r="BQ476" s="14">
        <v>46043</v>
      </c>
      <c r="BR476" s="14">
        <v>46043</v>
      </c>
    </row>
    <row r="477" spans="1:70" s="140" customFormat="1" ht="18" customHeight="1" x14ac:dyDescent="0.3">
      <c r="A477" s="2">
        <v>477</v>
      </c>
      <c r="B477" s="2">
        <v>1031153</v>
      </c>
      <c r="C477" s="111">
        <v>46018</v>
      </c>
      <c r="D477" s="2">
        <v>207146</v>
      </c>
      <c r="E477" s="2" t="s">
        <v>681</v>
      </c>
      <c r="F477" s="2" t="s">
        <v>3014</v>
      </c>
      <c r="G477" s="2" t="s">
        <v>3082</v>
      </c>
      <c r="H477" s="2">
        <v>100</v>
      </c>
      <c r="I477" s="83">
        <v>52887</v>
      </c>
      <c r="J477" s="2" t="s">
        <v>142</v>
      </c>
      <c r="K477" s="2" t="s">
        <v>126</v>
      </c>
      <c r="L477" s="2" t="s">
        <v>854</v>
      </c>
      <c r="M477" s="134">
        <v>46041</v>
      </c>
      <c r="N477" s="56" t="s">
        <v>3651</v>
      </c>
      <c r="O477" s="1"/>
      <c r="P477" s="15"/>
      <c r="Q477" s="67">
        <f t="shared" si="54"/>
        <v>3</v>
      </c>
      <c r="R477" s="29">
        <f t="shared" si="49"/>
        <v>4</v>
      </c>
      <c r="S477" s="15"/>
      <c r="T477" s="1"/>
      <c r="U477" s="1" t="s">
        <v>3299</v>
      </c>
      <c r="V477" s="2" t="s">
        <v>755</v>
      </c>
      <c r="W477" s="1" t="s">
        <v>827</v>
      </c>
      <c r="X477" s="2" t="s">
        <v>3431</v>
      </c>
      <c r="Y477" s="14">
        <v>46041</v>
      </c>
      <c r="Z477" s="14">
        <v>46044</v>
      </c>
      <c r="AA477" s="14">
        <v>46039</v>
      </c>
      <c r="AB477" s="14">
        <v>46039</v>
      </c>
      <c r="AC477" s="14">
        <v>46042</v>
      </c>
      <c r="AD477" s="2">
        <v>22917792950</v>
      </c>
      <c r="AE477" s="2" t="s">
        <v>3389</v>
      </c>
      <c r="AF477" s="2">
        <v>3</v>
      </c>
      <c r="AG477" s="2">
        <v>720</v>
      </c>
      <c r="AH477" s="2"/>
      <c r="AI477" s="2" t="s">
        <v>180</v>
      </c>
      <c r="AJ477" s="2"/>
      <c r="AK477" s="14">
        <v>46037</v>
      </c>
      <c r="AL477" s="14">
        <v>46038</v>
      </c>
      <c r="AM477" s="14">
        <v>46039</v>
      </c>
      <c r="AN477" s="2"/>
      <c r="AO477" s="79">
        <v>6949544</v>
      </c>
      <c r="AP477" s="14">
        <v>46039</v>
      </c>
      <c r="AQ477" s="14">
        <v>46042</v>
      </c>
      <c r="AR477" s="15"/>
      <c r="AS477" s="2"/>
      <c r="AT477" s="44">
        <v>52940</v>
      </c>
      <c r="AU477" s="15"/>
      <c r="AV477" s="14">
        <v>46042</v>
      </c>
      <c r="AW477" s="14">
        <v>46043</v>
      </c>
      <c r="AX477" s="15"/>
      <c r="AY477" s="2">
        <v>7038698</v>
      </c>
      <c r="AZ477" s="5">
        <v>46044</v>
      </c>
      <c r="BA477" s="1">
        <v>18891715</v>
      </c>
      <c r="BB477" s="2">
        <v>3400509</v>
      </c>
      <c r="BC477" s="5">
        <v>46044</v>
      </c>
      <c r="BD477" s="14">
        <v>46044</v>
      </c>
      <c r="BE477" s="15"/>
      <c r="BF477" s="32">
        <v>46045</v>
      </c>
      <c r="BG477" s="5">
        <v>46046</v>
      </c>
      <c r="BH477" s="1" t="s">
        <v>3650</v>
      </c>
      <c r="BI477" s="1" t="s">
        <v>1769</v>
      </c>
      <c r="BJ477" s="15"/>
      <c r="BK477" s="15"/>
      <c r="BL477" s="15"/>
      <c r="BM477" s="15"/>
      <c r="BN477" s="15"/>
      <c r="BO477" s="15"/>
      <c r="BP477" s="15"/>
      <c r="BQ477" s="14">
        <v>46043</v>
      </c>
      <c r="BR477" s="14">
        <v>46043</v>
      </c>
    </row>
    <row r="478" spans="1:70" s="140" customFormat="1" ht="18" customHeight="1" x14ac:dyDescent="0.3">
      <c r="A478" s="2">
        <v>478</v>
      </c>
      <c r="B478" s="2">
        <v>1031151</v>
      </c>
      <c r="C478" s="111">
        <v>46018</v>
      </c>
      <c r="D478" s="2">
        <v>207146</v>
      </c>
      <c r="E478" s="2" t="s">
        <v>681</v>
      </c>
      <c r="F478" s="2" t="s">
        <v>3014</v>
      </c>
      <c r="G478" s="2" t="s">
        <v>3082</v>
      </c>
      <c r="H478" s="2">
        <v>100</v>
      </c>
      <c r="I478" s="83">
        <v>52888</v>
      </c>
      <c r="J478" s="2" t="s">
        <v>142</v>
      </c>
      <c r="K478" s="2" t="s">
        <v>126</v>
      </c>
      <c r="L478" s="2" t="s">
        <v>854</v>
      </c>
      <c r="M478" s="134">
        <v>46041</v>
      </c>
      <c r="N478" s="56" t="s">
        <v>3656</v>
      </c>
      <c r="O478" s="1"/>
      <c r="P478" s="15"/>
      <c r="Q478" s="67">
        <f t="shared" si="54"/>
        <v>3</v>
      </c>
      <c r="R478" s="29">
        <f t="shared" ref="R478:R479" si="55">BG478-AC478</f>
        <v>4</v>
      </c>
      <c r="S478" s="15"/>
      <c r="T478" s="1"/>
      <c r="U478" s="1" t="s">
        <v>3299</v>
      </c>
      <c r="V478" s="2" t="s">
        <v>755</v>
      </c>
      <c r="W478" s="1" t="s">
        <v>827</v>
      </c>
      <c r="X478" s="2" t="s">
        <v>3425</v>
      </c>
      <c r="Y478" s="14">
        <v>46041</v>
      </c>
      <c r="Z478" s="14">
        <v>46044</v>
      </c>
      <c r="AA478" s="14">
        <v>46039</v>
      </c>
      <c r="AB478" s="14">
        <v>46039</v>
      </c>
      <c r="AC478" s="14">
        <v>46042</v>
      </c>
      <c r="AD478" s="2">
        <v>22917792961</v>
      </c>
      <c r="AE478" s="2" t="s">
        <v>3390</v>
      </c>
      <c r="AF478" s="2">
        <v>3</v>
      </c>
      <c r="AG478" s="2">
        <v>720</v>
      </c>
      <c r="AH478" s="2"/>
      <c r="AI478" s="2" t="s">
        <v>180</v>
      </c>
      <c r="AJ478" s="2"/>
      <c r="AK478" s="14">
        <v>46037</v>
      </c>
      <c r="AL478" s="14">
        <v>46038</v>
      </c>
      <c r="AM478" s="14">
        <v>46039</v>
      </c>
      <c r="AN478" s="2"/>
      <c r="AO478" s="79">
        <v>6949546</v>
      </c>
      <c r="AP478" s="14">
        <v>46039</v>
      </c>
      <c r="AQ478" s="14">
        <v>46042</v>
      </c>
      <c r="AR478" s="15"/>
      <c r="AS478" s="2"/>
      <c r="AT478" s="44">
        <v>52941</v>
      </c>
      <c r="AU478" s="15"/>
      <c r="AV478" s="14">
        <v>46042</v>
      </c>
      <c r="AW478" s="14">
        <v>46043</v>
      </c>
      <c r="AX478" s="15"/>
      <c r="AY478" s="2">
        <v>7038617</v>
      </c>
      <c r="AZ478" s="5">
        <v>46044</v>
      </c>
      <c r="BA478" s="1">
        <v>18891715</v>
      </c>
      <c r="BB478" s="2">
        <v>3400509</v>
      </c>
      <c r="BC478" s="5">
        <v>46044</v>
      </c>
      <c r="BD478" s="14">
        <v>46044</v>
      </c>
      <c r="BE478" s="15"/>
      <c r="BF478" s="32">
        <v>46045</v>
      </c>
      <c r="BG478" s="5">
        <v>46046</v>
      </c>
      <c r="BH478" s="1" t="s">
        <v>3652</v>
      </c>
      <c r="BI478" s="1" t="s">
        <v>273</v>
      </c>
      <c r="BJ478" s="15"/>
      <c r="BK478" s="15"/>
      <c r="BL478" s="15"/>
      <c r="BM478" s="15"/>
      <c r="BN478" s="15"/>
      <c r="BO478" s="15"/>
      <c r="BP478" s="15"/>
      <c r="BQ478" s="14">
        <v>46043</v>
      </c>
      <c r="BR478" s="5">
        <v>46043</v>
      </c>
    </row>
    <row r="479" spans="1:70" s="140" customFormat="1" ht="18" customHeight="1" x14ac:dyDescent="0.3">
      <c r="A479" s="2">
        <v>479</v>
      </c>
      <c r="B479" s="2">
        <v>1031150</v>
      </c>
      <c r="C479" s="111">
        <v>46018</v>
      </c>
      <c r="D479" s="2">
        <v>207146</v>
      </c>
      <c r="E479" s="2" t="s">
        <v>681</v>
      </c>
      <c r="F479" s="2" t="s">
        <v>3014</v>
      </c>
      <c r="G479" s="2" t="s">
        <v>3082</v>
      </c>
      <c r="H479" s="2">
        <v>100</v>
      </c>
      <c r="I479" s="83">
        <v>52889</v>
      </c>
      <c r="J479" s="2" t="s">
        <v>142</v>
      </c>
      <c r="K479" s="2" t="s">
        <v>126</v>
      </c>
      <c r="L479" s="2" t="s">
        <v>854</v>
      </c>
      <c r="M479" s="134">
        <v>46041</v>
      </c>
      <c r="N479" s="56" t="s">
        <v>3651</v>
      </c>
      <c r="O479" s="1"/>
      <c r="P479" s="15"/>
      <c r="Q479" s="67">
        <f t="shared" si="54"/>
        <v>3</v>
      </c>
      <c r="R479" s="29">
        <f t="shared" si="55"/>
        <v>4</v>
      </c>
      <c r="S479" s="15"/>
      <c r="T479" s="1"/>
      <c r="U479" s="1" t="s">
        <v>3299</v>
      </c>
      <c r="V479" s="2" t="s">
        <v>755</v>
      </c>
      <c r="W479" s="1" t="s">
        <v>827</v>
      </c>
      <c r="X479" s="2" t="s">
        <v>3424</v>
      </c>
      <c r="Y479" s="14">
        <v>46041</v>
      </c>
      <c r="Z479" s="14">
        <v>46044</v>
      </c>
      <c r="AA479" s="14">
        <v>46039</v>
      </c>
      <c r="AB479" s="14">
        <v>46039</v>
      </c>
      <c r="AC479" s="14">
        <v>46042</v>
      </c>
      <c r="AD479" s="2">
        <v>22917792961</v>
      </c>
      <c r="AE479" s="2" t="s">
        <v>3391</v>
      </c>
      <c r="AF479" s="2">
        <v>3</v>
      </c>
      <c r="AG479" s="2">
        <v>720</v>
      </c>
      <c r="AH479" s="2"/>
      <c r="AI479" s="2" t="s">
        <v>180</v>
      </c>
      <c r="AJ479" s="2"/>
      <c r="AK479" s="14">
        <v>46037</v>
      </c>
      <c r="AL479" s="14">
        <v>46038</v>
      </c>
      <c r="AM479" s="14">
        <v>46039</v>
      </c>
      <c r="AN479" s="2"/>
      <c r="AO479" s="79">
        <v>6947600</v>
      </c>
      <c r="AP479" s="14">
        <v>46039</v>
      </c>
      <c r="AQ479" s="14">
        <v>46042</v>
      </c>
      <c r="AR479" s="15"/>
      <c r="AS479" s="2"/>
      <c r="AT479" s="44">
        <v>52963</v>
      </c>
      <c r="AU479" s="15"/>
      <c r="AV479" s="14">
        <v>46043</v>
      </c>
      <c r="AW479" s="14">
        <v>46043</v>
      </c>
      <c r="AX479" s="15"/>
      <c r="AY479" s="2">
        <v>7038700</v>
      </c>
      <c r="AZ479" s="5">
        <v>46044</v>
      </c>
      <c r="BA479" s="1">
        <v>18891715</v>
      </c>
      <c r="BB479" s="2">
        <v>3400509</v>
      </c>
      <c r="BC479" s="5">
        <v>46044</v>
      </c>
      <c r="BD479" s="14">
        <v>46044</v>
      </c>
      <c r="BE479" s="15"/>
      <c r="BF479" s="32">
        <v>46045</v>
      </c>
      <c r="BG479" s="5">
        <v>46046</v>
      </c>
      <c r="BH479" s="1" t="s">
        <v>3650</v>
      </c>
      <c r="BI479" s="1" t="s">
        <v>273</v>
      </c>
      <c r="BJ479" s="15"/>
      <c r="BK479" s="15"/>
      <c r="BL479" s="15"/>
      <c r="BM479" s="15"/>
      <c r="BN479" s="15"/>
      <c r="BO479" s="15"/>
      <c r="BP479" s="15"/>
      <c r="BQ479" s="14">
        <v>46043</v>
      </c>
      <c r="BR479" s="14">
        <v>46043</v>
      </c>
    </row>
    <row r="480" spans="1:70" ht="18" customHeight="1" x14ac:dyDescent="0.3">
      <c r="A480" s="2">
        <v>480</v>
      </c>
      <c r="B480" s="2">
        <v>7011079</v>
      </c>
      <c r="C480" s="111">
        <v>45986</v>
      </c>
      <c r="D480" s="2">
        <v>93465</v>
      </c>
      <c r="E480" s="2" t="s">
        <v>840</v>
      </c>
      <c r="F480" s="8" t="s">
        <v>219</v>
      </c>
      <c r="G480" s="8" t="s">
        <v>2757</v>
      </c>
      <c r="H480" s="8" t="s">
        <v>653</v>
      </c>
      <c r="I480" s="83">
        <v>52435</v>
      </c>
      <c r="J480" s="2" t="s">
        <v>1631</v>
      </c>
      <c r="K480" s="2" t="s">
        <v>126</v>
      </c>
      <c r="L480" s="2" t="s">
        <v>1632</v>
      </c>
      <c r="M480" s="134">
        <v>46009</v>
      </c>
      <c r="N480" s="56" t="s">
        <v>3686</v>
      </c>
      <c r="Q480" s="67">
        <f t="shared" ref="Q480:Q490" si="56">AQ480-AB480</f>
        <v>14</v>
      </c>
      <c r="R480" s="29">
        <f>BG480-AC480</f>
        <v>24</v>
      </c>
      <c r="T480" s="1"/>
      <c r="U480" s="1" t="s">
        <v>2690</v>
      </c>
      <c r="V480" s="1" t="s">
        <v>384</v>
      </c>
      <c r="W480" s="1" t="s">
        <v>421</v>
      </c>
      <c r="X480" s="2">
        <v>20255154045</v>
      </c>
      <c r="Y480" s="14">
        <v>46021</v>
      </c>
      <c r="Z480" s="14">
        <v>46027</v>
      </c>
      <c r="AA480" s="14">
        <v>45995</v>
      </c>
      <c r="AB480" s="14">
        <v>46008</v>
      </c>
      <c r="AC480" s="14">
        <v>46022</v>
      </c>
      <c r="AD480" s="2" t="s">
        <v>2869</v>
      </c>
      <c r="AE480" s="2" t="s">
        <v>2881</v>
      </c>
      <c r="AF480" s="2">
        <v>3</v>
      </c>
      <c r="AG480" s="2">
        <v>5.3</v>
      </c>
      <c r="AH480" s="2"/>
      <c r="AI480" s="2" t="s">
        <v>180</v>
      </c>
      <c r="AJ480" s="2"/>
      <c r="AK480" s="14">
        <v>46003</v>
      </c>
      <c r="AL480" s="14">
        <v>46004</v>
      </c>
      <c r="AM480" s="14">
        <v>46006</v>
      </c>
      <c r="AN480" s="2"/>
      <c r="AO480" s="2">
        <v>6372370</v>
      </c>
      <c r="AP480" s="14">
        <v>46009</v>
      </c>
      <c r="AQ480" s="14">
        <v>46022</v>
      </c>
      <c r="AS480" s="2"/>
      <c r="AT480" s="44">
        <v>52509</v>
      </c>
      <c r="AV480" s="14">
        <v>46027</v>
      </c>
      <c r="AW480" s="14">
        <v>46028</v>
      </c>
      <c r="AY480" s="2">
        <v>6833444</v>
      </c>
      <c r="AZ480" s="5">
        <v>46034</v>
      </c>
      <c r="BA480" s="1">
        <v>8486622</v>
      </c>
      <c r="BB480" s="2">
        <v>1527592</v>
      </c>
      <c r="BC480" s="5">
        <v>46034</v>
      </c>
      <c r="BD480" s="14">
        <v>46034</v>
      </c>
      <c r="BF480" s="32">
        <v>46035</v>
      </c>
      <c r="BG480" s="5">
        <v>46046</v>
      </c>
      <c r="BH480" s="1" t="s">
        <v>3664</v>
      </c>
      <c r="BI480" s="1" t="s">
        <v>282</v>
      </c>
      <c r="BQ480" s="14">
        <v>46028</v>
      </c>
      <c r="BR480" s="1"/>
    </row>
    <row r="481" spans="1:70" ht="18" customHeight="1" x14ac:dyDescent="0.3">
      <c r="A481" s="2">
        <v>481</v>
      </c>
      <c r="B481" s="2">
        <v>7010334</v>
      </c>
      <c r="C481" s="111">
        <v>45929</v>
      </c>
      <c r="D481" s="2">
        <v>83080</v>
      </c>
      <c r="E481" s="2" t="s">
        <v>840</v>
      </c>
      <c r="F481" s="8" t="s">
        <v>219</v>
      </c>
      <c r="G481" s="8" t="s">
        <v>2582</v>
      </c>
      <c r="H481" s="8" t="s">
        <v>141</v>
      </c>
      <c r="I481" s="83">
        <v>52091</v>
      </c>
      <c r="J481" s="2" t="s">
        <v>1631</v>
      </c>
      <c r="K481" s="2" t="s">
        <v>126</v>
      </c>
      <c r="L481" s="2" t="s">
        <v>1632</v>
      </c>
      <c r="M481" s="134">
        <v>45975</v>
      </c>
      <c r="N481" s="56" t="s">
        <v>3681</v>
      </c>
      <c r="Q481" s="67">
        <f t="shared" si="56"/>
        <v>3</v>
      </c>
      <c r="R481" s="29">
        <f t="shared" ref="R481:R544" si="57">BG481-AC481</f>
        <v>66</v>
      </c>
      <c r="T481" s="1">
        <v>558</v>
      </c>
      <c r="U481" s="1" t="s">
        <v>2690</v>
      </c>
      <c r="V481" s="1" t="s">
        <v>384</v>
      </c>
      <c r="W481" s="1" t="s">
        <v>421</v>
      </c>
      <c r="X481" s="2">
        <v>20255154050</v>
      </c>
      <c r="Y481" s="14">
        <v>46021</v>
      </c>
      <c r="Z481" s="14">
        <v>46027</v>
      </c>
      <c r="AA481" s="14">
        <v>45954</v>
      </c>
      <c r="AB481" s="14">
        <v>45977</v>
      </c>
      <c r="AC481" s="14">
        <v>45980</v>
      </c>
      <c r="AD481" s="2" t="s">
        <v>2693</v>
      </c>
      <c r="AE481" s="2"/>
      <c r="AF481" s="2">
        <v>3</v>
      </c>
      <c r="AG481" s="2">
        <v>4.57</v>
      </c>
      <c r="AH481" s="2"/>
      <c r="AI481" s="2" t="s">
        <v>180</v>
      </c>
      <c r="AJ481" s="2"/>
      <c r="AK481" s="14">
        <v>45974</v>
      </c>
      <c r="AL481" s="14">
        <v>45974</v>
      </c>
      <c r="AM481" s="14">
        <v>45975</v>
      </c>
      <c r="AN481" s="2"/>
      <c r="AO481" s="2">
        <v>5749164</v>
      </c>
      <c r="AP481" s="14">
        <v>45978</v>
      </c>
      <c r="AQ481" s="14">
        <v>45980</v>
      </c>
      <c r="AR481" s="15" t="s">
        <v>2770</v>
      </c>
      <c r="AS481" s="2"/>
      <c r="AT481" s="44">
        <v>52142</v>
      </c>
      <c r="AV481" s="14">
        <v>46027</v>
      </c>
      <c r="AW481" s="14">
        <v>46030</v>
      </c>
      <c r="AY481" s="2">
        <v>6833331</v>
      </c>
      <c r="AZ481" s="5">
        <v>46034</v>
      </c>
      <c r="BA481" s="1">
        <v>7543664</v>
      </c>
      <c r="BB481" s="2">
        <v>1357860</v>
      </c>
      <c r="BC481" s="5">
        <v>46034</v>
      </c>
      <c r="BD481" s="14">
        <v>46035</v>
      </c>
      <c r="BF481" s="32">
        <v>46036</v>
      </c>
      <c r="BG481" s="5">
        <v>46046</v>
      </c>
      <c r="BH481" s="1" t="s">
        <v>3664</v>
      </c>
      <c r="BI481" s="1" t="s">
        <v>282</v>
      </c>
      <c r="BQ481" s="14">
        <v>46030</v>
      </c>
      <c r="BR481" s="1"/>
    </row>
    <row r="482" spans="1:70" ht="18" customHeight="1" x14ac:dyDescent="0.3">
      <c r="A482" s="2">
        <v>482</v>
      </c>
      <c r="B482" s="2">
        <v>7010331</v>
      </c>
      <c r="C482" s="111">
        <v>45929</v>
      </c>
      <c r="D482" s="2">
        <v>51925</v>
      </c>
      <c r="E482" s="2" t="s">
        <v>840</v>
      </c>
      <c r="F482" s="8" t="s">
        <v>219</v>
      </c>
      <c r="G482" s="8" t="s">
        <v>2582</v>
      </c>
      <c r="H482" s="8" t="s">
        <v>446</v>
      </c>
      <c r="I482" s="83">
        <v>52092</v>
      </c>
      <c r="J482" s="2" t="s">
        <v>1631</v>
      </c>
      <c r="K482" s="2" t="s">
        <v>126</v>
      </c>
      <c r="L482" s="2" t="s">
        <v>1632</v>
      </c>
      <c r="M482" s="134">
        <v>45975</v>
      </c>
      <c r="N482" s="56" t="s">
        <v>3682</v>
      </c>
      <c r="Q482" s="67">
        <f t="shared" si="56"/>
        <v>3</v>
      </c>
      <c r="R482" s="29">
        <f t="shared" si="57"/>
        <v>66</v>
      </c>
      <c r="T482" s="1"/>
      <c r="U482" s="1" t="s">
        <v>2690</v>
      </c>
      <c r="V482" s="1" t="s">
        <v>384</v>
      </c>
      <c r="W482" s="1" t="s">
        <v>421</v>
      </c>
      <c r="X482" s="2">
        <v>20255153939</v>
      </c>
      <c r="Y482" s="14">
        <v>46021</v>
      </c>
      <c r="Z482" s="14">
        <v>46027</v>
      </c>
      <c r="AA482" s="14">
        <v>45954</v>
      </c>
      <c r="AB482" s="14">
        <v>45977</v>
      </c>
      <c r="AC482" s="14">
        <v>45980</v>
      </c>
      <c r="AD482" s="2" t="s">
        <v>2694</v>
      </c>
      <c r="AE482" s="2"/>
      <c r="AF482" s="2">
        <v>2</v>
      </c>
      <c r="AG482" s="2">
        <v>2.88</v>
      </c>
      <c r="AH482" s="2"/>
      <c r="AI482" s="2" t="s">
        <v>180</v>
      </c>
      <c r="AJ482" s="2"/>
      <c r="AK482" s="14">
        <v>45974</v>
      </c>
      <c r="AL482" s="14">
        <v>45974</v>
      </c>
      <c r="AM482" s="14">
        <v>45975</v>
      </c>
      <c r="AN482" s="2"/>
      <c r="AO482" s="2">
        <v>5749544</v>
      </c>
      <c r="AP482" s="14">
        <v>45978</v>
      </c>
      <c r="AQ482" s="14">
        <v>45980</v>
      </c>
      <c r="AR482" s="15" t="s">
        <v>2771</v>
      </c>
      <c r="AS482" s="2"/>
      <c r="AT482" s="44">
        <v>52143</v>
      </c>
      <c r="AV482" s="14">
        <v>46027</v>
      </c>
      <c r="AW482" s="14">
        <v>46027</v>
      </c>
      <c r="AY482" s="2">
        <v>6832015</v>
      </c>
      <c r="AZ482" s="5">
        <v>46034</v>
      </c>
      <c r="BA482" s="1">
        <v>4714790</v>
      </c>
      <c r="BB482" s="2">
        <v>848662</v>
      </c>
      <c r="BC482" s="5">
        <v>46034</v>
      </c>
      <c r="BD482" s="14">
        <v>46034</v>
      </c>
      <c r="BF482" s="32">
        <v>46035</v>
      </c>
      <c r="BG482" s="5">
        <v>46046</v>
      </c>
      <c r="BH482" s="1" t="s">
        <v>3664</v>
      </c>
      <c r="BI482" s="1" t="s">
        <v>282</v>
      </c>
      <c r="BQ482" s="14">
        <v>46027</v>
      </c>
      <c r="BR482" s="1"/>
    </row>
    <row r="483" spans="1:70" ht="18" customHeight="1" x14ac:dyDescent="0.3">
      <c r="A483" s="2">
        <v>483</v>
      </c>
      <c r="B483" s="2">
        <v>7010332</v>
      </c>
      <c r="C483" s="111">
        <v>45929</v>
      </c>
      <c r="D483" s="2">
        <v>51925</v>
      </c>
      <c r="E483" s="2" t="s">
        <v>840</v>
      </c>
      <c r="F483" s="8" t="s">
        <v>219</v>
      </c>
      <c r="G483" s="8" t="s">
        <v>2582</v>
      </c>
      <c r="H483" s="8" t="s">
        <v>446</v>
      </c>
      <c r="I483" s="83">
        <v>52093</v>
      </c>
      <c r="J483" s="2" t="s">
        <v>1631</v>
      </c>
      <c r="K483" s="2" t="s">
        <v>126</v>
      </c>
      <c r="L483" s="2" t="s">
        <v>1632</v>
      </c>
      <c r="M483" s="134">
        <v>45975</v>
      </c>
      <c r="N483" s="56" t="s">
        <v>3683</v>
      </c>
      <c r="Q483" s="67">
        <f t="shared" si="56"/>
        <v>3</v>
      </c>
      <c r="R483" s="29">
        <f t="shared" si="57"/>
        <v>66</v>
      </c>
      <c r="T483" s="1"/>
      <c r="U483" s="1" t="s">
        <v>2690</v>
      </c>
      <c r="V483" s="1" t="s">
        <v>384</v>
      </c>
      <c r="W483" s="1" t="s">
        <v>421</v>
      </c>
      <c r="X483" s="2">
        <v>20255153996</v>
      </c>
      <c r="Y483" s="14">
        <v>46021</v>
      </c>
      <c r="Z483" s="14">
        <v>46027</v>
      </c>
      <c r="AA483" s="14">
        <v>45954</v>
      </c>
      <c r="AB483" s="14">
        <v>45977</v>
      </c>
      <c r="AC483" s="14">
        <v>45980</v>
      </c>
      <c r="AD483" s="2" t="s">
        <v>2695</v>
      </c>
      <c r="AE483" s="2"/>
      <c r="AF483" s="2">
        <v>2</v>
      </c>
      <c r="AG483" s="2">
        <v>2.88</v>
      </c>
      <c r="AH483" s="2"/>
      <c r="AI483" s="2" t="s">
        <v>180</v>
      </c>
      <c r="AJ483" s="2"/>
      <c r="AK483" s="14">
        <v>45974</v>
      </c>
      <c r="AL483" s="14">
        <v>45974</v>
      </c>
      <c r="AM483" s="14">
        <v>45975</v>
      </c>
      <c r="AN483" s="2"/>
      <c r="AO483" s="2">
        <v>5749935</v>
      </c>
      <c r="AP483" s="14">
        <v>45978</v>
      </c>
      <c r="AQ483" s="14">
        <v>45980</v>
      </c>
      <c r="AR483" s="15" t="s">
        <v>2772</v>
      </c>
      <c r="AS483" s="2"/>
      <c r="AT483" s="44">
        <v>52144</v>
      </c>
      <c r="AV483" s="14">
        <v>46027</v>
      </c>
      <c r="AW483" s="14">
        <v>46030</v>
      </c>
      <c r="AY483" s="2">
        <v>6857956</v>
      </c>
      <c r="AZ483" s="5">
        <v>46035</v>
      </c>
      <c r="BA483" s="1">
        <v>4714790</v>
      </c>
      <c r="BB483" s="2">
        <v>848662</v>
      </c>
      <c r="BC483" s="5">
        <v>46035</v>
      </c>
      <c r="BD483" s="14">
        <v>46035</v>
      </c>
      <c r="BF483" s="32">
        <v>46036</v>
      </c>
      <c r="BG483" s="5">
        <v>46046</v>
      </c>
      <c r="BH483" s="1" t="s">
        <v>3664</v>
      </c>
      <c r="BI483" s="1" t="s">
        <v>282</v>
      </c>
      <c r="BQ483" s="14">
        <v>46030</v>
      </c>
      <c r="BR483" s="1"/>
    </row>
    <row r="484" spans="1:70" ht="18" customHeight="1" x14ac:dyDescent="0.3">
      <c r="A484" s="2">
        <v>484</v>
      </c>
      <c r="B484" s="2">
        <v>7010333</v>
      </c>
      <c r="C484" s="111">
        <v>45929</v>
      </c>
      <c r="D484" s="2">
        <v>51925</v>
      </c>
      <c r="E484" s="2" t="s">
        <v>840</v>
      </c>
      <c r="F484" s="8" t="s">
        <v>219</v>
      </c>
      <c r="G484" s="8" t="s">
        <v>2582</v>
      </c>
      <c r="H484" s="8" t="s">
        <v>446</v>
      </c>
      <c r="I484" s="83">
        <v>52094</v>
      </c>
      <c r="J484" s="2" t="s">
        <v>1631</v>
      </c>
      <c r="K484" s="2" t="s">
        <v>126</v>
      </c>
      <c r="L484" s="2" t="s">
        <v>1632</v>
      </c>
      <c r="M484" s="134">
        <v>45975</v>
      </c>
      <c r="N484" s="56" t="s">
        <v>3684</v>
      </c>
      <c r="Q484" s="67">
        <f t="shared" si="56"/>
        <v>3</v>
      </c>
      <c r="R484" s="29">
        <f t="shared" si="57"/>
        <v>66</v>
      </c>
      <c r="T484" s="1"/>
      <c r="U484" s="1" t="s">
        <v>2690</v>
      </c>
      <c r="V484" s="1" t="s">
        <v>384</v>
      </c>
      <c r="W484" s="1" t="s">
        <v>421</v>
      </c>
      <c r="X484" s="2">
        <v>20255154051</v>
      </c>
      <c r="Y484" s="14">
        <v>46021</v>
      </c>
      <c r="Z484" s="14">
        <v>46027</v>
      </c>
      <c r="AA484" s="14">
        <v>45954</v>
      </c>
      <c r="AB484" s="14">
        <v>45977</v>
      </c>
      <c r="AC484" s="14">
        <v>45980</v>
      </c>
      <c r="AD484" s="2" t="s">
        <v>2696</v>
      </c>
      <c r="AE484" s="2"/>
      <c r="AF484" s="2">
        <v>2</v>
      </c>
      <c r="AG484" s="2">
        <v>2.88</v>
      </c>
      <c r="AH484" s="2"/>
      <c r="AI484" s="2" t="s">
        <v>180</v>
      </c>
      <c r="AJ484" s="2"/>
      <c r="AK484" s="14">
        <v>45974</v>
      </c>
      <c r="AL484" s="14">
        <v>45974</v>
      </c>
      <c r="AM484" s="14">
        <v>45975</v>
      </c>
      <c r="AN484" s="2"/>
      <c r="AO484" s="2">
        <v>5750156</v>
      </c>
      <c r="AP484" s="14">
        <v>45978</v>
      </c>
      <c r="AQ484" s="14">
        <v>45980</v>
      </c>
      <c r="AR484" s="15" t="s">
        <v>2773</v>
      </c>
      <c r="AS484" s="2"/>
      <c r="AT484" s="44">
        <v>52146</v>
      </c>
      <c r="AV484" s="14">
        <v>46027</v>
      </c>
      <c r="AW484" s="14">
        <v>46027</v>
      </c>
      <c r="AY484" s="2">
        <v>6857946</v>
      </c>
      <c r="AZ484" s="5">
        <v>46035</v>
      </c>
      <c r="BA484" s="1">
        <v>4714790</v>
      </c>
      <c r="BB484" s="2">
        <v>848662</v>
      </c>
      <c r="BC484" s="5">
        <v>46035</v>
      </c>
      <c r="BD484" s="14">
        <v>46035</v>
      </c>
      <c r="BF484" s="32">
        <v>46036</v>
      </c>
      <c r="BG484" s="5">
        <v>46046</v>
      </c>
      <c r="BH484" s="1" t="s">
        <v>3664</v>
      </c>
      <c r="BI484" s="1" t="s">
        <v>282</v>
      </c>
      <c r="BQ484" s="14">
        <v>46027</v>
      </c>
      <c r="BR484" s="5"/>
    </row>
    <row r="485" spans="1:70" ht="18" customHeight="1" x14ac:dyDescent="0.3">
      <c r="A485" s="2">
        <v>485</v>
      </c>
      <c r="B485" s="2">
        <v>7002615</v>
      </c>
      <c r="C485" s="111">
        <v>45922</v>
      </c>
      <c r="D485" s="2">
        <v>103850</v>
      </c>
      <c r="E485" s="2" t="s">
        <v>840</v>
      </c>
      <c r="F485" s="8" t="s">
        <v>219</v>
      </c>
      <c r="G485" s="8" t="s">
        <v>2582</v>
      </c>
      <c r="H485" s="8" t="s">
        <v>749</v>
      </c>
      <c r="I485" s="83">
        <v>52095</v>
      </c>
      <c r="J485" s="2" t="s">
        <v>1631</v>
      </c>
      <c r="K485" s="2" t="s">
        <v>126</v>
      </c>
      <c r="L485" s="2" t="s">
        <v>1632</v>
      </c>
      <c r="M485" s="134">
        <v>45975</v>
      </c>
      <c r="N485" s="56" t="s">
        <v>3685</v>
      </c>
      <c r="Q485" s="67">
        <f t="shared" si="56"/>
        <v>3</v>
      </c>
      <c r="R485" s="29">
        <f t="shared" si="57"/>
        <v>66</v>
      </c>
      <c r="T485" s="1"/>
      <c r="U485" s="1" t="s">
        <v>2690</v>
      </c>
      <c r="V485" s="1" t="s">
        <v>384</v>
      </c>
      <c r="W485" s="1" t="s">
        <v>421</v>
      </c>
      <c r="X485" s="2">
        <v>20255154012</v>
      </c>
      <c r="Y485" s="14">
        <v>46021</v>
      </c>
      <c r="Z485" s="14">
        <v>46027</v>
      </c>
      <c r="AA485" s="14">
        <v>45954</v>
      </c>
      <c r="AB485" s="14">
        <v>45977</v>
      </c>
      <c r="AC485" s="14">
        <v>45980</v>
      </c>
      <c r="AD485" s="2" t="s">
        <v>2697</v>
      </c>
      <c r="AE485" s="2"/>
      <c r="AF485" s="2">
        <v>4</v>
      </c>
      <c r="AG485" s="2">
        <v>6.92</v>
      </c>
      <c r="AH485" s="2"/>
      <c r="AI485" s="2" t="s">
        <v>180</v>
      </c>
      <c r="AJ485" s="2"/>
      <c r="AK485" s="14">
        <v>45974</v>
      </c>
      <c r="AL485" s="14">
        <v>45974</v>
      </c>
      <c r="AM485" s="14">
        <v>45975</v>
      </c>
      <c r="AN485" s="2"/>
      <c r="AO485" s="2">
        <v>5746259</v>
      </c>
      <c r="AP485" s="14">
        <v>45978</v>
      </c>
      <c r="AQ485" s="14">
        <v>45980</v>
      </c>
      <c r="AR485" s="15" t="s">
        <v>2772</v>
      </c>
      <c r="AS485" s="2"/>
      <c r="AT485" s="44">
        <v>52147</v>
      </c>
      <c r="AV485" s="14">
        <v>46027</v>
      </c>
      <c r="AW485" s="14">
        <v>46030</v>
      </c>
      <c r="AY485" s="2">
        <v>6832019</v>
      </c>
      <c r="AZ485" s="5">
        <v>46034</v>
      </c>
      <c r="BA485" s="1">
        <v>9429580</v>
      </c>
      <c r="BB485" s="2">
        <v>1697324</v>
      </c>
      <c r="BC485" s="5">
        <v>46034</v>
      </c>
      <c r="BD485" s="14">
        <v>46034</v>
      </c>
      <c r="BF485" s="32">
        <v>46036</v>
      </c>
      <c r="BG485" s="5">
        <v>46046</v>
      </c>
      <c r="BH485" s="1" t="s">
        <v>3664</v>
      </c>
      <c r="BI485" s="1" t="s">
        <v>282</v>
      </c>
      <c r="BQ485" s="14">
        <v>46030</v>
      </c>
      <c r="BR485" s="1"/>
    </row>
    <row r="486" spans="1:70" ht="18" customHeight="1" x14ac:dyDescent="0.3">
      <c r="A486" s="2">
        <v>486</v>
      </c>
      <c r="B486" s="2">
        <v>7010392</v>
      </c>
      <c r="C486" s="111">
        <v>45929</v>
      </c>
      <c r="D486" s="2">
        <v>136530</v>
      </c>
      <c r="E486" s="2" t="s">
        <v>840</v>
      </c>
      <c r="F486" s="8" t="s">
        <v>2525</v>
      </c>
      <c r="G486" s="8" t="s">
        <v>2580</v>
      </c>
      <c r="H486" s="8" t="s">
        <v>653</v>
      </c>
      <c r="I486" s="83">
        <v>51844</v>
      </c>
      <c r="J486" s="2" t="s">
        <v>142</v>
      </c>
      <c r="K486" s="2" t="s">
        <v>126</v>
      </c>
      <c r="L486" s="2" t="s">
        <v>854</v>
      </c>
      <c r="M486" s="134">
        <v>45957</v>
      </c>
      <c r="N486" s="56" t="s">
        <v>3688</v>
      </c>
      <c r="Q486" s="67">
        <f t="shared" si="56"/>
        <v>2</v>
      </c>
      <c r="R486" s="29">
        <f t="shared" si="57"/>
        <v>90</v>
      </c>
      <c r="T486" s="1">
        <v>1834</v>
      </c>
      <c r="U486" s="2" t="s">
        <v>2527</v>
      </c>
      <c r="V486" s="2" t="s">
        <v>335</v>
      </c>
      <c r="W486" s="2" t="s">
        <v>163</v>
      </c>
      <c r="X486" s="2" t="s">
        <v>3215</v>
      </c>
      <c r="Y486" s="14">
        <v>46027</v>
      </c>
      <c r="Z486" s="14">
        <v>46031</v>
      </c>
      <c r="AA486" s="14">
        <v>45957</v>
      </c>
      <c r="AB486" s="14">
        <v>45957</v>
      </c>
      <c r="AC486" s="14">
        <v>45959</v>
      </c>
      <c r="AD486" s="2">
        <v>17604825925</v>
      </c>
      <c r="AE486" s="2" t="s">
        <v>2530</v>
      </c>
      <c r="AF486" s="2">
        <v>4</v>
      </c>
      <c r="AG486" s="2">
        <v>348</v>
      </c>
      <c r="AH486" s="2"/>
      <c r="AI486" s="2" t="s">
        <v>629</v>
      </c>
      <c r="AJ486" s="2"/>
      <c r="AK486" s="14">
        <v>45954</v>
      </c>
      <c r="AL486" s="14">
        <v>45954</v>
      </c>
      <c r="AM486" s="14">
        <v>45955</v>
      </c>
      <c r="AN486" s="2"/>
      <c r="AO486" s="2">
        <v>5340533</v>
      </c>
      <c r="AP486" s="14">
        <v>45957</v>
      </c>
      <c r="AQ486" s="14">
        <v>45959</v>
      </c>
      <c r="AR486" s="15" t="s">
        <v>2637</v>
      </c>
      <c r="AS486" s="2"/>
      <c r="AT486" s="44">
        <v>51915</v>
      </c>
      <c r="AV486" s="14">
        <v>46028</v>
      </c>
      <c r="AW486" s="14">
        <v>46029</v>
      </c>
      <c r="AY486" s="2">
        <v>6879298</v>
      </c>
      <c r="AZ486" s="5">
        <v>46036</v>
      </c>
      <c r="BA486" s="1">
        <v>12396924</v>
      </c>
      <c r="BB486" s="2">
        <v>2231446</v>
      </c>
      <c r="BC486" s="5">
        <v>46036</v>
      </c>
      <c r="BD486" s="14">
        <v>46038</v>
      </c>
      <c r="BF486" s="32">
        <v>46039</v>
      </c>
      <c r="BG486" s="5">
        <v>46049</v>
      </c>
      <c r="BH486" s="1" t="s">
        <v>3687</v>
      </c>
      <c r="BI486" s="1" t="s">
        <v>273</v>
      </c>
      <c r="BQ486" s="14">
        <v>46029</v>
      </c>
      <c r="BR486" s="14"/>
    </row>
    <row r="487" spans="1:70" ht="18" customHeight="1" x14ac:dyDescent="0.3">
      <c r="A487" s="2">
        <v>487</v>
      </c>
      <c r="B487" s="2">
        <v>7010393</v>
      </c>
      <c r="C487" s="111">
        <v>45929</v>
      </c>
      <c r="D487" s="2">
        <v>136530</v>
      </c>
      <c r="E487" s="2" t="s">
        <v>840</v>
      </c>
      <c r="F487" s="8" t="s">
        <v>2525</v>
      </c>
      <c r="G487" s="8" t="s">
        <v>2580</v>
      </c>
      <c r="H487" s="8" t="s">
        <v>653</v>
      </c>
      <c r="I487" s="83">
        <v>51879</v>
      </c>
      <c r="J487" s="2" t="s">
        <v>142</v>
      </c>
      <c r="K487" s="2" t="s">
        <v>126</v>
      </c>
      <c r="L487" s="2" t="s">
        <v>854</v>
      </c>
      <c r="M487" s="134">
        <v>45957</v>
      </c>
      <c r="N487" s="56" t="s">
        <v>3689</v>
      </c>
      <c r="Q487" s="67">
        <f t="shared" si="56"/>
        <v>3</v>
      </c>
      <c r="R487" s="29">
        <f t="shared" si="57"/>
        <v>89</v>
      </c>
      <c r="T487" s="1">
        <v>1834</v>
      </c>
      <c r="U487" s="2" t="s">
        <v>2527</v>
      </c>
      <c r="V487" s="2" t="s">
        <v>335</v>
      </c>
      <c r="W487" s="2" t="s">
        <v>163</v>
      </c>
      <c r="X487" s="2" t="s">
        <v>3217</v>
      </c>
      <c r="Y487" s="14">
        <v>46027</v>
      </c>
      <c r="Z487" s="14">
        <v>46031</v>
      </c>
      <c r="AA487" s="14">
        <v>45957</v>
      </c>
      <c r="AB487" s="14">
        <v>45957</v>
      </c>
      <c r="AC487" s="14">
        <v>45960</v>
      </c>
      <c r="AD487" s="2">
        <v>15749686744</v>
      </c>
      <c r="AE487" s="2" t="s">
        <v>2542</v>
      </c>
      <c r="AF487" s="2">
        <v>4</v>
      </c>
      <c r="AG487" s="2">
        <v>357</v>
      </c>
      <c r="AH487" s="2"/>
      <c r="AI487" s="2" t="s">
        <v>629</v>
      </c>
      <c r="AJ487" s="2"/>
      <c r="AK487" s="14">
        <v>45957</v>
      </c>
      <c r="AL487" s="14">
        <v>45958</v>
      </c>
      <c r="AM487" s="14">
        <v>45958</v>
      </c>
      <c r="AN487" s="2"/>
      <c r="AO487" s="2">
        <v>5355263</v>
      </c>
      <c r="AP487" s="14">
        <v>45958</v>
      </c>
      <c r="AQ487" s="14">
        <v>45960</v>
      </c>
      <c r="AR487" s="15" t="s">
        <v>2644</v>
      </c>
      <c r="AS487" s="2"/>
      <c r="AT487" s="44">
        <v>51927</v>
      </c>
      <c r="AV487" s="14">
        <v>46028</v>
      </c>
      <c r="AW487" s="14">
        <v>46029</v>
      </c>
      <c r="AY487" s="2">
        <v>6879312</v>
      </c>
      <c r="AZ487" s="5">
        <v>46036</v>
      </c>
      <c r="BA487" s="1">
        <v>12396924</v>
      </c>
      <c r="BB487" s="2">
        <v>2231446</v>
      </c>
      <c r="BC487" s="5">
        <v>46036</v>
      </c>
      <c r="BD487" s="14">
        <v>46038</v>
      </c>
      <c r="BF487" s="32">
        <v>46039</v>
      </c>
      <c r="BG487" s="5">
        <v>46049</v>
      </c>
      <c r="BH487" s="1" t="s">
        <v>3687</v>
      </c>
      <c r="BI487" s="1" t="s">
        <v>273</v>
      </c>
      <c r="BQ487" s="14">
        <v>46029</v>
      </c>
      <c r="BR487" s="1"/>
    </row>
    <row r="488" spans="1:70" ht="18" customHeight="1" x14ac:dyDescent="0.3">
      <c r="A488" s="2">
        <v>488</v>
      </c>
      <c r="B488" s="2">
        <v>7010390</v>
      </c>
      <c r="C488" s="111">
        <v>45929</v>
      </c>
      <c r="D488" s="2">
        <v>91020</v>
      </c>
      <c r="E488" s="2" t="s">
        <v>840</v>
      </c>
      <c r="F488" s="8" t="s">
        <v>2525</v>
      </c>
      <c r="G488" s="8" t="s">
        <v>2580</v>
      </c>
      <c r="H488" s="8" t="s">
        <v>451</v>
      </c>
      <c r="I488" s="83">
        <v>51880</v>
      </c>
      <c r="J488" s="2" t="s">
        <v>142</v>
      </c>
      <c r="K488" s="2" t="s">
        <v>126</v>
      </c>
      <c r="L488" s="2" t="s">
        <v>854</v>
      </c>
      <c r="M488" s="134">
        <v>45957</v>
      </c>
      <c r="N488" s="56" t="s">
        <v>3690</v>
      </c>
      <c r="Q488" s="67">
        <f t="shared" si="56"/>
        <v>3</v>
      </c>
      <c r="R488" s="29">
        <f t="shared" si="57"/>
        <v>89</v>
      </c>
      <c r="T488" s="1">
        <v>1223</v>
      </c>
      <c r="U488" s="2" t="s">
        <v>2527</v>
      </c>
      <c r="V488" s="2" t="s">
        <v>335</v>
      </c>
      <c r="W488" s="2" t="s">
        <v>163</v>
      </c>
      <c r="X488" s="2" t="s">
        <v>3218</v>
      </c>
      <c r="Y488" s="14">
        <v>46027</v>
      </c>
      <c r="Z488" s="14">
        <v>46031</v>
      </c>
      <c r="AA488" s="14">
        <v>45957</v>
      </c>
      <c r="AB488" s="14">
        <v>45957</v>
      </c>
      <c r="AC488" s="14">
        <v>45960</v>
      </c>
      <c r="AD488" s="2">
        <v>15749686744</v>
      </c>
      <c r="AE488" s="2" t="s">
        <v>2543</v>
      </c>
      <c r="AF488" s="2">
        <v>1</v>
      </c>
      <c r="AG488" s="2">
        <v>232</v>
      </c>
      <c r="AH488" s="2"/>
      <c r="AI488" s="2" t="s">
        <v>629</v>
      </c>
      <c r="AJ488" s="2"/>
      <c r="AK488" s="14">
        <v>45957</v>
      </c>
      <c r="AL488" s="14">
        <v>45958</v>
      </c>
      <c r="AM488" s="14">
        <v>45958</v>
      </c>
      <c r="AN488" s="2"/>
      <c r="AO488" s="2">
        <v>5355624</v>
      </c>
      <c r="AP488" s="14">
        <v>45958</v>
      </c>
      <c r="AQ488" s="14">
        <v>45960</v>
      </c>
      <c r="AR488" s="15" t="s">
        <v>2644</v>
      </c>
      <c r="AS488" s="2"/>
      <c r="AT488" s="44">
        <v>51928</v>
      </c>
      <c r="AV488" s="14">
        <v>46028</v>
      </c>
      <c r="AW488" s="14">
        <v>46029</v>
      </c>
      <c r="AY488" s="2">
        <v>6879313</v>
      </c>
      <c r="AZ488" s="5">
        <v>46036</v>
      </c>
      <c r="BA488" s="1">
        <v>8264616</v>
      </c>
      <c r="BB488" s="2">
        <v>1487631</v>
      </c>
      <c r="BC488" s="5">
        <v>46036</v>
      </c>
      <c r="BD488" s="14">
        <v>46038</v>
      </c>
      <c r="BF488" s="32">
        <v>46039</v>
      </c>
      <c r="BG488" s="5">
        <v>46049</v>
      </c>
      <c r="BH488" s="1" t="s">
        <v>3687</v>
      </c>
      <c r="BI488" s="1" t="s">
        <v>273</v>
      </c>
      <c r="BQ488" s="14">
        <v>46029</v>
      </c>
      <c r="BR488" s="1"/>
    </row>
    <row r="489" spans="1:70" ht="18" customHeight="1" x14ac:dyDescent="0.3">
      <c r="A489" s="2">
        <v>489</v>
      </c>
      <c r="B489" s="2">
        <v>7010391</v>
      </c>
      <c r="C489" s="111">
        <v>45929</v>
      </c>
      <c r="D489" s="2">
        <v>91020</v>
      </c>
      <c r="E489" s="2" t="s">
        <v>840</v>
      </c>
      <c r="F489" s="8" t="s">
        <v>2525</v>
      </c>
      <c r="G489" s="8" t="s">
        <v>2580</v>
      </c>
      <c r="H489" s="8" t="s">
        <v>451</v>
      </c>
      <c r="I489" s="83">
        <v>51881</v>
      </c>
      <c r="J489" s="2" t="s">
        <v>142</v>
      </c>
      <c r="K489" s="2" t="s">
        <v>126</v>
      </c>
      <c r="L489" s="2" t="s">
        <v>854</v>
      </c>
      <c r="M489" s="134">
        <v>45957</v>
      </c>
      <c r="N489" s="56" t="s">
        <v>3691</v>
      </c>
      <c r="Q489" s="67">
        <f t="shared" si="56"/>
        <v>3</v>
      </c>
      <c r="R489" s="29">
        <f t="shared" si="57"/>
        <v>89</v>
      </c>
      <c r="T489" s="1">
        <v>1223</v>
      </c>
      <c r="U489" s="2" t="s">
        <v>2527</v>
      </c>
      <c r="V489" s="2" t="s">
        <v>335</v>
      </c>
      <c r="W489" s="2" t="s">
        <v>163</v>
      </c>
      <c r="X489" s="2" t="s">
        <v>3219</v>
      </c>
      <c r="Y489" s="14">
        <v>46027</v>
      </c>
      <c r="Z489" s="14">
        <v>46031</v>
      </c>
      <c r="AA489" s="14">
        <v>45957</v>
      </c>
      <c r="AB489" s="14">
        <v>45957</v>
      </c>
      <c r="AC489" s="14">
        <v>45960</v>
      </c>
      <c r="AD489" s="2">
        <v>15749686744</v>
      </c>
      <c r="AE489" s="2" t="s">
        <v>2544</v>
      </c>
      <c r="AF489" s="2">
        <v>1</v>
      </c>
      <c r="AG489" s="2">
        <v>232</v>
      </c>
      <c r="AH489" s="2"/>
      <c r="AI489" s="2" t="s">
        <v>629</v>
      </c>
      <c r="AJ489" s="2"/>
      <c r="AK489" s="14">
        <v>45957</v>
      </c>
      <c r="AL489" s="14">
        <v>45958</v>
      </c>
      <c r="AM489" s="14">
        <v>45958</v>
      </c>
      <c r="AN489" s="2"/>
      <c r="AO489" s="141">
        <v>5355622</v>
      </c>
      <c r="AP489" s="14">
        <v>45958</v>
      </c>
      <c r="AQ489" s="14">
        <v>45960</v>
      </c>
      <c r="AR489" s="15" t="s">
        <v>2644</v>
      </c>
      <c r="AS489" s="2"/>
      <c r="AT489" s="44">
        <v>51930</v>
      </c>
      <c r="AV489" s="14">
        <v>46028</v>
      </c>
      <c r="AW489" s="14">
        <v>46029</v>
      </c>
      <c r="AY489" s="2">
        <v>6879963</v>
      </c>
      <c r="AZ489" s="5">
        <v>46036</v>
      </c>
      <c r="BA489" s="1">
        <v>8264616</v>
      </c>
      <c r="BB489" s="2">
        <v>1487631</v>
      </c>
      <c r="BC489" s="5">
        <v>46036</v>
      </c>
      <c r="BD489" s="14">
        <v>46038</v>
      </c>
      <c r="BF489" s="32">
        <v>46039</v>
      </c>
      <c r="BG489" s="5">
        <v>46049</v>
      </c>
      <c r="BH489" s="1" t="s">
        <v>3687</v>
      </c>
      <c r="BI489" s="1" t="s">
        <v>273</v>
      </c>
      <c r="BQ489" s="14">
        <v>46029</v>
      </c>
      <c r="BR489" s="1"/>
    </row>
    <row r="490" spans="1:70" ht="18" customHeight="1" x14ac:dyDescent="0.3">
      <c r="A490" s="2">
        <v>490</v>
      </c>
      <c r="B490" s="2">
        <v>7074485</v>
      </c>
      <c r="C490" s="111">
        <v>46018</v>
      </c>
      <c r="D490" s="2">
        <v>93080</v>
      </c>
      <c r="E490" s="2" t="s">
        <v>840</v>
      </c>
      <c r="F490" s="7" t="s">
        <v>3383</v>
      </c>
      <c r="G490" s="7" t="s">
        <v>1337</v>
      </c>
      <c r="H490" s="8" t="s">
        <v>141</v>
      </c>
      <c r="I490" s="83">
        <v>52871</v>
      </c>
      <c r="J490" s="2" t="s">
        <v>142</v>
      </c>
      <c r="K490" s="2" t="s">
        <v>126</v>
      </c>
      <c r="L490" s="2" t="s">
        <v>854</v>
      </c>
      <c r="M490" s="134">
        <v>46037</v>
      </c>
      <c r="N490" s="56" t="s">
        <v>3693</v>
      </c>
      <c r="Q490" s="67">
        <f t="shared" si="56"/>
        <v>4</v>
      </c>
      <c r="R490" s="29">
        <f t="shared" si="57"/>
        <v>10</v>
      </c>
      <c r="T490" s="1"/>
      <c r="U490" s="2" t="s">
        <v>3384</v>
      </c>
      <c r="V490" s="2" t="s">
        <v>2975</v>
      </c>
      <c r="W490" s="2" t="s">
        <v>2976</v>
      </c>
      <c r="X490" s="2">
        <v>20265004457</v>
      </c>
      <c r="Y490" s="14">
        <v>46035</v>
      </c>
      <c r="Z490" s="14">
        <v>46039</v>
      </c>
      <c r="AA490" s="14">
        <v>46037</v>
      </c>
      <c r="AB490" s="14">
        <v>46037</v>
      </c>
      <c r="AC490" s="14">
        <v>46041</v>
      </c>
      <c r="AD490" s="2">
        <v>23215594751</v>
      </c>
      <c r="AE490" s="2" t="s">
        <v>3385</v>
      </c>
      <c r="AF490" s="2">
        <v>3</v>
      </c>
      <c r="AG490" s="2">
        <v>788.5</v>
      </c>
      <c r="AH490" s="2"/>
      <c r="AI490" s="2" t="s">
        <v>629</v>
      </c>
      <c r="AJ490" s="2"/>
      <c r="AK490" s="14">
        <v>46037</v>
      </c>
      <c r="AL490" s="14">
        <v>46038</v>
      </c>
      <c r="AM490" s="14">
        <v>46038</v>
      </c>
      <c r="AN490" s="2"/>
      <c r="AO490" s="2">
        <v>6925095</v>
      </c>
      <c r="AP490" s="14">
        <v>46038</v>
      </c>
      <c r="AQ490" s="14">
        <v>46041</v>
      </c>
      <c r="AS490" s="2"/>
      <c r="AT490" s="44">
        <v>52929</v>
      </c>
      <c r="AV490" s="14">
        <v>46042</v>
      </c>
      <c r="AW490" s="2" t="s">
        <v>3692</v>
      </c>
      <c r="AY490" s="2">
        <v>7125258</v>
      </c>
      <c r="AZ490" s="116">
        <v>46049</v>
      </c>
      <c r="BA490" s="1">
        <v>8488896</v>
      </c>
      <c r="BB490" s="2">
        <v>1528001</v>
      </c>
      <c r="BC490" s="5">
        <v>46049</v>
      </c>
      <c r="BD490" s="14">
        <v>46049</v>
      </c>
      <c r="BF490" s="32">
        <v>46050</v>
      </c>
      <c r="BG490" s="5">
        <v>46051</v>
      </c>
      <c r="BH490" s="1" t="s">
        <v>2683</v>
      </c>
      <c r="BI490" s="1" t="s">
        <v>273</v>
      </c>
      <c r="BQ490" s="14">
        <v>46043</v>
      </c>
      <c r="BR490" s="5">
        <v>46043</v>
      </c>
    </row>
    <row r="491" spans="1:70" ht="18" customHeight="1" x14ac:dyDescent="0.3">
      <c r="A491" s="2">
        <v>491</v>
      </c>
      <c r="B491" s="8" t="s">
        <v>2981</v>
      </c>
      <c r="C491" s="8" t="s">
        <v>2982</v>
      </c>
      <c r="D491" s="8" t="s">
        <v>2983</v>
      </c>
      <c r="E491" s="2" t="s">
        <v>840</v>
      </c>
      <c r="F491" s="8" t="s">
        <v>2985</v>
      </c>
      <c r="G491" s="8" t="s">
        <v>2986</v>
      </c>
      <c r="H491" s="8" t="s">
        <v>2984</v>
      </c>
      <c r="I491" s="83">
        <v>52535</v>
      </c>
      <c r="J491" s="2" t="s">
        <v>1631</v>
      </c>
      <c r="K491" s="2" t="s">
        <v>126</v>
      </c>
      <c r="L491" s="2" t="s">
        <v>1632</v>
      </c>
      <c r="M491" s="134">
        <v>46016</v>
      </c>
      <c r="N491" s="56" t="s">
        <v>3707</v>
      </c>
      <c r="Q491" s="67">
        <f t="shared" ref="Q491:Q507" si="58">AQ491-AB491</f>
        <v>12</v>
      </c>
      <c r="R491" s="29">
        <f t="shared" si="57"/>
        <v>27</v>
      </c>
      <c r="T491" s="1">
        <v>1664</v>
      </c>
      <c r="U491" s="8" t="s">
        <v>2987</v>
      </c>
      <c r="V491" s="2" t="s">
        <v>161</v>
      </c>
      <c r="W491" s="2" t="s">
        <v>454</v>
      </c>
      <c r="X491" s="2">
        <v>20255148298</v>
      </c>
      <c r="Y491" s="14">
        <v>46007</v>
      </c>
      <c r="Z491" s="14">
        <v>46015</v>
      </c>
      <c r="AA491" s="14">
        <v>45996</v>
      </c>
      <c r="AB491" s="14">
        <v>46016</v>
      </c>
      <c r="AC491" s="14">
        <v>46028</v>
      </c>
      <c r="AD491" s="2" t="s">
        <v>2979</v>
      </c>
      <c r="AE491" s="2" t="s">
        <v>2988</v>
      </c>
      <c r="AF491" s="2">
        <v>10</v>
      </c>
      <c r="AG491" s="2">
        <v>12.54</v>
      </c>
      <c r="AH491" s="2"/>
      <c r="AI491" s="2" t="s">
        <v>180</v>
      </c>
      <c r="AJ491" s="2"/>
      <c r="AK491" s="14">
        <v>46012</v>
      </c>
      <c r="AL491" s="14">
        <v>46014</v>
      </c>
      <c r="AM491" s="14">
        <v>46014</v>
      </c>
      <c r="AN491" s="2"/>
      <c r="AO491" s="2">
        <v>6558697</v>
      </c>
      <c r="AP491" s="14">
        <v>46018</v>
      </c>
      <c r="AQ491" s="14">
        <v>46028</v>
      </c>
      <c r="AS491" s="2"/>
      <c r="AT491" s="44">
        <v>52770</v>
      </c>
      <c r="AV491" s="14">
        <v>46030</v>
      </c>
      <c r="AW491" s="14">
        <v>46035</v>
      </c>
      <c r="AY491" s="2">
        <v>7125264</v>
      </c>
      <c r="AZ491" s="32">
        <v>46049</v>
      </c>
      <c r="BA491" s="1">
        <v>22495574</v>
      </c>
      <c r="BB491" s="2">
        <v>4049203</v>
      </c>
      <c r="BC491" s="5">
        <v>46049</v>
      </c>
      <c r="BD491" s="14">
        <v>46050</v>
      </c>
      <c r="BF491" s="32">
        <v>46051</v>
      </c>
      <c r="BG491" s="5">
        <v>46055</v>
      </c>
      <c r="BH491" s="1" t="s">
        <v>1550</v>
      </c>
      <c r="BI491" s="1" t="s">
        <v>282</v>
      </c>
      <c r="BQ491" s="14">
        <v>46035</v>
      </c>
      <c r="BR491" s="1"/>
    </row>
    <row r="492" spans="1:70" ht="18" customHeight="1" x14ac:dyDescent="0.3">
      <c r="A492" s="2">
        <v>492</v>
      </c>
      <c r="B492" s="7">
        <v>7065111</v>
      </c>
      <c r="C492" s="111">
        <v>46003</v>
      </c>
      <c r="D492" s="2">
        <v>4654</v>
      </c>
      <c r="E492" s="2" t="s">
        <v>840</v>
      </c>
      <c r="F492" s="8" t="s">
        <v>1382</v>
      </c>
      <c r="G492" s="8" t="s">
        <v>1383</v>
      </c>
      <c r="H492" s="8" t="s">
        <v>3195</v>
      </c>
      <c r="I492" s="83">
        <v>52708</v>
      </c>
      <c r="J492" s="2" t="s">
        <v>142</v>
      </c>
      <c r="K492" s="2" t="s">
        <v>126</v>
      </c>
      <c r="L492" s="2" t="s">
        <v>854</v>
      </c>
      <c r="M492" s="134">
        <v>46030</v>
      </c>
      <c r="N492" s="56" t="s">
        <v>3708</v>
      </c>
      <c r="Q492" s="67">
        <f t="shared" si="58"/>
        <v>5</v>
      </c>
      <c r="R492" s="29">
        <f t="shared" si="57"/>
        <v>20</v>
      </c>
      <c r="T492" s="1">
        <v>31</v>
      </c>
      <c r="U492" s="1" t="s">
        <v>3196</v>
      </c>
      <c r="V492" s="1" t="s">
        <v>239</v>
      </c>
      <c r="W492" s="1" t="s">
        <v>454</v>
      </c>
      <c r="X492" s="2">
        <v>20255154313</v>
      </c>
      <c r="Y492" s="14">
        <v>46022</v>
      </c>
      <c r="Z492" s="14">
        <v>46027</v>
      </c>
      <c r="AA492" s="14">
        <v>46030</v>
      </c>
      <c r="AB492" s="14">
        <v>46030</v>
      </c>
      <c r="AC492" s="14">
        <v>46035</v>
      </c>
      <c r="AD492" s="2">
        <v>61849698670</v>
      </c>
      <c r="AE492" s="2" t="s">
        <v>3197</v>
      </c>
      <c r="AF492" s="2">
        <v>1</v>
      </c>
      <c r="AG492" s="2">
        <v>45</v>
      </c>
      <c r="AH492" s="2"/>
      <c r="AI492" s="2" t="s">
        <v>180</v>
      </c>
      <c r="AJ492" s="2"/>
      <c r="AK492" s="14">
        <v>46024</v>
      </c>
      <c r="AL492" s="14">
        <v>46024</v>
      </c>
      <c r="AM492" s="14">
        <v>46027</v>
      </c>
      <c r="AN492" s="2"/>
      <c r="AO492" s="2">
        <v>6792480</v>
      </c>
      <c r="AP492" s="14">
        <v>46031</v>
      </c>
      <c r="AQ492" s="14">
        <v>46035</v>
      </c>
      <c r="AS492" s="2"/>
      <c r="AT492" s="44">
        <v>52845</v>
      </c>
      <c r="AV492" s="14">
        <v>46036</v>
      </c>
      <c r="AW492" s="14">
        <v>46037</v>
      </c>
      <c r="AY492" s="2">
        <v>7125263</v>
      </c>
      <c r="AZ492" s="32">
        <v>46049</v>
      </c>
      <c r="BA492" s="1">
        <v>424445</v>
      </c>
      <c r="BB492" s="2">
        <v>76400</v>
      </c>
      <c r="BC492" s="5">
        <v>46049</v>
      </c>
      <c r="BD492" s="14">
        <v>46050</v>
      </c>
      <c r="BF492" s="32">
        <v>46051</v>
      </c>
      <c r="BG492" s="5">
        <v>46055</v>
      </c>
      <c r="BH492" s="1" t="s">
        <v>3344</v>
      </c>
      <c r="BI492" s="1" t="s">
        <v>282</v>
      </c>
      <c r="BQ492" s="14">
        <v>46037</v>
      </c>
      <c r="BR492" s="5">
        <v>46037</v>
      </c>
    </row>
    <row r="493" spans="1:70" ht="18" customHeight="1" x14ac:dyDescent="0.3">
      <c r="A493" s="2">
        <v>493</v>
      </c>
      <c r="B493" s="8" t="s">
        <v>3231</v>
      </c>
      <c r="C493" s="8" t="s">
        <v>3124</v>
      </c>
      <c r="D493" s="8" t="s">
        <v>3232</v>
      </c>
      <c r="E493" s="2" t="s">
        <v>840</v>
      </c>
      <c r="F493" s="8" t="s">
        <v>3233</v>
      </c>
      <c r="G493" s="8" t="s">
        <v>3234</v>
      </c>
      <c r="H493" s="8" t="s">
        <v>3235</v>
      </c>
      <c r="I493" s="83">
        <v>52758</v>
      </c>
      <c r="J493" s="2" t="s">
        <v>142</v>
      </c>
      <c r="K493" s="2" t="s">
        <v>126</v>
      </c>
      <c r="L493" s="2" t="s">
        <v>854</v>
      </c>
      <c r="M493" s="134">
        <v>46029</v>
      </c>
      <c r="N493" s="56" t="s">
        <v>3709</v>
      </c>
      <c r="Q493" s="67">
        <f t="shared" si="58"/>
        <v>5</v>
      </c>
      <c r="R493" s="29">
        <f t="shared" si="57"/>
        <v>21</v>
      </c>
      <c r="T493" s="1">
        <v>400</v>
      </c>
      <c r="U493" s="7" t="s">
        <v>3236</v>
      </c>
      <c r="V493" s="1" t="s">
        <v>239</v>
      </c>
      <c r="W493" s="1" t="s">
        <v>454</v>
      </c>
      <c r="X493" s="2">
        <v>20265000535</v>
      </c>
      <c r="Y493" s="14">
        <v>46024</v>
      </c>
      <c r="Z493" s="2" t="s">
        <v>2868</v>
      </c>
      <c r="AA493" s="14">
        <v>46029</v>
      </c>
      <c r="AB493" s="14">
        <v>46029</v>
      </c>
      <c r="AC493" s="14">
        <v>46034</v>
      </c>
      <c r="AD493" s="2">
        <v>17621172944</v>
      </c>
      <c r="AE493" s="2" t="s">
        <v>3237</v>
      </c>
      <c r="AF493" s="2">
        <v>3</v>
      </c>
      <c r="AG493" s="2">
        <v>507</v>
      </c>
      <c r="AH493" s="2"/>
      <c r="AI493" s="2" t="s">
        <v>180</v>
      </c>
      <c r="AJ493" s="2"/>
      <c r="AK493" s="14">
        <v>46028</v>
      </c>
      <c r="AL493" s="14">
        <v>46028</v>
      </c>
      <c r="AM493" s="14">
        <v>46029</v>
      </c>
      <c r="AN493" s="2"/>
      <c r="AO493" s="2">
        <v>6767385</v>
      </c>
      <c r="AP493" s="14">
        <v>46030</v>
      </c>
      <c r="AQ493" s="14">
        <v>46034</v>
      </c>
      <c r="AS493" s="2"/>
      <c r="AT493" s="44">
        <v>52816</v>
      </c>
      <c r="AV493" s="14">
        <v>46032</v>
      </c>
      <c r="AW493" s="14">
        <v>46035</v>
      </c>
      <c r="AY493" s="2">
        <v>7125262</v>
      </c>
      <c r="AZ493" s="32">
        <v>46049</v>
      </c>
      <c r="BA493" s="1">
        <v>5411671.2000000002</v>
      </c>
      <c r="BB493" s="88">
        <v>974101</v>
      </c>
      <c r="BC493" s="5">
        <v>46049</v>
      </c>
      <c r="BD493" s="14">
        <v>46051</v>
      </c>
      <c r="BF493" s="32">
        <v>46051</v>
      </c>
      <c r="BG493" s="5">
        <v>46055</v>
      </c>
      <c r="BH493" s="1" t="s">
        <v>3344</v>
      </c>
      <c r="BI493" s="1" t="s">
        <v>282</v>
      </c>
      <c r="BQ493" s="14">
        <v>46035</v>
      </c>
      <c r="BR493" s="1"/>
    </row>
    <row r="494" spans="1:70" ht="18" customHeight="1" x14ac:dyDescent="0.3">
      <c r="A494" s="2">
        <v>494</v>
      </c>
      <c r="B494" s="7">
        <v>7044596</v>
      </c>
      <c r="C494" s="111">
        <v>46007</v>
      </c>
      <c r="D494" s="2">
        <v>75850</v>
      </c>
      <c r="E494" s="2" t="s">
        <v>840</v>
      </c>
      <c r="F494" s="8" t="s">
        <v>3240</v>
      </c>
      <c r="G494" s="8" t="s">
        <v>3241</v>
      </c>
      <c r="H494" s="8" t="s">
        <v>446</v>
      </c>
      <c r="I494" s="83">
        <v>52765</v>
      </c>
      <c r="J494" s="2" t="s">
        <v>142</v>
      </c>
      <c r="K494" s="2" t="s">
        <v>126</v>
      </c>
      <c r="L494" s="2" t="s">
        <v>854</v>
      </c>
      <c r="M494" s="134">
        <v>46029</v>
      </c>
      <c r="N494" s="56" t="s">
        <v>3710</v>
      </c>
      <c r="Q494" s="67">
        <f t="shared" si="58"/>
        <v>5</v>
      </c>
      <c r="R494" s="29">
        <f t="shared" si="57"/>
        <v>21</v>
      </c>
      <c r="T494" s="1">
        <v>512</v>
      </c>
      <c r="U494" s="2" t="s">
        <v>3242</v>
      </c>
      <c r="V494" s="1" t="s">
        <v>239</v>
      </c>
      <c r="W494" s="1" t="s">
        <v>454</v>
      </c>
      <c r="X494" s="2" t="s">
        <v>3243</v>
      </c>
      <c r="Y494" s="14">
        <v>46027</v>
      </c>
      <c r="Z494" s="14">
        <v>46030</v>
      </c>
      <c r="AA494" s="14">
        <v>46029</v>
      </c>
      <c r="AB494" s="14">
        <v>46029</v>
      </c>
      <c r="AC494" s="14">
        <v>46034</v>
      </c>
      <c r="AD494" s="2" t="s">
        <v>3251</v>
      </c>
      <c r="AE494" s="2" t="s">
        <v>3250</v>
      </c>
      <c r="AF494" s="2">
        <v>1</v>
      </c>
      <c r="AG494" s="2">
        <v>205</v>
      </c>
      <c r="AH494" s="2"/>
      <c r="AI494" s="2" t="s">
        <v>629</v>
      </c>
      <c r="AJ494" s="2"/>
      <c r="AK494" s="14">
        <v>46029</v>
      </c>
      <c r="AL494" s="14">
        <v>46029</v>
      </c>
      <c r="AM494" s="14">
        <v>46029</v>
      </c>
      <c r="AN494" s="2"/>
      <c r="AO494" s="2">
        <v>6767387</v>
      </c>
      <c r="AP494" s="14">
        <v>46030</v>
      </c>
      <c r="AQ494" s="14">
        <v>46034</v>
      </c>
      <c r="AS494" s="2"/>
      <c r="AT494" s="44">
        <v>52817</v>
      </c>
      <c r="AV494" s="14">
        <v>46032</v>
      </c>
      <c r="AW494" s="14">
        <v>46035</v>
      </c>
      <c r="AY494" s="2">
        <v>7125260</v>
      </c>
      <c r="AZ494" s="116">
        <v>46049</v>
      </c>
      <c r="BA494" s="1">
        <v>6917520</v>
      </c>
      <c r="BB494" s="2">
        <v>1245154</v>
      </c>
      <c r="BC494" s="5">
        <v>46049</v>
      </c>
      <c r="BD494" s="14">
        <v>46050</v>
      </c>
      <c r="BF494" s="32">
        <v>46051</v>
      </c>
      <c r="BG494" s="5">
        <v>46055</v>
      </c>
      <c r="BH494" s="1" t="s">
        <v>3344</v>
      </c>
      <c r="BI494" s="1" t="s">
        <v>282</v>
      </c>
      <c r="BQ494" s="14">
        <v>46035</v>
      </c>
      <c r="BR494" s="1"/>
    </row>
    <row r="495" spans="1:70" ht="18" customHeight="1" x14ac:dyDescent="0.3">
      <c r="A495" s="2">
        <v>495</v>
      </c>
      <c r="B495" s="7">
        <v>1031144</v>
      </c>
      <c r="C495" s="111">
        <v>46015</v>
      </c>
      <c r="D495" s="2">
        <v>207146</v>
      </c>
      <c r="E495" s="2" t="s">
        <v>681</v>
      </c>
      <c r="F495" s="2" t="s">
        <v>3014</v>
      </c>
      <c r="G495" s="2" t="s">
        <v>3082</v>
      </c>
      <c r="H495" s="2">
        <v>100</v>
      </c>
      <c r="I495" s="83">
        <v>52799</v>
      </c>
      <c r="J495" s="2" t="s">
        <v>142</v>
      </c>
      <c r="K495" s="2" t="s">
        <v>126</v>
      </c>
      <c r="L495" s="2" t="s">
        <v>854</v>
      </c>
      <c r="M495" s="134">
        <v>46034</v>
      </c>
      <c r="N495" s="56" t="s">
        <v>3738</v>
      </c>
      <c r="Q495" s="67">
        <f t="shared" si="58"/>
        <v>4</v>
      </c>
      <c r="R495" s="29">
        <f t="shared" si="57"/>
        <v>19</v>
      </c>
      <c r="T495" s="1"/>
      <c r="U495" s="1" t="s">
        <v>3289</v>
      </c>
      <c r="V495" s="2" t="s">
        <v>755</v>
      </c>
      <c r="W495" s="1" t="s">
        <v>827</v>
      </c>
      <c r="X495" s="2" t="s">
        <v>3361</v>
      </c>
      <c r="Y495" s="14">
        <v>46034</v>
      </c>
      <c r="Z495" s="14">
        <v>46038</v>
      </c>
      <c r="AA495" s="14">
        <v>46034</v>
      </c>
      <c r="AB495" s="14">
        <v>46034</v>
      </c>
      <c r="AC495" s="14">
        <v>46038</v>
      </c>
      <c r="AD495" s="2">
        <v>21707725756</v>
      </c>
      <c r="AE495" s="2" t="s">
        <v>3291</v>
      </c>
      <c r="AF495" s="2">
        <v>3</v>
      </c>
      <c r="AG495" s="2">
        <v>728.5</v>
      </c>
      <c r="AH495" s="2"/>
      <c r="AI495" s="2" t="s">
        <v>180</v>
      </c>
      <c r="AJ495" s="2"/>
      <c r="AK495" s="14">
        <v>46031</v>
      </c>
      <c r="AL495" s="14">
        <v>46031</v>
      </c>
      <c r="AM495" s="14">
        <v>46034</v>
      </c>
      <c r="AN495" s="2"/>
      <c r="AO495" s="2">
        <v>6862910</v>
      </c>
      <c r="AP495" s="14">
        <v>46035</v>
      </c>
      <c r="AQ495" s="14">
        <v>46038</v>
      </c>
      <c r="AS495" s="2"/>
      <c r="AT495" s="44">
        <v>52883</v>
      </c>
      <c r="AV495" s="14">
        <v>46041</v>
      </c>
      <c r="AW495" s="14">
        <v>46044</v>
      </c>
      <c r="AY495" s="2">
        <v>7125256</v>
      </c>
      <c r="AZ495" s="5">
        <v>46049</v>
      </c>
      <c r="BA495" s="1">
        <v>18891715</v>
      </c>
      <c r="BB495" s="2">
        <v>3400509</v>
      </c>
      <c r="BC495" s="5">
        <v>46049</v>
      </c>
      <c r="BD495" s="5">
        <v>46049</v>
      </c>
      <c r="BF495" s="32">
        <v>46050</v>
      </c>
      <c r="BG495" s="5">
        <v>46057</v>
      </c>
      <c r="BH495" s="1" t="s">
        <v>2431</v>
      </c>
      <c r="BI495" s="1" t="s">
        <v>273</v>
      </c>
      <c r="BQ495" s="14">
        <v>46044</v>
      </c>
      <c r="BR495" s="14">
        <v>46044</v>
      </c>
    </row>
    <row r="496" spans="1:70" ht="18" customHeight="1" x14ac:dyDescent="0.3">
      <c r="A496" s="2">
        <v>496</v>
      </c>
      <c r="B496" s="7">
        <v>1031145</v>
      </c>
      <c r="C496" s="111">
        <v>46015</v>
      </c>
      <c r="D496" s="2">
        <v>207146</v>
      </c>
      <c r="E496" s="2" t="s">
        <v>681</v>
      </c>
      <c r="F496" s="2" t="s">
        <v>3014</v>
      </c>
      <c r="G496" s="2" t="s">
        <v>3082</v>
      </c>
      <c r="H496" s="2">
        <v>100</v>
      </c>
      <c r="I496" s="83">
        <v>52800</v>
      </c>
      <c r="J496" s="2" t="s">
        <v>142</v>
      </c>
      <c r="K496" s="2" t="s">
        <v>126</v>
      </c>
      <c r="L496" s="2" t="s">
        <v>854</v>
      </c>
      <c r="M496" s="134">
        <v>46036</v>
      </c>
      <c r="N496" s="56" t="s">
        <v>3739</v>
      </c>
      <c r="Q496" s="67">
        <f t="shared" si="58"/>
        <v>5</v>
      </c>
      <c r="R496" s="29">
        <f t="shared" si="57"/>
        <v>16</v>
      </c>
      <c r="T496" s="1"/>
      <c r="U496" s="1" t="s">
        <v>3289</v>
      </c>
      <c r="V496" s="2" t="s">
        <v>755</v>
      </c>
      <c r="W496" s="1" t="s">
        <v>827</v>
      </c>
      <c r="X496" s="2" t="s">
        <v>3365</v>
      </c>
      <c r="Y496" s="14">
        <v>46035</v>
      </c>
      <c r="Z496" s="14">
        <v>46038</v>
      </c>
      <c r="AA496" s="14">
        <v>46036</v>
      </c>
      <c r="AB496" s="14">
        <v>46036</v>
      </c>
      <c r="AC496" s="14">
        <v>46041</v>
      </c>
      <c r="AD496" s="2">
        <v>21707727694</v>
      </c>
      <c r="AE496" s="2" t="s">
        <v>3292</v>
      </c>
      <c r="AF496" s="2">
        <v>3</v>
      </c>
      <c r="AG496" s="2">
        <v>720</v>
      </c>
      <c r="AH496" s="2"/>
      <c r="AI496" s="2" t="s">
        <v>180</v>
      </c>
      <c r="AJ496" s="2"/>
      <c r="AK496" s="14">
        <v>46031</v>
      </c>
      <c r="AL496" s="14">
        <v>46031</v>
      </c>
      <c r="AM496" s="14">
        <v>46034</v>
      </c>
      <c r="AN496" s="2"/>
      <c r="AO496" s="141">
        <v>6922476</v>
      </c>
      <c r="AP496" s="14">
        <v>46038</v>
      </c>
      <c r="AQ496" s="14">
        <v>46041</v>
      </c>
      <c r="AS496" s="2"/>
      <c r="AT496" s="44">
        <v>52925</v>
      </c>
      <c r="AV496" s="14">
        <v>46042</v>
      </c>
      <c r="AW496" s="14">
        <v>46042</v>
      </c>
      <c r="AY496" s="2">
        <v>7125257</v>
      </c>
      <c r="AZ496" s="5">
        <v>46049</v>
      </c>
      <c r="BA496" s="1">
        <v>18891715</v>
      </c>
      <c r="BB496" s="2">
        <v>3400509</v>
      </c>
      <c r="BC496" s="5">
        <v>46049</v>
      </c>
      <c r="BD496" s="5">
        <v>46049</v>
      </c>
      <c r="BF496" s="32">
        <v>46050</v>
      </c>
      <c r="BG496" s="5">
        <v>46057</v>
      </c>
      <c r="BH496" s="1" t="s">
        <v>2431</v>
      </c>
      <c r="BI496" s="1" t="s">
        <v>273</v>
      </c>
      <c r="BQ496" s="14">
        <v>46042</v>
      </c>
      <c r="BR496" s="5">
        <v>46044</v>
      </c>
    </row>
    <row r="497" spans="1:70" ht="18" customHeight="1" x14ac:dyDescent="0.3">
      <c r="A497" s="2">
        <v>497</v>
      </c>
      <c r="B497" s="7">
        <v>1031147</v>
      </c>
      <c r="C497" s="111">
        <v>46018</v>
      </c>
      <c r="D497" s="2">
        <v>207146</v>
      </c>
      <c r="E497" s="2" t="s">
        <v>681</v>
      </c>
      <c r="F497" s="2" t="s">
        <v>3014</v>
      </c>
      <c r="G497" s="2" t="s">
        <v>3082</v>
      </c>
      <c r="H497" s="2">
        <v>100</v>
      </c>
      <c r="I497" s="83">
        <v>52895</v>
      </c>
      <c r="J497" s="2" t="s">
        <v>142</v>
      </c>
      <c r="K497" s="2" t="s">
        <v>126</v>
      </c>
      <c r="L497" s="2" t="s">
        <v>854</v>
      </c>
      <c r="M497" s="134">
        <v>46042</v>
      </c>
      <c r="N497" s="56" t="s">
        <v>3740</v>
      </c>
      <c r="Q497" s="67">
        <f t="shared" si="58"/>
        <v>2</v>
      </c>
      <c r="R497" s="29">
        <f t="shared" si="57"/>
        <v>13</v>
      </c>
      <c r="T497" s="1"/>
      <c r="U497" s="1" t="s">
        <v>3289</v>
      </c>
      <c r="V497" s="2" t="s">
        <v>755</v>
      </c>
      <c r="W497" s="1" t="s">
        <v>827</v>
      </c>
      <c r="X497" s="2" t="s">
        <v>3429</v>
      </c>
      <c r="Y497" s="14">
        <v>46041</v>
      </c>
      <c r="Z497" s="14">
        <v>46044</v>
      </c>
      <c r="AA497" s="14">
        <v>46041</v>
      </c>
      <c r="AB497" s="14">
        <v>46042</v>
      </c>
      <c r="AC497" s="14">
        <v>46044</v>
      </c>
      <c r="AD497" s="2">
        <v>22917791034</v>
      </c>
      <c r="AE497" s="2" t="s">
        <v>3395</v>
      </c>
      <c r="AF497" s="2">
        <v>3</v>
      </c>
      <c r="AG497" s="2">
        <v>720</v>
      </c>
      <c r="AH497" s="2"/>
      <c r="AI497" s="2" t="s">
        <v>180</v>
      </c>
      <c r="AJ497" s="2"/>
      <c r="AK497" s="14">
        <v>46038</v>
      </c>
      <c r="AL497" s="14">
        <v>46038</v>
      </c>
      <c r="AM497" s="14">
        <v>46039</v>
      </c>
      <c r="AN497" s="2"/>
      <c r="AO497" s="2">
        <v>6995497</v>
      </c>
      <c r="AP497" s="14">
        <v>46042</v>
      </c>
      <c r="AQ497" s="14">
        <v>46044</v>
      </c>
      <c r="AS497" s="2"/>
      <c r="AT497" s="44">
        <v>53068</v>
      </c>
      <c r="AV497" s="14">
        <v>46051</v>
      </c>
      <c r="AW497" s="14">
        <v>46052</v>
      </c>
      <c r="AY497" s="2">
        <v>7245137</v>
      </c>
      <c r="AZ497" s="5">
        <v>46055</v>
      </c>
      <c r="BA497" s="1">
        <v>18891715</v>
      </c>
      <c r="BB497" s="2">
        <v>3400509</v>
      </c>
      <c r="BC497" s="5">
        <v>46055</v>
      </c>
      <c r="BD497" s="14">
        <v>46055</v>
      </c>
      <c r="BF497" s="32">
        <v>46056</v>
      </c>
      <c r="BG497" s="5">
        <v>46057</v>
      </c>
      <c r="BH497" s="1" t="s">
        <v>2431</v>
      </c>
      <c r="BI497" s="1" t="s">
        <v>273</v>
      </c>
      <c r="BQ497" s="14">
        <v>46052</v>
      </c>
      <c r="BR497" s="5">
        <v>46052</v>
      </c>
    </row>
    <row r="498" spans="1:70" ht="18" customHeight="1" x14ac:dyDescent="0.3">
      <c r="A498" s="2">
        <v>498</v>
      </c>
      <c r="B498" s="7">
        <v>1031152</v>
      </c>
      <c r="C498" s="111">
        <v>46018</v>
      </c>
      <c r="D498" s="2">
        <v>207146</v>
      </c>
      <c r="E498" s="2" t="s">
        <v>681</v>
      </c>
      <c r="F498" s="2" t="s">
        <v>3014</v>
      </c>
      <c r="G498" s="2" t="s">
        <v>3082</v>
      </c>
      <c r="H498" s="2">
        <v>100</v>
      </c>
      <c r="I498" s="83">
        <v>52890</v>
      </c>
      <c r="J498" s="2" t="s">
        <v>142</v>
      </c>
      <c r="K498" s="2" t="s">
        <v>126</v>
      </c>
      <c r="L498" s="2" t="s">
        <v>854</v>
      </c>
      <c r="M498" s="134">
        <v>46041</v>
      </c>
      <c r="N498" s="56" t="s">
        <v>3742</v>
      </c>
      <c r="Q498" s="67">
        <f t="shared" si="58"/>
        <v>2</v>
      </c>
      <c r="R498" s="29">
        <f t="shared" si="57"/>
        <v>14</v>
      </c>
      <c r="T498" s="1"/>
      <c r="U498" s="1" t="s">
        <v>3299</v>
      </c>
      <c r="V498" s="2" t="s">
        <v>755</v>
      </c>
      <c r="W498" s="1" t="s">
        <v>827</v>
      </c>
      <c r="X498" s="2" t="s">
        <v>3428</v>
      </c>
      <c r="Y498" s="14">
        <v>46041</v>
      </c>
      <c r="Z498" s="14">
        <v>46044</v>
      </c>
      <c r="AA498" s="14">
        <v>46041</v>
      </c>
      <c r="AB498" s="14">
        <v>46041</v>
      </c>
      <c r="AC498" s="14">
        <v>46043</v>
      </c>
      <c r="AD498" s="2">
        <v>22917792972</v>
      </c>
      <c r="AE498" s="2" t="s">
        <v>3392</v>
      </c>
      <c r="AF498" s="2">
        <v>3</v>
      </c>
      <c r="AG498" s="2">
        <v>720</v>
      </c>
      <c r="AH498" s="2"/>
      <c r="AI498" s="2" t="s">
        <v>180</v>
      </c>
      <c r="AJ498" s="2"/>
      <c r="AK498" s="14">
        <v>46038</v>
      </c>
      <c r="AL498" s="14">
        <v>46038</v>
      </c>
      <c r="AM498" s="14">
        <v>46039</v>
      </c>
      <c r="AN498" s="2"/>
      <c r="AO498" s="2">
        <v>6979980</v>
      </c>
      <c r="AP498" s="14">
        <v>46041</v>
      </c>
      <c r="AQ498" s="14">
        <v>46043</v>
      </c>
      <c r="AS498" s="2"/>
      <c r="AT498" s="44">
        <v>52984</v>
      </c>
      <c r="AV498" s="14">
        <v>46044</v>
      </c>
      <c r="AW498" s="14">
        <v>46045</v>
      </c>
      <c r="AY498" s="2">
        <v>7198385</v>
      </c>
      <c r="AZ498" s="5">
        <v>46052</v>
      </c>
      <c r="BA498" s="1">
        <v>18891715</v>
      </c>
      <c r="BB498" s="2">
        <v>3400509</v>
      </c>
      <c r="BC498" s="5">
        <v>46052</v>
      </c>
      <c r="BD498" s="5">
        <v>46052</v>
      </c>
      <c r="BF498" s="32">
        <v>46053</v>
      </c>
      <c r="BG498" s="5">
        <v>46057</v>
      </c>
      <c r="BH498" s="1" t="s">
        <v>3741</v>
      </c>
      <c r="BI498" s="1" t="s">
        <v>273</v>
      </c>
      <c r="BP498" s="14"/>
      <c r="BQ498" s="14">
        <v>46045</v>
      </c>
      <c r="BR498" s="5">
        <v>46049</v>
      </c>
    </row>
    <row r="499" spans="1:70" ht="18" customHeight="1" x14ac:dyDescent="0.3">
      <c r="A499" s="2">
        <v>499</v>
      </c>
      <c r="B499" s="7">
        <v>1031149</v>
      </c>
      <c r="C499" s="111">
        <v>46018</v>
      </c>
      <c r="D499" s="2">
        <v>207146</v>
      </c>
      <c r="E499" s="2" t="s">
        <v>681</v>
      </c>
      <c r="F499" s="2" t="s">
        <v>3014</v>
      </c>
      <c r="G499" s="2" t="s">
        <v>3082</v>
      </c>
      <c r="H499" s="2">
        <v>100</v>
      </c>
      <c r="I499" s="83">
        <v>52891</v>
      </c>
      <c r="J499" s="2" t="s">
        <v>142</v>
      </c>
      <c r="K499" s="2" t="s">
        <v>126</v>
      </c>
      <c r="L499" s="2" t="s">
        <v>854</v>
      </c>
      <c r="M499" s="134">
        <v>46041</v>
      </c>
      <c r="N499" s="56" t="s">
        <v>3743</v>
      </c>
      <c r="Q499" s="67">
        <f t="shared" si="58"/>
        <v>2</v>
      </c>
      <c r="R499" s="29">
        <f t="shared" si="57"/>
        <v>14</v>
      </c>
      <c r="T499" s="1"/>
      <c r="U499" s="1" t="s">
        <v>3299</v>
      </c>
      <c r="V499" s="2" t="s">
        <v>755</v>
      </c>
      <c r="W499" s="1" t="s">
        <v>827</v>
      </c>
      <c r="X499" s="2" t="s">
        <v>3427</v>
      </c>
      <c r="Y499" s="14">
        <v>46041</v>
      </c>
      <c r="Z499" s="14">
        <v>46044</v>
      </c>
      <c r="AA499" s="14">
        <v>46041</v>
      </c>
      <c r="AB499" s="14">
        <v>46041</v>
      </c>
      <c r="AC499" s="14">
        <v>46043</v>
      </c>
      <c r="AD499" s="2">
        <v>22917792972</v>
      </c>
      <c r="AE499" s="2" t="s">
        <v>3393</v>
      </c>
      <c r="AF499" s="2">
        <v>3</v>
      </c>
      <c r="AG499" s="2">
        <v>720</v>
      </c>
      <c r="AH499" s="2"/>
      <c r="AI499" s="2" t="s">
        <v>180</v>
      </c>
      <c r="AJ499" s="2"/>
      <c r="AK499" s="14">
        <v>46038</v>
      </c>
      <c r="AL499" s="14">
        <v>46038</v>
      </c>
      <c r="AM499" s="14">
        <v>46039</v>
      </c>
      <c r="AN499" s="2"/>
      <c r="AO499" s="2">
        <v>6973755</v>
      </c>
      <c r="AP499" s="14">
        <v>46041</v>
      </c>
      <c r="AQ499" s="14">
        <v>46043</v>
      </c>
      <c r="AS499" s="2"/>
      <c r="AT499" s="44">
        <v>52986</v>
      </c>
      <c r="AV499" s="14">
        <v>46044</v>
      </c>
      <c r="AW499" s="14">
        <v>46045</v>
      </c>
      <c r="AY499" s="2">
        <v>7198997</v>
      </c>
      <c r="AZ499" s="5">
        <v>46052</v>
      </c>
      <c r="BA499" s="1">
        <v>18891715</v>
      </c>
      <c r="BB499" s="2">
        <v>3400509</v>
      </c>
      <c r="BC499" s="5">
        <v>46052</v>
      </c>
      <c r="BD499" s="5">
        <v>46052</v>
      </c>
      <c r="BF499" s="32">
        <v>46053</v>
      </c>
      <c r="BG499" s="5">
        <v>46057</v>
      </c>
      <c r="BH499" s="1" t="s">
        <v>3741</v>
      </c>
      <c r="BI499" s="1" t="s">
        <v>273</v>
      </c>
      <c r="BQ499" s="14">
        <v>46045</v>
      </c>
      <c r="BR499" s="5">
        <v>46049</v>
      </c>
    </row>
    <row r="500" spans="1:70" ht="18" customHeight="1" x14ac:dyDescent="0.3">
      <c r="A500" s="2">
        <v>500</v>
      </c>
      <c r="B500" s="7">
        <v>1031148</v>
      </c>
      <c r="C500" s="111">
        <v>46018</v>
      </c>
      <c r="D500" s="2">
        <v>103573</v>
      </c>
      <c r="E500" s="2" t="s">
        <v>681</v>
      </c>
      <c r="F500" s="8" t="s">
        <v>3022</v>
      </c>
      <c r="G500" s="8" t="s">
        <v>3187</v>
      </c>
      <c r="H500" s="8" t="s">
        <v>749</v>
      </c>
      <c r="I500" s="83">
        <v>52894</v>
      </c>
      <c r="J500" s="2" t="s">
        <v>142</v>
      </c>
      <c r="K500" s="2" t="s">
        <v>126</v>
      </c>
      <c r="L500" s="2" t="s">
        <v>854</v>
      </c>
      <c r="M500" s="134">
        <v>46041</v>
      </c>
      <c r="N500" s="56" t="s">
        <v>3743</v>
      </c>
      <c r="Q500" s="67">
        <f t="shared" si="58"/>
        <v>2</v>
      </c>
      <c r="R500" s="29">
        <f t="shared" si="57"/>
        <v>14</v>
      </c>
      <c r="T500" s="1"/>
      <c r="U500" s="1" t="s">
        <v>3289</v>
      </c>
      <c r="V500" s="2" t="s">
        <v>755</v>
      </c>
      <c r="W500" s="1" t="s">
        <v>827</v>
      </c>
      <c r="X500" s="2" t="s">
        <v>3430</v>
      </c>
      <c r="Y500" s="14">
        <v>46041</v>
      </c>
      <c r="Z500" s="14">
        <v>46044</v>
      </c>
      <c r="AA500" s="14">
        <v>46041</v>
      </c>
      <c r="AB500" s="14">
        <v>46041</v>
      </c>
      <c r="AC500" s="14">
        <v>46043</v>
      </c>
      <c r="AD500" s="2">
        <v>22917792972</v>
      </c>
      <c r="AE500" s="2" t="s">
        <v>3394</v>
      </c>
      <c r="AF500" s="2">
        <v>2</v>
      </c>
      <c r="AG500" s="2">
        <v>376</v>
      </c>
      <c r="AH500" s="2"/>
      <c r="AI500" s="2" t="s">
        <v>180</v>
      </c>
      <c r="AJ500" s="2"/>
      <c r="AK500" s="14">
        <v>46038</v>
      </c>
      <c r="AL500" s="14">
        <v>46038</v>
      </c>
      <c r="AM500" s="14">
        <v>46039</v>
      </c>
      <c r="AN500" s="2"/>
      <c r="AO500" s="2">
        <v>6974657</v>
      </c>
      <c r="AP500" s="14">
        <v>46041</v>
      </c>
      <c r="AQ500" s="14">
        <v>46043</v>
      </c>
      <c r="AS500" s="2"/>
      <c r="AT500" s="44">
        <v>52987</v>
      </c>
      <c r="AV500" s="14">
        <v>46044</v>
      </c>
      <c r="AW500" s="14">
        <v>46045</v>
      </c>
      <c r="AY500" s="2">
        <v>7198384</v>
      </c>
      <c r="AZ500" s="5">
        <v>46052</v>
      </c>
      <c r="BA500" s="1">
        <v>9445858</v>
      </c>
      <c r="BB500" s="2">
        <v>1700254</v>
      </c>
      <c r="BC500" s="5">
        <v>46052</v>
      </c>
      <c r="BD500" s="5">
        <v>46052</v>
      </c>
      <c r="BF500" s="32">
        <v>46053</v>
      </c>
      <c r="BG500" s="5">
        <v>46057</v>
      </c>
      <c r="BH500" s="1" t="s">
        <v>3741</v>
      </c>
      <c r="BI500" s="1" t="s">
        <v>273</v>
      </c>
      <c r="BQ500" s="14">
        <v>46045</v>
      </c>
      <c r="BR500" s="5">
        <v>46049</v>
      </c>
    </row>
    <row r="501" spans="1:70" ht="18" customHeight="1" x14ac:dyDescent="0.3">
      <c r="A501" s="2">
        <v>501</v>
      </c>
      <c r="B501" s="7">
        <v>7074091</v>
      </c>
      <c r="C501" s="111">
        <v>46020</v>
      </c>
      <c r="D501" s="2">
        <v>23270</v>
      </c>
      <c r="E501" s="2" t="s">
        <v>840</v>
      </c>
      <c r="F501" s="8" t="s">
        <v>1382</v>
      </c>
      <c r="G501" s="8" t="s">
        <v>1383</v>
      </c>
      <c r="H501" s="8" t="s">
        <v>770</v>
      </c>
      <c r="I501" s="83">
        <v>52942</v>
      </c>
      <c r="J501" s="2" t="s">
        <v>1631</v>
      </c>
      <c r="K501" s="2" t="s">
        <v>126</v>
      </c>
      <c r="L501" s="2" t="s">
        <v>854</v>
      </c>
      <c r="M501" s="134">
        <v>46047</v>
      </c>
      <c r="N501" s="56" t="s">
        <v>3745</v>
      </c>
      <c r="Q501" s="67">
        <f t="shared" si="58"/>
        <v>5</v>
      </c>
      <c r="R501" s="29">
        <f t="shared" si="57"/>
        <v>5</v>
      </c>
      <c r="T501" s="1"/>
      <c r="U501" s="1" t="s">
        <v>2969</v>
      </c>
      <c r="V501" s="2" t="s">
        <v>2970</v>
      </c>
      <c r="W501" s="2" t="s">
        <v>2971</v>
      </c>
      <c r="X501" s="2">
        <v>20265005259</v>
      </c>
      <c r="Y501" s="14">
        <v>46037</v>
      </c>
      <c r="Z501" s="14">
        <v>46044</v>
      </c>
      <c r="AA501" s="14">
        <v>46021</v>
      </c>
      <c r="AB501" s="14">
        <v>46047</v>
      </c>
      <c r="AC501" s="14">
        <v>46052</v>
      </c>
      <c r="AD501" s="2"/>
      <c r="AE501" s="2" t="s">
        <v>3456</v>
      </c>
      <c r="AF501" s="2">
        <v>1</v>
      </c>
      <c r="AG501" s="2">
        <v>1.49</v>
      </c>
      <c r="AH501" s="2"/>
      <c r="AI501" s="2" t="s">
        <v>180</v>
      </c>
      <c r="AJ501" s="2"/>
      <c r="AK501" s="14">
        <v>46042</v>
      </c>
      <c r="AL501" s="14">
        <v>46043</v>
      </c>
      <c r="AM501" s="14">
        <v>46043</v>
      </c>
      <c r="AN501" s="2"/>
      <c r="AO501" s="2">
        <v>7130097</v>
      </c>
      <c r="AP501" s="14">
        <v>46049</v>
      </c>
      <c r="AQ501" s="14">
        <v>46052</v>
      </c>
      <c r="AS501" s="2"/>
      <c r="AT501" s="44">
        <v>53101</v>
      </c>
      <c r="AV501" s="14">
        <v>46053</v>
      </c>
      <c r="AW501" s="14">
        <v>46055</v>
      </c>
      <c r="AY501" s="2">
        <v>7271161</v>
      </c>
      <c r="AZ501" s="5">
        <v>46056</v>
      </c>
      <c r="BA501" s="1">
        <v>2122224</v>
      </c>
      <c r="BB501" s="2">
        <v>382000</v>
      </c>
      <c r="BC501" s="5">
        <v>46056</v>
      </c>
      <c r="BD501" s="5">
        <v>46056</v>
      </c>
      <c r="BF501" s="32">
        <v>46057</v>
      </c>
      <c r="BG501" s="5">
        <v>46057</v>
      </c>
      <c r="BH501" s="1" t="s">
        <v>3744</v>
      </c>
      <c r="BI501" s="1" t="s">
        <v>273</v>
      </c>
      <c r="BQ501" s="14">
        <v>46055</v>
      </c>
      <c r="BR501" s="14">
        <v>46055</v>
      </c>
    </row>
    <row r="502" spans="1:70" ht="18" customHeight="1" x14ac:dyDescent="0.3">
      <c r="A502" s="2">
        <v>502</v>
      </c>
      <c r="B502" s="7">
        <v>7074360</v>
      </c>
      <c r="C502" s="111">
        <v>46020</v>
      </c>
      <c r="D502" s="2">
        <v>25597</v>
      </c>
      <c r="E502" s="2" t="s">
        <v>840</v>
      </c>
      <c r="F502" s="8" t="s">
        <v>1382</v>
      </c>
      <c r="G502" s="8" t="s">
        <v>1383</v>
      </c>
      <c r="H502" s="8" t="s">
        <v>618</v>
      </c>
      <c r="I502" s="83">
        <v>52943</v>
      </c>
      <c r="J502" s="2" t="s">
        <v>1631</v>
      </c>
      <c r="K502" s="2" t="s">
        <v>126</v>
      </c>
      <c r="L502" s="2" t="s">
        <v>854</v>
      </c>
      <c r="M502" s="134">
        <v>46047</v>
      </c>
      <c r="N502" s="56" t="s">
        <v>3746</v>
      </c>
      <c r="Q502" s="67">
        <f t="shared" si="58"/>
        <v>5</v>
      </c>
      <c r="R502" s="29">
        <f t="shared" si="57"/>
        <v>5</v>
      </c>
      <c r="T502" s="1"/>
      <c r="U502" s="1" t="s">
        <v>3034</v>
      </c>
      <c r="V502" s="2" t="s">
        <v>2970</v>
      </c>
      <c r="W502" s="2" t="s">
        <v>2971</v>
      </c>
      <c r="X502" s="2">
        <v>20265005315</v>
      </c>
      <c r="Y502" s="14">
        <v>46037</v>
      </c>
      <c r="Z502" s="14">
        <v>46044</v>
      </c>
      <c r="AA502" s="14">
        <v>46021</v>
      </c>
      <c r="AB502" s="14">
        <v>46047</v>
      </c>
      <c r="AC502" s="14">
        <v>46052</v>
      </c>
      <c r="AD502" s="2"/>
      <c r="AE502" s="2" t="s">
        <v>3457</v>
      </c>
      <c r="AF502" s="2">
        <v>1</v>
      </c>
      <c r="AG502" s="2">
        <v>1.49</v>
      </c>
      <c r="AH502" s="2"/>
      <c r="AI502" s="2" t="s">
        <v>180</v>
      </c>
      <c r="AJ502" s="2"/>
      <c r="AK502" s="14">
        <v>46042</v>
      </c>
      <c r="AL502" s="14">
        <v>46043</v>
      </c>
      <c r="AM502" s="14">
        <v>46043</v>
      </c>
      <c r="AN502" s="2"/>
      <c r="AO502" s="2">
        <v>7134208</v>
      </c>
      <c r="AP502" s="14">
        <v>46049</v>
      </c>
      <c r="AQ502" s="14">
        <v>46052</v>
      </c>
      <c r="AS502" s="2"/>
      <c r="AT502" s="44">
        <v>53098</v>
      </c>
      <c r="AV502" s="14">
        <v>46053</v>
      </c>
      <c r="AW502" s="14">
        <v>46055</v>
      </c>
      <c r="AY502" s="2">
        <v>7271156</v>
      </c>
      <c r="AZ502" s="116">
        <v>46056</v>
      </c>
      <c r="BA502" s="1">
        <v>2334446</v>
      </c>
      <c r="BB502" s="2">
        <v>420200</v>
      </c>
      <c r="BC502" s="5">
        <v>46056</v>
      </c>
      <c r="BD502" s="5">
        <v>46056</v>
      </c>
      <c r="BF502" s="32">
        <v>46057</v>
      </c>
      <c r="BG502" s="5">
        <v>46057</v>
      </c>
      <c r="BH502" s="1" t="s">
        <v>3744</v>
      </c>
      <c r="BI502" s="1" t="s">
        <v>273</v>
      </c>
      <c r="BQ502" s="14">
        <v>46055</v>
      </c>
      <c r="BR502" s="14">
        <v>46055</v>
      </c>
    </row>
    <row r="503" spans="1:70" ht="18" customHeight="1" x14ac:dyDescent="0.3">
      <c r="A503" s="2">
        <v>503</v>
      </c>
      <c r="B503" s="7">
        <v>7079195</v>
      </c>
      <c r="C503" s="111">
        <v>46021</v>
      </c>
      <c r="D503" s="2">
        <v>90753</v>
      </c>
      <c r="E503" s="2" t="s">
        <v>840</v>
      </c>
      <c r="F503" s="8" t="s">
        <v>1382</v>
      </c>
      <c r="G503" s="8" t="s">
        <v>1383</v>
      </c>
      <c r="H503" s="8" t="s">
        <v>1683</v>
      </c>
      <c r="I503" s="83">
        <v>52976</v>
      </c>
      <c r="J503" s="2" t="s">
        <v>142</v>
      </c>
      <c r="K503" s="2" t="s">
        <v>126</v>
      </c>
      <c r="L503" s="2" t="s">
        <v>854</v>
      </c>
      <c r="M503" s="134">
        <v>46044</v>
      </c>
      <c r="N503" s="56" t="s">
        <v>3747</v>
      </c>
      <c r="Q503" s="67">
        <f t="shared" si="58"/>
        <v>2</v>
      </c>
      <c r="R503" s="29">
        <f t="shared" si="57"/>
        <v>11</v>
      </c>
      <c r="T503" s="1"/>
      <c r="U503" s="8" t="s">
        <v>3500</v>
      </c>
      <c r="V503" s="2" t="s">
        <v>2970</v>
      </c>
      <c r="W503" s="2" t="s">
        <v>2971</v>
      </c>
      <c r="X503" s="2">
        <v>20265007388</v>
      </c>
      <c r="Y503" s="14">
        <v>46043</v>
      </c>
      <c r="Z503" s="14">
        <v>46046</v>
      </c>
      <c r="AA503" s="14">
        <v>46044</v>
      </c>
      <c r="AB503" s="14">
        <v>46044</v>
      </c>
      <c r="AC503" s="14">
        <v>46046</v>
      </c>
      <c r="AD503" s="2">
        <v>17621570603</v>
      </c>
      <c r="AE503" s="2" t="s">
        <v>3501</v>
      </c>
      <c r="AF503" s="2">
        <v>3</v>
      </c>
      <c r="AG503" s="2">
        <v>797</v>
      </c>
      <c r="AH503" s="2"/>
      <c r="AI503" s="2" t="s">
        <v>180</v>
      </c>
      <c r="AJ503" s="2"/>
      <c r="AK503" s="14">
        <v>46043</v>
      </c>
      <c r="AL503" s="2" t="s">
        <v>3502</v>
      </c>
      <c r="AM503" s="14">
        <v>46044</v>
      </c>
      <c r="AN503" s="2"/>
      <c r="AO503" s="2">
        <v>7045299</v>
      </c>
      <c r="AP503" s="14">
        <v>46044</v>
      </c>
      <c r="AQ503" s="14">
        <v>46046</v>
      </c>
      <c r="AS503" s="2"/>
      <c r="AT503" s="44">
        <v>53081</v>
      </c>
      <c r="AV503" s="14">
        <v>46052</v>
      </c>
      <c r="AW503" s="14">
        <v>46052</v>
      </c>
      <c r="AY503" s="2">
        <v>7271154</v>
      </c>
      <c r="AZ503" s="5">
        <v>46056</v>
      </c>
      <c r="BA503" s="1">
        <v>8276674</v>
      </c>
      <c r="BB503" s="2">
        <v>1489801</v>
      </c>
      <c r="BC503" s="5">
        <v>46056</v>
      </c>
      <c r="BD503" s="5">
        <v>46056</v>
      </c>
      <c r="BF503" s="32">
        <v>46057</v>
      </c>
      <c r="BG503" s="5">
        <v>46057</v>
      </c>
      <c r="BH503" s="1" t="s">
        <v>3744</v>
      </c>
      <c r="BI503" s="1" t="s">
        <v>273</v>
      </c>
      <c r="BQ503" s="14">
        <v>46052</v>
      </c>
      <c r="BR503" s="5">
        <v>46055</v>
      </c>
    </row>
    <row r="504" spans="1:70" ht="18" customHeight="1" x14ac:dyDescent="0.3">
      <c r="A504" s="2">
        <v>504</v>
      </c>
      <c r="B504" s="7">
        <v>7074524</v>
      </c>
      <c r="C504" s="111">
        <v>46021</v>
      </c>
      <c r="D504" s="2">
        <v>2077</v>
      </c>
      <c r="E504" s="2" t="s">
        <v>840</v>
      </c>
      <c r="F504" s="7" t="s">
        <v>3612</v>
      </c>
      <c r="G504" s="7" t="s">
        <v>3615</v>
      </c>
      <c r="H504" s="2">
        <v>2</v>
      </c>
      <c r="I504" s="83">
        <v>53036</v>
      </c>
      <c r="J504" s="2" t="s">
        <v>142</v>
      </c>
      <c r="K504" s="2" t="s">
        <v>126</v>
      </c>
      <c r="L504" s="2" t="s">
        <v>854</v>
      </c>
      <c r="M504" s="134">
        <v>46048</v>
      </c>
      <c r="N504" s="56" t="s">
        <v>3748</v>
      </c>
      <c r="Q504" s="67">
        <f t="shared" si="58"/>
        <v>5</v>
      </c>
      <c r="R504" s="29">
        <f t="shared" si="57"/>
        <v>4</v>
      </c>
      <c r="T504" s="1"/>
      <c r="U504" s="1" t="s">
        <v>3613</v>
      </c>
      <c r="V504" s="2" t="s">
        <v>2970</v>
      </c>
      <c r="W504" s="2" t="s">
        <v>2971</v>
      </c>
      <c r="X504" s="2">
        <v>20265008448</v>
      </c>
      <c r="Y504" s="14">
        <v>46044</v>
      </c>
      <c r="Z504" s="14">
        <v>46050</v>
      </c>
      <c r="AA504" s="14">
        <v>46048</v>
      </c>
      <c r="AB504" s="14">
        <v>46048</v>
      </c>
      <c r="AC504" s="14">
        <v>46053</v>
      </c>
      <c r="AD504" s="2">
        <v>21707657296</v>
      </c>
      <c r="AE504" s="2" t="s">
        <v>3614</v>
      </c>
      <c r="AF504" s="2">
        <v>2</v>
      </c>
      <c r="AG504" s="2">
        <v>18</v>
      </c>
      <c r="AH504" s="2"/>
      <c r="AI504" s="2" t="s">
        <v>180</v>
      </c>
      <c r="AJ504" s="2"/>
      <c r="AK504" s="14">
        <v>46046.90625</v>
      </c>
      <c r="AL504" s="14">
        <v>46049</v>
      </c>
      <c r="AM504" s="14">
        <v>46050</v>
      </c>
      <c r="AN504" s="2"/>
      <c r="AO504" s="2">
        <v>7164883</v>
      </c>
      <c r="AP504" s="14">
        <v>46050</v>
      </c>
      <c r="AQ504" s="14">
        <v>46053</v>
      </c>
      <c r="AS504" s="2"/>
      <c r="AT504" s="44">
        <v>53108</v>
      </c>
      <c r="AV504" s="14">
        <v>46053</v>
      </c>
      <c r="AW504" s="14">
        <v>46055</v>
      </c>
      <c r="AY504" s="2">
        <v>7271152</v>
      </c>
      <c r="AZ504" s="5">
        <v>46056</v>
      </c>
      <c r="BA504" s="1">
        <v>189422</v>
      </c>
      <c r="BB504" s="88">
        <v>34096</v>
      </c>
      <c r="BC504" s="5">
        <v>46056</v>
      </c>
      <c r="BD504" s="5">
        <v>46056</v>
      </c>
      <c r="BF504" s="32">
        <v>46057</v>
      </c>
      <c r="BG504" s="5">
        <v>46057</v>
      </c>
      <c r="BH504" s="1" t="s">
        <v>3744</v>
      </c>
      <c r="BI504" s="1" t="s">
        <v>273</v>
      </c>
      <c r="BQ504" s="14">
        <v>46055</v>
      </c>
      <c r="BR504" s="5">
        <v>46055</v>
      </c>
    </row>
    <row r="505" spans="1:70" ht="18" customHeight="1" x14ac:dyDescent="0.3">
      <c r="A505" s="2">
        <v>505</v>
      </c>
      <c r="B505" s="8" t="s">
        <v>3482</v>
      </c>
      <c r="C505" s="8" t="s">
        <v>3483</v>
      </c>
      <c r="D505" s="8" t="s">
        <v>3484</v>
      </c>
      <c r="E505" s="2" t="s">
        <v>840</v>
      </c>
      <c r="F505" s="8" t="s">
        <v>3485</v>
      </c>
      <c r="G505" s="8" t="s">
        <v>3486</v>
      </c>
      <c r="H505" s="8" t="s">
        <v>3487</v>
      </c>
      <c r="I505" s="83">
        <v>52972</v>
      </c>
      <c r="J505" s="2" t="s">
        <v>142</v>
      </c>
      <c r="K505" s="2" t="s">
        <v>126</v>
      </c>
      <c r="L505" s="2" t="s">
        <v>854</v>
      </c>
      <c r="M505" s="134">
        <v>46043</v>
      </c>
      <c r="N505" s="56" t="s">
        <v>3750</v>
      </c>
      <c r="Q505" s="67">
        <f t="shared" si="58"/>
        <v>3</v>
      </c>
      <c r="R505" s="29">
        <f t="shared" si="57"/>
        <v>11</v>
      </c>
      <c r="T505" s="1"/>
      <c r="U505" s="8" t="s">
        <v>3500</v>
      </c>
      <c r="V505" s="2" t="s">
        <v>2970</v>
      </c>
      <c r="W505" s="2" t="s">
        <v>2971</v>
      </c>
      <c r="X505" s="2">
        <v>20265006493</v>
      </c>
      <c r="Y505" s="14">
        <v>46041</v>
      </c>
      <c r="Z505" s="14">
        <v>46046</v>
      </c>
      <c r="AA505" s="14">
        <v>46043</v>
      </c>
      <c r="AB505" s="14">
        <v>46043</v>
      </c>
      <c r="AC505" s="14">
        <v>46046</v>
      </c>
      <c r="AD505" s="2">
        <v>61849698611</v>
      </c>
      <c r="AE505" s="2" t="s">
        <v>3488</v>
      </c>
      <c r="AF505" s="2">
        <v>6</v>
      </c>
      <c r="AG505" s="2">
        <v>1243.5</v>
      </c>
      <c r="AH505" s="2"/>
      <c r="AI505" s="2" t="s">
        <v>180</v>
      </c>
      <c r="AJ505" s="2"/>
      <c r="AK505" s="14">
        <v>46043</v>
      </c>
      <c r="AL505" s="14">
        <v>46043</v>
      </c>
      <c r="AM505" s="14">
        <v>46044</v>
      </c>
      <c r="AN505" s="2"/>
      <c r="AO505" s="2">
        <v>7044315</v>
      </c>
      <c r="AP505" s="14">
        <v>46044</v>
      </c>
      <c r="AQ505" s="14">
        <v>46046</v>
      </c>
      <c r="AS505" s="2"/>
      <c r="AT505" s="44">
        <v>53082</v>
      </c>
      <c r="AV505" s="14">
        <v>46052</v>
      </c>
      <c r="AW505" s="14">
        <v>46055</v>
      </c>
      <c r="AY505" s="2">
        <v>7271162</v>
      </c>
      <c r="AZ505" s="116">
        <v>46056</v>
      </c>
      <c r="BA505" s="1">
        <v>12884189</v>
      </c>
      <c r="BB505" s="2">
        <v>2319154</v>
      </c>
      <c r="BC505" s="5">
        <v>46056</v>
      </c>
      <c r="BD505" s="5">
        <v>46056</v>
      </c>
      <c r="BF505" s="32">
        <v>46057</v>
      </c>
      <c r="BG505" s="5">
        <v>46057</v>
      </c>
      <c r="BH505" s="1" t="s">
        <v>3749</v>
      </c>
      <c r="BI505" s="1" t="s">
        <v>273</v>
      </c>
      <c r="BQ505" s="14">
        <v>46055</v>
      </c>
      <c r="BR505" s="5">
        <v>46055</v>
      </c>
    </row>
    <row r="506" spans="1:70" ht="18" customHeight="1" x14ac:dyDescent="0.3">
      <c r="A506" s="2">
        <v>506</v>
      </c>
      <c r="B506" s="7">
        <v>7074526</v>
      </c>
      <c r="C506" s="111">
        <v>46020</v>
      </c>
      <c r="D506" s="2">
        <v>8308</v>
      </c>
      <c r="E506" s="2" t="s">
        <v>840</v>
      </c>
      <c r="F506" s="2" t="s">
        <v>3557</v>
      </c>
      <c r="G506" s="1" t="s">
        <v>3615</v>
      </c>
      <c r="H506" s="2">
        <v>1</v>
      </c>
      <c r="I506" s="83">
        <v>53037</v>
      </c>
      <c r="J506" s="2" t="s">
        <v>142</v>
      </c>
      <c r="K506" s="2" t="s">
        <v>126</v>
      </c>
      <c r="L506" s="2" t="s">
        <v>854</v>
      </c>
      <c r="M506" s="134">
        <v>46048</v>
      </c>
      <c r="N506" s="56" t="s">
        <v>3751</v>
      </c>
      <c r="Q506" s="67">
        <f t="shared" si="58"/>
        <v>5</v>
      </c>
      <c r="R506" s="29">
        <f t="shared" si="57"/>
        <v>4</v>
      </c>
      <c r="T506" s="1"/>
      <c r="U506" s="1" t="s">
        <v>3616</v>
      </c>
      <c r="V506" s="2" t="s">
        <v>2970</v>
      </c>
      <c r="W506" s="2" t="s">
        <v>2971</v>
      </c>
      <c r="X506" s="2">
        <v>20265008414</v>
      </c>
      <c r="Y506" s="14">
        <v>46044</v>
      </c>
      <c r="Z506" s="14">
        <v>46050</v>
      </c>
      <c r="AA506" s="14">
        <v>46048</v>
      </c>
      <c r="AB506" s="14">
        <v>46048</v>
      </c>
      <c r="AC506" s="14">
        <v>46053</v>
      </c>
      <c r="AD506" s="2">
        <v>21707657296</v>
      </c>
      <c r="AE506" s="2" t="s">
        <v>3617</v>
      </c>
      <c r="AF506" s="2">
        <v>1</v>
      </c>
      <c r="AG506" s="2">
        <v>81</v>
      </c>
      <c r="AH506" s="2"/>
      <c r="AI506" s="2" t="s">
        <v>180</v>
      </c>
      <c r="AJ506" s="2"/>
      <c r="AK506" s="14">
        <v>46046.90347222222</v>
      </c>
      <c r="AL506" s="14">
        <v>46049</v>
      </c>
      <c r="AM506" s="14">
        <v>46050</v>
      </c>
      <c r="AN506" s="2"/>
      <c r="AO506" s="2">
        <v>7164888</v>
      </c>
      <c r="AP506" s="14">
        <v>46050</v>
      </c>
      <c r="AQ506" s="14">
        <v>46053</v>
      </c>
      <c r="AS506" s="2"/>
      <c r="AT506" s="44">
        <v>53105</v>
      </c>
      <c r="AV506" s="14">
        <v>46053</v>
      </c>
      <c r="AW506" s="14">
        <v>46055</v>
      </c>
      <c r="AY506" s="2">
        <v>7271153</v>
      </c>
      <c r="AZ506" s="116">
        <v>46056</v>
      </c>
      <c r="BA506" s="1">
        <v>757690</v>
      </c>
      <c r="BB506" s="2">
        <v>136384</v>
      </c>
      <c r="BC506" s="5">
        <v>46056</v>
      </c>
      <c r="BD506" s="5">
        <v>46056</v>
      </c>
      <c r="BF506" s="32">
        <v>46057</v>
      </c>
      <c r="BG506" s="5">
        <v>46057</v>
      </c>
      <c r="BH506" s="1" t="s">
        <v>3749</v>
      </c>
      <c r="BI506" s="1" t="s">
        <v>273</v>
      </c>
      <c r="BQ506" s="14">
        <v>46055</v>
      </c>
      <c r="BR506" s="5">
        <v>46055</v>
      </c>
    </row>
    <row r="507" spans="1:70" ht="18" customHeight="1" x14ac:dyDescent="0.3">
      <c r="A507" s="2">
        <v>507</v>
      </c>
      <c r="B507" s="7">
        <v>7074313</v>
      </c>
      <c r="C507" s="111" t="s">
        <v>3548</v>
      </c>
      <c r="D507" s="2">
        <v>6231</v>
      </c>
      <c r="E507" s="2" t="s">
        <v>840</v>
      </c>
      <c r="F507" s="8" t="s">
        <v>3628</v>
      </c>
      <c r="G507" s="7" t="s">
        <v>3629</v>
      </c>
      <c r="H507" s="2">
        <v>6</v>
      </c>
      <c r="I507" s="83">
        <v>53042</v>
      </c>
      <c r="J507" s="2" t="s">
        <v>142</v>
      </c>
      <c r="K507" s="2" t="s">
        <v>126</v>
      </c>
      <c r="L507" s="2" t="s">
        <v>854</v>
      </c>
      <c r="M507" s="134">
        <v>46047</v>
      </c>
      <c r="N507" s="56" t="s">
        <v>3752</v>
      </c>
      <c r="Q507" s="67">
        <f t="shared" si="58"/>
        <v>6</v>
      </c>
      <c r="R507" s="29">
        <f t="shared" si="57"/>
        <v>4</v>
      </c>
      <c r="T507" s="1"/>
      <c r="U507" s="1" t="s">
        <v>3630</v>
      </c>
      <c r="V507" s="2" t="s">
        <v>2970</v>
      </c>
      <c r="W507" s="2" t="s">
        <v>2971</v>
      </c>
      <c r="X507" s="2">
        <v>20265007907</v>
      </c>
      <c r="Y507" s="14">
        <v>46043</v>
      </c>
      <c r="Z507" s="14">
        <v>46051</v>
      </c>
      <c r="AA507" s="14">
        <v>46047</v>
      </c>
      <c r="AB507" s="14">
        <v>46047</v>
      </c>
      <c r="AC507" s="14">
        <v>46053</v>
      </c>
      <c r="AD507" s="2">
        <v>23215594810</v>
      </c>
      <c r="AE507" s="2" t="s">
        <v>3631</v>
      </c>
      <c r="AF507" s="2">
        <v>1</v>
      </c>
      <c r="AG507" s="2">
        <v>60</v>
      </c>
      <c r="AH507" s="2"/>
      <c r="AI507" s="2"/>
      <c r="AJ507" s="2"/>
      <c r="AK507" s="14">
        <v>46048.65902777778</v>
      </c>
      <c r="AL507" s="14">
        <v>46049</v>
      </c>
      <c r="AM507" s="14">
        <v>46050</v>
      </c>
      <c r="AN507" s="2"/>
      <c r="AO507" s="2">
        <v>7164879</v>
      </c>
      <c r="AP507" s="14">
        <v>46050</v>
      </c>
      <c r="AQ507" s="14">
        <v>46053</v>
      </c>
      <c r="AS507" s="2"/>
      <c r="AT507" s="44">
        <v>53107</v>
      </c>
      <c r="AV507" s="14">
        <v>46053</v>
      </c>
      <c r="AW507" s="14">
        <v>46055</v>
      </c>
      <c r="AY507" s="2">
        <v>7271159</v>
      </c>
      <c r="AZ507" s="116">
        <v>46056</v>
      </c>
      <c r="BA507" s="1">
        <v>568267</v>
      </c>
      <c r="BB507" s="2">
        <v>102288</v>
      </c>
      <c r="BC507" s="5">
        <v>46056</v>
      </c>
      <c r="BD507" s="5">
        <v>46056</v>
      </c>
      <c r="BF507" s="32">
        <v>46057</v>
      </c>
      <c r="BG507" s="5">
        <v>46057</v>
      </c>
      <c r="BH507" s="1" t="s">
        <v>3749</v>
      </c>
      <c r="BI507" s="1" t="s">
        <v>273</v>
      </c>
      <c r="BQ507" s="14">
        <v>46055</v>
      </c>
      <c r="BR507" s="5">
        <v>46055</v>
      </c>
    </row>
    <row r="508" spans="1:70" ht="18" customHeight="1" x14ac:dyDescent="0.3">
      <c r="A508" s="2">
        <v>508</v>
      </c>
      <c r="B508" s="7">
        <v>7071331</v>
      </c>
      <c r="C508" s="111">
        <v>46015</v>
      </c>
      <c r="D508" s="2">
        <v>69810</v>
      </c>
      <c r="E508" s="2" t="s">
        <v>840</v>
      </c>
      <c r="F508" s="8" t="s">
        <v>1382</v>
      </c>
      <c r="G508" s="8" t="s">
        <v>1383</v>
      </c>
      <c r="H508" s="8" t="s">
        <v>451</v>
      </c>
      <c r="I508" s="83">
        <v>52944</v>
      </c>
      <c r="J508" s="2" t="s">
        <v>1631</v>
      </c>
      <c r="K508" s="2" t="s">
        <v>126</v>
      </c>
      <c r="L508" s="2" t="s">
        <v>854</v>
      </c>
      <c r="M508" s="134">
        <v>46047</v>
      </c>
      <c r="N508" s="56" t="s">
        <v>3758</v>
      </c>
      <c r="Q508" s="67">
        <f t="shared" ref="Q508:Q514" si="59">AQ508-AB508</f>
        <v>5</v>
      </c>
      <c r="R508" s="29">
        <f t="shared" si="57"/>
        <v>7</v>
      </c>
      <c r="T508" s="1">
        <v>471</v>
      </c>
      <c r="U508" s="1" t="s">
        <v>2969</v>
      </c>
      <c r="V508" s="2" t="s">
        <v>2970</v>
      </c>
      <c r="W508" s="2" t="s">
        <v>2971</v>
      </c>
      <c r="X508" s="2">
        <v>20265005267</v>
      </c>
      <c r="Y508" s="14">
        <v>46037</v>
      </c>
      <c r="Z508" s="14">
        <v>46044</v>
      </c>
      <c r="AA508" s="14">
        <v>46021</v>
      </c>
      <c r="AB508" s="14">
        <v>46047</v>
      </c>
      <c r="AC508" s="14">
        <v>46052</v>
      </c>
      <c r="AD508" s="2"/>
      <c r="AE508" s="2" t="s">
        <v>3458</v>
      </c>
      <c r="AF508" s="2">
        <v>2</v>
      </c>
      <c r="AG508" s="2">
        <v>3.51</v>
      </c>
      <c r="AH508" s="2"/>
      <c r="AI508" s="2" t="s">
        <v>180</v>
      </c>
      <c r="AJ508" s="2"/>
      <c r="AK508" s="14">
        <v>46042</v>
      </c>
      <c r="AL508" s="14">
        <v>46043</v>
      </c>
      <c r="AM508" s="14">
        <v>46043</v>
      </c>
      <c r="AN508" s="2"/>
      <c r="AO508" s="2">
        <v>7134205</v>
      </c>
      <c r="AP508" s="14">
        <v>46049</v>
      </c>
      <c r="AQ508" s="14">
        <v>46052</v>
      </c>
      <c r="AS508" s="2"/>
      <c r="AT508" s="44">
        <v>53100</v>
      </c>
      <c r="AV508" s="14">
        <v>46053</v>
      </c>
      <c r="AW508" s="14">
        <v>46055</v>
      </c>
      <c r="AY508" s="2">
        <v>7271160</v>
      </c>
      <c r="AZ508" s="5">
        <v>46056</v>
      </c>
      <c r="BA508" s="1">
        <v>6366672</v>
      </c>
      <c r="BB508" s="2">
        <v>1146001</v>
      </c>
      <c r="BC508" s="5">
        <v>46056</v>
      </c>
      <c r="BD508" s="14">
        <v>46057</v>
      </c>
      <c r="BF508" s="32">
        <v>46057</v>
      </c>
      <c r="BG508" s="5">
        <v>46059</v>
      </c>
      <c r="BH508" s="1" t="s">
        <v>3527</v>
      </c>
      <c r="BI508" s="1" t="s">
        <v>273</v>
      </c>
      <c r="BQ508" s="14">
        <v>46055</v>
      </c>
      <c r="BR508" s="5">
        <v>46055</v>
      </c>
    </row>
    <row r="509" spans="1:70" ht="18" customHeight="1" x14ac:dyDescent="0.3">
      <c r="A509" s="2">
        <v>509</v>
      </c>
      <c r="B509" s="8" t="s">
        <v>3561</v>
      </c>
      <c r="C509" s="111" t="s">
        <v>3548</v>
      </c>
      <c r="D509" s="7" t="s">
        <v>3562</v>
      </c>
      <c r="E509" s="2" t="s">
        <v>840</v>
      </c>
      <c r="F509" s="8" t="s">
        <v>3558</v>
      </c>
      <c r="G509" s="8" t="s">
        <v>3564</v>
      </c>
      <c r="H509" s="2">
        <v>3</v>
      </c>
      <c r="I509" s="83">
        <v>53009</v>
      </c>
      <c r="J509" s="2" t="s">
        <v>142</v>
      </c>
      <c r="K509" s="2" t="s">
        <v>126</v>
      </c>
      <c r="L509" s="2" t="s">
        <v>854</v>
      </c>
      <c r="M509" s="134">
        <v>46047</v>
      </c>
      <c r="N509" s="56" t="s">
        <v>3759</v>
      </c>
      <c r="Q509" s="67">
        <f t="shared" si="59"/>
        <v>5</v>
      </c>
      <c r="R509" s="29">
        <f t="shared" si="57"/>
        <v>7</v>
      </c>
      <c r="T509" s="1"/>
      <c r="U509" s="1" t="s">
        <v>3565</v>
      </c>
      <c r="V509" s="2" t="s">
        <v>2970</v>
      </c>
      <c r="W509" s="2" t="s">
        <v>2971</v>
      </c>
      <c r="X509" s="2">
        <v>20265008260</v>
      </c>
      <c r="Y509" s="14">
        <v>46044</v>
      </c>
      <c r="Z509" s="14">
        <v>46051</v>
      </c>
      <c r="AA509" s="14">
        <v>46047</v>
      </c>
      <c r="AB509" s="14">
        <v>46047</v>
      </c>
      <c r="AC509" s="14">
        <v>46052</v>
      </c>
      <c r="AD509" s="2">
        <v>23215594784</v>
      </c>
      <c r="AE509" s="2" t="s">
        <v>3566</v>
      </c>
      <c r="AF509" s="2">
        <v>3</v>
      </c>
      <c r="AG509" s="2">
        <v>698</v>
      </c>
      <c r="AH509" s="2"/>
      <c r="AI509" s="2" t="s">
        <v>629</v>
      </c>
      <c r="AJ509" s="2"/>
      <c r="AK509" s="14">
        <v>46048.595833333333</v>
      </c>
      <c r="AL509" s="14">
        <v>46049</v>
      </c>
      <c r="AM509" s="14">
        <v>46049</v>
      </c>
      <c r="AN509" s="2"/>
      <c r="AO509" s="2">
        <v>7146379</v>
      </c>
      <c r="AP509" s="14">
        <v>46049</v>
      </c>
      <c r="AQ509" s="14">
        <v>46052</v>
      </c>
      <c r="AS509" s="2"/>
      <c r="AT509" s="44">
        <v>53103</v>
      </c>
      <c r="AV509" s="14">
        <v>46053</v>
      </c>
      <c r="AW509" s="14">
        <v>46055</v>
      </c>
      <c r="AY509" s="2">
        <v>7293306</v>
      </c>
      <c r="AZ509" s="5">
        <v>46057</v>
      </c>
      <c r="BA509" s="1">
        <v>6440362</v>
      </c>
      <c r="BB509" s="2">
        <v>1159265</v>
      </c>
      <c r="BC509" s="5">
        <v>46057</v>
      </c>
      <c r="BD509" s="5">
        <v>46057</v>
      </c>
      <c r="BF509" s="32">
        <v>46058</v>
      </c>
      <c r="BG509" s="5">
        <v>46059</v>
      </c>
      <c r="BH509" s="1" t="s">
        <v>3527</v>
      </c>
      <c r="BI509" s="1" t="s">
        <v>273</v>
      </c>
      <c r="BQ509" s="2"/>
      <c r="BR509" s="1"/>
    </row>
    <row r="510" spans="1:70" ht="18" customHeight="1" x14ac:dyDescent="0.3">
      <c r="A510" s="2">
        <v>510</v>
      </c>
      <c r="B510" s="7">
        <v>260104214</v>
      </c>
      <c r="C510" s="111">
        <v>46041</v>
      </c>
      <c r="D510" s="2">
        <v>27376.81</v>
      </c>
      <c r="E510" s="2" t="s">
        <v>677</v>
      </c>
      <c r="F510" s="2" t="s">
        <v>136</v>
      </c>
      <c r="G510" s="2" t="s">
        <v>476</v>
      </c>
      <c r="H510" s="2">
        <v>1</v>
      </c>
      <c r="I510" s="83">
        <v>52948</v>
      </c>
      <c r="J510" s="2" t="s">
        <v>142</v>
      </c>
      <c r="K510" s="2" t="s">
        <v>126</v>
      </c>
      <c r="L510" s="2" t="s">
        <v>854</v>
      </c>
      <c r="M510" s="134">
        <v>46044</v>
      </c>
      <c r="N510" s="56" t="s">
        <v>3764</v>
      </c>
      <c r="Q510" s="67">
        <f t="shared" si="59"/>
        <v>1</v>
      </c>
      <c r="R510" s="29">
        <f t="shared" si="57"/>
        <v>13</v>
      </c>
      <c r="T510" s="1">
        <v>185</v>
      </c>
      <c r="U510" s="1" t="s">
        <v>2457</v>
      </c>
      <c r="V510" s="2" t="s">
        <v>755</v>
      </c>
      <c r="W510" s="1" t="s">
        <v>827</v>
      </c>
      <c r="X510" s="2" t="s">
        <v>3466</v>
      </c>
      <c r="Y510" s="14">
        <v>46042</v>
      </c>
      <c r="Z510" s="14">
        <v>46045</v>
      </c>
      <c r="AA510" s="14">
        <v>46045</v>
      </c>
      <c r="AB510" s="14">
        <v>46045</v>
      </c>
      <c r="AC510" s="14">
        <v>46046</v>
      </c>
      <c r="AD510" s="2">
        <v>60752050460</v>
      </c>
      <c r="AE510" s="2">
        <v>4840753796</v>
      </c>
      <c r="AF510" s="2">
        <v>1</v>
      </c>
      <c r="AG510" s="2">
        <v>3.5</v>
      </c>
      <c r="AH510" s="2"/>
      <c r="AI510" s="2" t="s">
        <v>179</v>
      </c>
      <c r="AJ510" s="2"/>
      <c r="AK510" s="14">
        <v>46042</v>
      </c>
      <c r="AL510" s="14">
        <v>46043</v>
      </c>
      <c r="AM510" s="14">
        <v>46043</v>
      </c>
      <c r="AN510" s="2"/>
      <c r="AO510" s="1">
        <v>7068196</v>
      </c>
      <c r="AP510" s="14">
        <v>46045</v>
      </c>
      <c r="AQ510" s="14">
        <v>46046</v>
      </c>
      <c r="AS510" s="2"/>
      <c r="AT510" s="44">
        <v>53115</v>
      </c>
      <c r="AV510" s="14">
        <v>46055</v>
      </c>
      <c r="AW510" s="14">
        <v>46056</v>
      </c>
      <c r="AY510" s="2">
        <v>7293297</v>
      </c>
      <c r="AZ510" s="5">
        <v>46057</v>
      </c>
      <c r="BA510" s="1">
        <v>2496765</v>
      </c>
      <c r="BB510" s="2">
        <v>449418</v>
      </c>
      <c r="BC510" s="5">
        <v>46057</v>
      </c>
      <c r="BD510" s="14">
        <v>46058</v>
      </c>
      <c r="BF510" s="32">
        <v>46059</v>
      </c>
      <c r="BG510" s="5">
        <v>46059</v>
      </c>
      <c r="BH510" s="1" t="s">
        <v>1847</v>
      </c>
      <c r="BI510" s="1" t="s">
        <v>282</v>
      </c>
      <c r="BQ510" s="14">
        <v>46056</v>
      </c>
      <c r="BR510" s="14">
        <v>46056</v>
      </c>
    </row>
    <row r="511" spans="1:70" ht="18" customHeight="1" x14ac:dyDescent="0.3">
      <c r="A511" s="2">
        <v>511</v>
      </c>
      <c r="B511" s="7" t="s">
        <v>3477</v>
      </c>
      <c r="C511" s="111">
        <v>46028</v>
      </c>
      <c r="D511" s="2">
        <v>4550</v>
      </c>
      <c r="E511" s="2" t="s">
        <v>677</v>
      </c>
      <c r="F511" s="2" t="s">
        <v>345</v>
      </c>
      <c r="G511" s="2" t="s">
        <v>346</v>
      </c>
      <c r="H511" s="2">
        <v>10</v>
      </c>
      <c r="I511" s="83">
        <v>52956</v>
      </c>
      <c r="J511" s="2" t="s">
        <v>142</v>
      </c>
      <c r="K511" s="2" t="s">
        <v>126</v>
      </c>
      <c r="L511" s="2" t="s">
        <v>854</v>
      </c>
      <c r="M511" s="134">
        <v>46044</v>
      </c>
      <c r="N511" s="56" t="s">
        <v>3765</v>
      </c>
      <c r="Q511" s="67">
        <f t="shared" si="59"/>
        <v>2</v>
      </c>
      <c r="R511" s="29">
        <f t="shared" si="57"/>
        <v>13</v>
      </c>
      <c r="T511" s="1"/>
      <c r="U511" s="1" t="s">
        <v>3478</v>
      </c>
      <c r="V511" s="2" t="s">
        <v>755</v>
      </c>
      <c r="W511" s="1" t="s">
        <v>827</v>
      </c>
      <c r="X511" s="2" t="s">
        <v>3703</v>
      </c>
      <c r="Y511" s="14">
        <v>46048</v>
      </c>
      <c r="Z511" s="14">
        <v>46053</v>
      </c>
      <c r="AA511" s="14">
        <v>46044</v>
      </c>
      <c r="AB511" s="14">
        <v>46044</v>
      </c>
      <c r="AC511" s="14">
        <v>46046</v>
      </c>
      <c r="AD511" s="2">
        <v>15792685994</v>
      </c>
      <c r="AE511" s="2">
        <v>412658852</v>
      </c>
      <c r="AF511" s="2">
        <v>1</v>
      </c>
      <c r="AG511" s="2">
        <v>2</v>
      </c>
      <c r="AH511" s="2"/>
      <c r="AI511" s="2" t="s">
        <v>179</v>
      </c>
      <c r="AJ511" s="2"/>
      <c r="AK511" s="14">
        <v>46042</v>
      </c>
      <c r="AL511" s="14">
        <v>46043</v>
      </c>
      <c r="AM511" s="14">
        <v>46043</v>
      </c>
      <c r="AN511" s="2"/>
      <c r="AO511" s="1">
        <v>7068200</v>
      </c>
      <c r="AP511" s="14">
        <v>46045</v>
      </c>
      <c r="AQ511" s="14">
        <v>46046</v>
      </c>
      <c r="AS511" s="2"/>
      <c r="AT511" s="44">
        <v>53116</v>
      </c>
      <c r="AV511" s="14">
        <v>46055</v>
      </c>
      <c r="AW511" s="14">
        <v>46056</v>
      </c>
      <c r="AY511" s="2">
        <v>7293302</v>
      </c>
      <c r="AZ511" s="5">
        <v>46057</v>
      </c>
      <c r="BA511" s="1">
        <v>414960</v>
      </c>
      <c r="BB511" s="2">
        <v>74693</v>
      </c>
      <c r="BC511" s="5">
        <v>46057</v>
      </c>
      <c r="BD511" s="5">
        <v>46057</v>
      </c>
      <c r="BF511" s="32">
        <v>46058</v>
      </c>
      <c r="BG511" s="5">
        <v>46059</v>
      </c>
      <c r="BH511" s="1" t="s">
        <v>1847</v>
      </c>
      <c r="BI511" s="1" t="s">
        <v>282</v>
      </c>
      <c r="BQ511" s="14">
        <v>46056</v>
      </c>
      <c r="BR511" s="14">
        <v>46056</v>
      </c>
    </row>
    <row r="512" spans="1:70" ht="18" customHeight="1" x14ac:dyDescent="0.3">
      <c r="A512" s="2">
        <v>512</v>
      </c>
      <c r="B512" s="7" t="s">
        <v>3479</v>
      </c>
      <c r="C512" s="111">
        <v>46028</v>
      </c>
      <c r="D512" s="2">
        <v>18200</v>
      </c>
      <c r="E512" s="2" t="s">
        <v>677</v>
      </c>
      <c r="F512" s="2" t="s">
        <v>345</v>
      </c>
      <c r="G512" s="2" t="s">
        <v>346</v>
      </c>
      <c r="H512" s="2">
        <v>40</v>
      </c>
      <c r="I512" s="83">
        <v>52957</v>
      </c>
      <c r="J512" s="2" t="s">
        <v>142</v>
      </c>
      <c r="K512" s="2" t="s">
        <v>126</v>
      </c>
      <c r="L512" s="2" t="s">
        <v>854</v>
      </c>
      <c r="M512" s="134">
        <v>46044</v>
      </c>
      <c r="N512" s="56" t="s">
        <v>3766</v>
      </c>
      <c r="Q512" s="67">
        <f t="shared" si="59"/>
        <v>2</v>
      </c>
      <c r="R512" s="29">
        <f t="shared" si="57"/>
        <v>13</v>
      </c>
      <c r="T512" s="1"/>
      <c r="U512" s="1" t="s">
        <v>3480</v>
      </c>
      <c r="V512" s="2" t="s">
        <v>755</v>
      </c>
      <c r="W512" s="1" t="s">
        <v>827</v>
      </c>
      <c r="X512" s="2" t="s">
        <v>3701</v>
      </c>
      <c r="Y512" s="14">
        <v>46043</v>
      </c>
      <c r="Z512" s="14">
        <v>46053</v>
      </c>
      <c r="AA512" s="14">
        <v>46044</v>
      </c>
      <c r="AB512" s="14">
        <v>46044</v>
      </c>
      <c r="AC512" s="14">
        <v>46046</v>
      </c>
      <c r="AD512" s="2">
        <v>15792685994</v>
      </c>
      <c r="AE512" s="2">
        <v>412658853</v>
      </c>
      <c r="AF512" s="2">
        <v>1</v>
      </c>
      <c r="AG512" s="2">
        <v>5.5</v>
      </c>
      <c r="AH512" s="2"/>
      <c r="AI512" s="2" t="s">
        <v>179</v>
      </c>
      <c r="AJ512" s="2"/>
      <c r="AK512" s="14">
        <v>46042</v>
      </c>
      <c r="AL512" s="14">
        <v>46043</v>
      </c>
      <c r="AM512" s="14">
        <v>46043</v>
      </c>
      <c r="AN512" s="2"/>
      <c r="AO512" s="2">
        <v>7068199</v>
      </c>
      <c r="AP512" s="14">
        <v>46045</v>
      </c>
      <c r="AQ512" s="14">
        <v>46046</v>
      </c>
      <c r="AS512" s="2"/>
      <c r="AT512" s="44">
        <v>53117</v>
      </c>
      <c r="AV512" s="14">
        <v>46055</v>
      </c>
      <c r="AW512" s="14">
        <v>46056</v>
      </c>
      <c r="AY512" s="2">
        <v>7293305</v>
      </c>
      <c r="AZ512" s="5">
        <v>46057</v>
      </c>
      <c r="BA512" s="1">
        <v>1659840</v>
      </c>
      <c r="BB512" s="2">
        <v>298771</v>
      </c>
      <c r="BC512" s="5">
        <v>46057</v>
      </c>
      <c r="BD512" s="5">
        <v>46057</v>
      </c>
      <c r="BF512" s="32">
        <v>46058</v>
      </c>
      <c r="BG512" s="5">
        <v>46059</v>
      </c>
      <c r="BH512" s="1" t="s">
        <v>1847</v>
      </c>
      <c r="BI512" s="1" t="s">
        <v>282</v>
      </c>
      <c r="BQ512" s="14">
        <v>46056</v>
      </c>
      <c r="BR512" s="14">
        <v>46056</v>
      </c>
    </row>
    <row r="513" spans="1:70" ht="18" customHeight="1" x14ac:dyDescent="0.3">
      <c r="A513" s="2">
        <v>513</v>
      </c>
      <c r="B513" s="7" t="s">
        <v>3575</v>
      </c>
      <c r="C513" s="111">
        <v>46035</v>
      </c>
      <c r="D513" s="2">
        <v>34580</v>
      </c>
      <c r="E513" s="2" t="s">
        <v>680</v>
      </c>
      <c r="F513" s="8" t="s">
        <v>3576</v>
      </c>
      <c r="G513" s="7" t="s">
        <v>346</v>
      </c>
      <c r="H513" s="2">
        <v>76</v>
      </c>
      <c r="I513" s="83">
        <v>53017</v>
      </c>
      <c r="J513" s="2" t="s">
        <v>142</v>
      </c>
      <c r="K513" s="2" t="s">
        <v>126</v>
      </c>
      <c r="L513" s="2" t="s">
        <v>854</v>
      </c>
      <c r="M513" s="134">
        <v>46049</v>
      </c>
      <c r="N513" s="56" t="s">
        <v>3767</v>
      </c>
      <c r="Q513" s="67">
        <f t="shared" si="59"/>
        <v>3</v>
      </c>
      <c r="R513" s="29">
        <f t="shared" si="57"/>
        <v>7</v>
      </c>
      <c r="T513" s="1"/>
      <c r="U513" s="1" t="s">
        <v>3577</v>
      </c>
      <c r="V513" s="2" t="s">
        <v>755</v>
      </c>
      <c r="W513" s="1" t="s">
        <v>827</v>
      </c>
      <c r="X513" s="2" t="s">
        <v>3699</v>
      </c>
      <c r="Y513" s="14">
        <v>46043</v>
      </c>
      <c r="Z513" s="14">
        <v>46053</v>
      </c>
      <c r="AA513" s="14">
        <v>46049</v>
      </c>
      <c r="AB513" s="14">
        <v>46049</v>
      </c>
      <c r="AC513" s="14">
        <v>46052</v>
      </c>
      <c r="AD513" s="2">
        <v>15792691874</v>
      </c>
      <c r="AE513" s="2">
        <v>412658934</v>
      </c>
      <c r="AF513" s="2">
        <v>1</v>
      </c>
      <c r="AG513" s="2">
        <v>11</v>
      </c>
      <c r="AH513" s="2"/>
      <c r="AI513" s="2" t="s">
        <v>179</v>
      </c>
      <c r="AJ513" s="2"/>
      <c r="AK513" s="14">
        <v>46048.586805555555</v>
      </c>
      <c r="AL513" s="14">
        <v>46049</v>
      </c>
      <c r="AM513" s="14">
        <v>46049</v>
      </c>
      <c r="AN513" s="2"/>
      <c r="AO513" s="2">
        <v>7146870</v>
      </c>
      <c r="AP513" s="14">
        <v>46049</v>
      </c>
      <c r="AQ513" s="14">
        <v>46052</v>
      </c>
      <c r="AS513" s="2"/>
      <c r="AT513" s="44">
        <v>53118</v>
      </c>
      <c r="AV513" s="14">
        <v>46055</v>
      </c>
      <c r="AW513" s="14">
        <v>46056</v>
      </c>
      <c r="AY513" s="2">
        <v>7293303</v>
      </c>
      <c r="AZ513" s="5">
        <v>46057</v>
      </c>
      <c r="BA513" s="1">
        <v>3153696</v>
      </c>
      <c r="BB513" s="2">
        <v>567665</v>
      </c>
      <c r="BC513" s="5">
        <v>46057</v>
      </c>
      <c r="BD513" s="5">
        <v>46057</v>
      </c>
      <c r="BF513" s="32">
        <v>46058</v>
      </c>
      <c r="BG513" s="5">
        <v>46059</v>
      </c>
      <c r="BH513" s="1" t="s">
        <v>1847</v>
      </c>
      <c r="BI513" s="1" t="s">
        <v>282</v>
      </c>
      <c r="BQ513" s="14">
        <v>46056</v>
      </c>
      <c r="BR513" s="1"/>
    </row>
    <row r="514" spans="1:70" ht="18" customHeight="1" x14ac:dyDescent="0.3">
      <c r="A514" s="2">
        <v>514</v>
      </c>
      <c r="B514" s="7">
        <v>260111995</v>
      </c>
      <c r="C514" s="111">
        <v>46044</v>
      </c>
      <c r="D514" s="2">
        <v>410652.15</v>
      </c>
      <c r="E514" s="2" t="s">
        <v>680</v>
      </c>
      <c r="F514" s="8" t="s">
        <v>2546</v>
      </c>
      <c r="G514" s="8" t="s">
        <v>3599</v>
      </c>
      <c r="H514" s="2">
        <v>15</v>
      </c>
      <c r="I514" s="83">
        <v>53023</v>
      </c>
      <c r="J514" s="2" t="s">
        <v>142</v>
      </c>
      <c r="K514" s="2" t="s">
        <v>126</v>
      </c>
      <c r="L514" s="2" t="s">
        <v>854</v>
      </c>
      <c r="M514" s="134">
        <v>46049</v>
      </c>
      <c r="N514" s="56" t="s">
        <v>3765</v>
      </c>
      <c r="Q514" s="67">
        <f t="shared" si="59"/>
        <v>4</v>
      </c>
      <c r="R514" s="29">
        <f t="shared" si="57"/>
        <v>6</v>
      </c>
      <c r="T514" s="1"/>
      <c r="U514" s="1" t="s">
        <v>3577</v>
      </c>
      <c r="V514" s="2" t="s">
        <v>755</v>
      </c>
      <c r="W514" s="1" t="s">
        <v>827</v>
      </c>
      <c r="X514" s="2" t="s">
        <v>3642</v>
      </c>
      <c r="Y514" s="14">
        <v>46045</v>
      </c>
      <c r="Z514" s="14">
        <v>46051</v>
      </c>
      <c r="AA514" s="14">
        <v>46049</v>
      </c>
      <c r="AB514" s="14">
        <v>46049</v>
      </c>
      <c r="AC514" s="14">
        <v>46053</v>
      </c>
      <c r="AD514" s="2">
        <v>60752050493</v>
      </c>
      <c r="AE514" s="2">
        <v>4840754451</v>
      </c>
      <c r="AF514" s="2">
        <v>2</v>
      </c>
      <c r="AG514" s="2">
        <v>136.5</v>
      </c>
      <c r="AH514" s="2"/>
      <c r="AI514" s="2" t="s">
        <v>179</v>
      </c>
      <c r="AJ514" s="2"/>
      <c r="AK514" s="14">
        <v>46048.47152777778</v>
      </c>
      <c r="AL514" s="14">
        <v>46049</v>
      </c>
      <c r="AM514" s="14">
        <v>46049</v>
      </c>
      <c r="AN514" s="2"/>
      <c r="AO514" s="2">
        <v>7167702</v>
      </c>
      <c r="AP514" s="14">
        <v>46050</v>
      </c>
      <c r="AQ514" s="14">
        <v>46053</v>
      </c>
      <c r="AS514" s="2"/>
      <c r="AT514" s="44">
        <v>53119</v>
      </c>
      <c r="AV514" s="14">
        <v>46055</v>
      </c>
      <c r="AW514" s="14">
        <v>46056</v>
      </c>
      <c r="AY514" s="2">
        <v>7293299</v>
      </c>
      <c r="AZ514" s="5">
        <v>46057</v>
      </c>
      <c r="BA514" s="1">
        <v>37451476</v>
      </c>
      <c r="BB514" s="2">
        <v>6741266</v>
      </c>
      <c r="BC514" s="5">
        <v>46057</v>
      </c>
      <c r="BD514" s="5">
        <v>46057</v>
      </c>
      <c r="BF514" s="32">
        <v>46058</v>
      </c>
      <c r="BG514" s="5">
        <v>46059</v>
      </c>
      <c r="BH514" s="1" t="s">
        <v>1847</v>
      </c>
      <c r="BI514" s="1" t="s">
        <v>282</v>
      </c>
      <c r="BQ514" s="14">
        <v>46056</v>
      </c>
      <c r="BR514" s="14">
        <v>46056</v>
      </c>
    </row>
    <row r="515" spans="1:70" ht="18" customHeight="1" x14ac:dyDescent="0.3">
      <c r="A515" s="2">
        <v>515</v>
      </c>
      <c r="B515" s="7">
        <v>7048198</v>
      </c>
      <c r="C515" s="111">
        <v>45988</v>
      </c>
      <c r="D515" s="2">
        <v>53025</v>
      </c>
      <c r="E515" s="2" t="s">
        <v>840</v>
      </c>
      <c r="F515" s="8" t="s">
        <v>536</v>
      </c>
      <c r="G515" s="8" t="s">
        <v>2891</v>
      </c>
      <c r="H515" s="8" t="s">
        <v>446</v>
      </c>
      <c r="I515" s="83">
        <v>52445</v>
      </c>
      <c r="J515" s="2" t="s">
        <v>1631</v>
      </c>
      <c r="K515" s="2" t="s">
        <v>126</v>
      </c>
      <c r="L515" s="2" t="s">
        <v>1632</v>
      </c>
      <c r="M515" s="134">
        <v>46009</v>
      </c>
      <c r="N515" s="56" t="s">
        <v>3780</v>
      </c>
      <c r="Q515" s="67">
        <f t="shared" ref="Q515:Q526" si="60">AQ515-AB515</f>
        <v>14</v>
      </c>
      <c r="R515" s="29">
        <f t="shared" si="57"/>
        <v>40</v>
      </c>
      <c r="T515" s="1">
        <v>8548</v>
      </c>
      <c r="U515" s="1" t="s">
        <v>538</v>
      </c>
      <c r="V515" s="1" t="s">
        <v>204</v>
      </c>
      <c r="W515" s="1" t="s">
        <v>203</v>
      </c>
      <c r="X515" s="2">
        <v>20255154046</v>
      </c>
      <c r="Y515" s="14">
        <v>46021</v>
      </c>
      <c r="Z515" s="14">
        <v>46027</v>
      </c>
      <c r="AA515" s="14">
        <v>45995</v>
      </c>
      <c r="AB515" s="14">
        <v>46008</v>
      </c>
      <c r="AC515" s="14">
        <v>46022</v>
      </c>
      <c r="AD515" s="2" t="s">
        <v>2869</v>
      </c>
      <c r="AE515" s="2" t="s">
        <v>2892</v>
      </c>
      <c r="AF515" s="2">
        <v>2</v>
      </c>
      <c r="AG515" s="2">
        <v>2.99</v>
      </c>
      <c r="AH515" s="2"/>
      <c r="AI515" s="2" t="s">
        <v>180</v>
      </c>
      <c r="AJ515" s="2"/>
      <c r="AK515" s="14">
        <v>46003</v>
      </c>
      <c r="AL515" s="14">
        <v>46004</v>
      </c>
      <c r="AM515" s="14">
        <v>46006</v>
      </c>
      <c r="AN515" s="2"/>
      <c r="AO515" s="2">
        <v>6373361</v>
      </c>
      <c r="AP515" s="14">
        <v>46009</v>
      </c>
      <c r="AQ515" s="14">
        <v>46022</v>
      </c>
      <c r="AR515" s="15" t="s">
        <v>3275</v>
      </c>
      <c r="AS515" s="2"/>
      <c r="AT515" s="44">
        <v>52518</v>
      </c>
      <c r="AV515" s="14">
        <v>46027</v>
      </c>
      <c r="AW515" s="14">
        <v>46028</v>
      </c>
      <c r="AY515" s="2">
        <v>6832065</v>
      </c>
      <c r="AZ515" s="5">
        <v>46034</v>
      </c>
      <c r="BA515" s="1">
        <v>4814670</v>
      </c>
      <c r="BB515" s="2">
        <v>866641</v>
      </c>
      <c r="BC515" s="5">
        <v>46034</v>
      </c>
      <c r="BD515" s="14">
        <v>46058</v>
      </c>
      <c r="BF515" s="32">
        <v>46060</v>
      </c>
      <c r="BG515" s="5">
        <v>46062</v>
      </c>
      <c r="BH515" s="1" t="s">
        <v>2901</v>
      </c>
      <c r="BI515" s="1" t="s">
        <v>273</v>
      </c>
      <c r="BQ515" s="14">
        <v>46028</v>
      </c>
      <c r="BR515" s="5">
        <v>46030</v>
      </c>
    </row>
    <row r="516" spans="1:70" ht="18" customHeight="1" x14ac:dyDescent="0.3">
      <c r="A516" s="2">
        <v>516</v>
      </c>
      <c r="B516" s="7">
        <v>7060220</v>
      </c>
      <c r="C516" s="111">
        <v>46018</v>
      </c>
      <c r="D516" s="2">
        <v>10385</v>
      </c>
      <c r="E516" s="2" t="s">
        <v>840</v>
      </c>
      <c r="F516" s="8" t="s">
        <v>222</v>
      </c>
      <c r="G516" s="8" t="s">
        <v>560</v>
      </c>
      <c r="H516" s="8" t="s">
        <v>1493</v>
      </c>
      <c r="I516" s="83">
        <v>52873</v>
      </c>
      <c r="J516" s="2" t="s">
        <v>142</v>
      </c>
      <c r="K516" s="2" t="s">
        <v>126</v>
      </c>
      <c r="L516" s="2" t="s">
        <v>854</v>
      </c>
      <c r="M516" s="134">
        <v>46037</v>
      </c>
      <c r="N516" s="56" t="s">
        <v>3781</v>
      </c>
      <c r="Q516" s="67">
        <f t="shared" si="60"/>
        <v>4</v>
      </c>
      <c r="R516" s="29">
        <f t="shared" si="57"/>
        <v>21</v>
      </c>
      <c r="T516" s="1">
        <v>70</v>
      </c>
      <c r="U516" s="1" t="s">
        <v>3386</v>
      </c>
      <c r="V516" s="1" t="s">
        <v>204</v>
      </c>
      <c r="W516" s="1" t="s">
        <v>203</v>
      </c>
      <c r="X516" s="2">
        <v>20265004533</v>
      </c>
      <c r="Y516" s="14">
        <v>46035</v>
      </c>
      <c r="Z516" s="14">
        <v>46039</v>
      </c>
      <c r="AA516" s="14">
        <v>46037</v>
      </c>
      <c r="AB516" s="14">
        <v>46037</v>
      </c>
      <c r="AC516" s="14">
        <v>46041</v>
      </c>
      <c r="AD516" s="2">
        <v>23215594751</v>
      </c>
      <c r="AE516" s="2" t="s">
        <v>3387</v>
      </c>
      <c r="AF516" s="2">
        <v>1</v>
      </c>
      <c r="AG516" s="2">
        <v>97</v>
      </c>
      <c r="AH516" s="2"/>
      <c r="AI516" s="2" t="s">
        <v>629</v>
      </c>
      <c r="AJ516" s="2"/>
      <c r="AK516" s="14">
        <v>46037</v>
      </c>
      <c r="AL516" s="14">
        <v>46038</v>
      </c>
      <c r="AM516" s="14">
        <v>46038</v>
      </c>
      <c r="AN516" s="2"/>
      <c r="AO516" s="2">
        <v>6925416</v>
      </c>
      <c r="AP516" s="14">
        <v>46038</v>
      </c>
      <c r="AQ516" s="14">
        <v>46041</v>
      </c>
      <c r="AS516" s="2"/>
      <c r="AT516" s="44">
        <v>52931</v>
      </c>
      <c r="AV516" s="14">
        <v>46042</v>
      </c>
      <c r="AW516" s="14">
        <v>46043</v>
      </c>
      <c r="AY516" s="132">
        <v>7245136</v>
      </c>
      <c r="AZ516" s="5">
        <v>46055</v>
      </c>
      <c r="BA516" s="1">
        <v>947112</v>
      </c>
      <c r="BB516" s="2">
        <v>170480</v>
      </c>
      <c r="BC516" s="5">
        <v>46055</v>
      </c>
      <c r="BD516" s="14">
        <v>46056</v>
      </c>
      <c r="BF516" s="32">
        <v>46057</v>
      </c>
      <c r="BG516" s="5">
        <v>46062</v>
      </c>
      <c r="BH516" s="1" t="s">
        <v>2901</v>
      </c>
      <c r="BI516" s="1" t="s">
        <v>273</v>
      </c>
      <c r="BQ516" s="14">
        <v>46043</v>
      </c>
      <c r="BR516" s="5">
        <v>46046</v>
      </c>
    </row>
    <row r="517" spans="1:70" ht="27.75" customHeight="1" x14ac:dyDescent="0.3">
      <c r="A517" s="2">
        <v>517</v>
      </c>
      <c r="B517" s="7" t="s">
        <v>3410</v>
      </c>
      <c r="C517" s="111">
        <v>46017</v>
      </c>
      <c r="D517" s="8" t="s">
        <v>3409</v>
      </c>
      <c r="E517" s="2" t="s">
        <v>840</v>
      </c>
      <c r="F517" s="121" t="s">
        <v>3413</v>
      </c>
      <c r="G517" s="8" t="s">
        <v>3412</v>
      </c>
      <c r="H517" s="8" t="s">
        <v>3411</v>
      </c>
      <c r="I517" s="83">
        <v>52906</v>
      </c>
      <c r="J517" s="2" t="s">
        <v>142</v>
      </c>
      <c r="K517" s="2" t="s">
        <v>126</v>
      </c>
      <c r="L517" s="2" t="s">
        <v>854</v>
      </c>
      <c r="M517" s="134">
        <v>46041</v>
      </c>
      <c r="N517" s="56" t="s">
        <v>3782</v>
      </c>
      <c r="Q517" s="67">
        <f t="shared" si="60"/>
        <v>3</v>
      </c>
      <c r="R517" s="29">
        <f t="shared" si="57"/>
        <v>18</v>
      </c>
      <c r="T517" s="1">
        <v>420</v>
      </c>
      <c r="U517" s="1" t="s">
        <v>3406</v>
      </c>
      <c r="V517" s="2" t="s">
        <v>204</v>
      </c>
      <c r="W517" s="2" t="s">
        <v>203</v>
      </c>
      <c r="X517" s="2">
        <v>20265005413</v>
      </c>
      <c r="Y517" s="14">
        <v>46037</v>
      </c>
      <c r="Z517" s="14">
        <v>46041</v>
      </c>
      <c r="AA517" s="14">
        <v>46041</v>
      </c>
      <c r="AB517" s="14">
        <v>46041</v>
      </c>
      <c r="AC517" s="14">
        <v>46044</v>
      </c>
      <c r="AD517" s="2" t="s">
        <v>3407</v>
      </c>
      <c r="AE517" s="2" t="s">
        <v>3408</v>
      </c>
      <c r="AF517" s="2">
        <v>3</v>
      </c>
      <c r="AG517" s="2">
        <v>571</v>
      </c>
      <c r="AH517" s="2"/>
      <c r="AI517" s="2" t="s">
        <v>629</v>
      </c>
      <c r="AJ517" s="2"/>
      <c r="AK517" s="14">
        <v>46039</v>
      </c>
      <c r="AL517" s="14">
        <v>46039</v>
      </c>
      <c r="AM517" s="14">
        <v>46041</v>
      </c>
      <c r="AN517" s="2"/>
      <c r="AO517" s="2">
        <v>6995504</v>
      </c>
      <c r="AP517" s="14">
        <v>46042</v>
      </c>
      <c r="AQ517" s="14">
        <v>46044</v>
      </c>
      <c r="AS517" s="2"/>
      <c r="AT517" s="44">
        <v>53069</v>
      </c>
      <c r="AV517" s="14">
        <v>46051</v>
      </c>
      <c r="AW517" s="14">
        <v>46051</v>
      </c>
      <c r="AY517" s="2">
        <v>7245138</v>
      </c>
      <c r="AZ517" s="5">
        <v>46055</v>
      </c>
      <c r="BA517" s="1">
        <v>5682672</v>
      </c>
      <c r="BB517" s="2">
        <v>1022881</v>
      </c>
      <c r="BC517" s="5">
        <v>46055</v>
      </c>
      <c r="BD517" s="14">
        <v>46056</v>
      </c>
      <c r="BF517" s="32">
        <v>46057</v>
      </c>
      <c r="BG517" s="5">
        <v>46062</v>
      </c>
      <c r="BH517" s="1" t="s">
        <v>2901</v>
      </c>
      <c r="BI517" s="1" t="s">
        <v>273</v>
      </c>
      <c r="BQ517" s="14">
        <v>46051</v>
      </c>
      <c r="BR517" s="5">
        <v>46052</v>
      </c>
    </row>
    <row r="518" spans="1:70" ht="18" customHeight="1" x14ac:dyDescent="0.3">
      <c r="A518" s="2">
        <v>518</v>
      </c>
      <c r="B518" s="7" t="s">
        <v>3473</v>
      </c>
      <c r="C518" s="111">
        <v>46028</v>
      </c>
      <c r="D518" s="2">
        <v>9100</v>
      </c>
      <c r="E518" s="2" t="s">
        <v>677</v>
      </c>
      <c r="F518" s="2" t="s">
        <v>345</v>
      </c>
      <c r="G518" s="2" t="s">
        <v>346</v>
      </c>
      <c r="H518" s="2">
        <v>20</v>
      </c>
      <c r="I518" s="83">
        <v>52954</v>
      </c>
      <c r="J518" s="2" t="s">
        <v>142</v>
      </c>
      <c r="K518" s="2" t="s">
        <v>126</v>
      </c>
      <c r="L518" s="2" t="s">
        <v>854</v>
      </c>
      <c r="M518" s="134">
        <v>46044</v>
      </c>
      <c r="N518" s="56" t="s">
        <v>3783</v>
      </c>
      <c r="Q518" s="67">
        <f t="shared" si="60"/>
        <v>1</v>
      </c>
      <c r="R518" s="29">
        <f t="shared" si="57"/>
        <v>16</v>
      </c>
      <c r="T518" s="1"/>
      <c r="U518" s="1" t="s">
        <v>3474</v>
      </c>
      <c r="V518" s="2" t="s">
        <v>1179</v>
      </c>
      <c r="W518" s="2" t="s">
        <v>948</v>
      </c>
      <c r="X518" s="2" t="s">
        <v>3700</v>
      </c>
      <c r="Y518" s="14">
        <v>46043</v>
      </c>
      <c r="Z518" s="14">
        <v>46053</v>
      </c>
      <c r="AA518" s="14">
        <v>46045</v>
      </c>
      <c r="AB518" s="14">
        <v>46045</v>
      </c>
      <c r="AC518" s="14">
        <v>46046</v>
      </c>
      <c r="AD518" s="2">
        <v>15792685994</v>
      </c>
      <c r="AE518" s="2">
        <v>412658854</v>
      </c>
      <c r="AF518" s="2">
        <v>1</v>
      </c>
      <c r="AG518" s="2">
        <v>3</v>
      </c>
      <c r="AH518" s="2"/>
      <c r="AI518" s="2" t="s">
        <v>179</v>
      </c>
      <c r="AJ518" s="2"/>
      <c r="AK518" s="14">
        <v>46042</v>
      </c>
      <c r="AL518" s="14">
        <v>46043</v>
      </c>
      <c r="AM518" s="14">
        <v>46043</v>
      </c>
      <c r="AN518" s="2"/>
      <c r="AO518" s="1">
        <v>7068202</v>
      </c>
      <c r="AP518" s="14">
        <v>46045</v>
      </c>
      <c r="AQ518" s="14">
        <v>46046</v>
      </c>
      <c r="AS518" s="2"/>
      <c r="AT518" s="44">
        <v>53125</v>
      </c>
      <c r="AV518" s="14">
        <v>46056</v>
      </c>
      <c r="AW518" s="14">
        <v>46056</v>
      </c>
      <c r="AY518" s="2">
        <v>7318742</v>
      </c>
      <c r="AZ518" s="5">
        <v>46058</v>
      </c>
      <c r="BA518" s="1">
        <v>829920</v>
      </c>
      <c r="BB518" s="2">
        <v>149386</v>
      </c>
      <c r="BC518" s="5">
        <v>46058</v>
      </c>
      <c r="BD518" s="5">
        <v>46058</v>
      </c>
      <c r="BF518" s="32">
        <v>46059</v>
      </c>
      <c r="BG518" s="5">
        <v>46062</v>
      </c>
      <c r="BH518" s="1" t="s">
        <v>2616</v>
      </c>
      <c r="BI518" s="1" t="s">
        <v>273</v>
      </c>
      <c r="BQ518" s="14">
        <v>46056</v>
      </c>
      <c r="BR518" s="5">
        <v>46057</v>
      </c>
    </row>
    <row r="519" spans="1:70" ht="18" customHeight="1" x14ac:dyDescent="0.3">
      <c r="A519" s="2">
        <v>519</v>
      </c>
      <c r="B519" s="7">
        <v>260111140</v>
      </c>
      <c r="C519" s="111">
        <v>46044</v>
      </c>
      <c r="D519" s="2">
        <v>217471.28</v>
      </c>
      <c r="E519" s="2" t="s">
        <v>680</v>
      </c>
      <c r="F519" s="8" t="s">
        <v>1883</v>
      </c>
      <c r="G519" s="8" t="s">
        <v>3600</v>
      </c>
      <c r="H519" s="2">
        <v>4</v>
      </c>
      <c r="I519" s="83">
        <v>53028</v>
      </c>
      <c r="J519" s="2" t="s">
        <v>142</v>
      </c>
      <c r="K519" s="2" t="s">
        <v>126</v>
      </c>
      <c r="L519" s="2" t="s">
        <v>854</v>
      </c>
      <c r="M519" s="134">
        <v>46049</v>
      </c>
      <c r="N519" s="56" t="s">
        <v>3797</v>
      </c>
      <c r="Q519" s="67">
        <f t="shared" si="60"/>
        <v>4</v>
      </c>
      <c r="R519" s="29">
        <f t="shared" si="57"/>
        <v>10</v>
      </c>
      <c r="T519" s="1">
        <v>1467</v>
      </c>
      <c r="U519" s="1" t="s">
        <v>3577</v>
      </c>
      <c r="V519" s="2" t="s">
        <v>755</v>
      </c>
      <c r="W519" s="1" t="s">
        <v>827</v>
      </c>
      <c r="X519" s="2" t="s">
        <v>3643</v>
      </c>
      <c r="Y519" s="14">
        <v>46045</v>
      </c>
      <c r="Z519" s="14">
        <v>46051</v>
      </c>
      <c r="AA519" s="14">
        <v>46049</v>
      </c>
      <c r="AB519" s="14">
        <v>46049</v>
      </c>
      <c r="AC519" s="14">
        <v>46053</v>
      </c>
      <c r="AD519" s="2">
        <v>60752050493</v>
      </c>
      <c r="AE519" s="2">
        <v>4840754414</v>
      </c>
      <c r="AF519" s="2">
        <v>4</v>
      </c>
      <c r="AG519" s="2">
        <v>12</v>
      </c>
      <c r="AH519" s="2"/>
      <c r="AI519" s="2" t="s">
        <v>179</v>
      </c>
      <c r="AJ519" s="2"/>
      <c r="AK519" s="14">
        <v>46048.47152777778</v>
      </c>
      <c r="AL519" s="14">
        <v>46049</v>
      </c>
      <c r="AM519" s="14">
        <v>46049</v>
      </c>
      <c r="AN519" s="2"/>
      <c r="AO519" s="2">
        <v>7167698</v>
      </c>
      <c r="AP519" s="14">
        <v>46050</v>
      </c>
      <c r="AQ519" s="14">
        <v>46053</v>
      </c>
      <c r="AS519" s="2"/>
      <c r="AT519" s="44">
        <v>53143</v>
      </c>
      <c r="AV519" s="14">
        <v>46057</v>
      </c>
      <c r="AW519" s="14">
        <v>46057</v>
      </c>
      <c r="AY519" s="2">
        <v>7318741</v>
      </c>
      <c r="AZ519" s="5">
        <v>46058</v>
      </c>
      <c r="BA519" s="1">
        <v>19833381</v>
      </c>
      <c r="BB519" s="2">
        <v>3570009</v>
      </c>
      <c r="BC519" s="5">
        <v>46058</v>
      </c>
      <c r="BD519" s="14">
        <v>46059</v>
      </c>
      <c r="BF519" s="5">
        <v>46060</v>
      </c>
      <c r="BG519" s="5">
        <v>46063</v>
      </c>
      <c r="BH519" s="1" t="s">
        <v>3796</v>
      </c>
      <c r="BI519" s="1" t="s">
        <v>273</v>
      </c>
      <c r="BQ519" s="14">
        <v>46057</v>
      </c>
      <c r="BR519" s="14">
        <v>46057</v>
      </c>
    </row>
    <row r="520" spans="1:70" ht="18" customHeight="1" x14ac:dyDescent="0.3">
      <c r="A520" s="2">
        <v>520</v>
      </c>
      <c r="B520" s="7">
        <v>260112505</v>
      </c>
      <c r="C520" s="111">
        <v>46049</v>
      </c>
      <c r="D520" s="2">
        <v>217471.28</v>
      </c>
      <c r="E520" s="2" t="s">
        <v>677</v>
      </c>
      <c r="F520" s="2" t="s">
        <v>1198</v>
      </c>
      <c r="G520" s="2" t="s">
        <v>3644</v>
      </c>
      <c r="H520" s="2">
        <v>4</v>
      </c>
      <c r="I520" s="83">
        <v>53046</v>
      </c>
      <c r="J520" s="2" t="s">
        <v>142</v>
      </c>
      <c r="K520" s="2" t="s">
        <v>126</v>
      </c>
      <c r="L520" s="2" t="s">
        <v>854</v>
      </c>
      <c r="M520" s="134">
        <v>46050</v>
      </c>
      <c r="N520" s="56" t="s">
        <v>3798</v>
      </c>
      <c r="Q520" s="67">
        <f t="shared" si="60"/>
        <v>3</v>
      </c>
      <c r="R520" s="29">
        <f t="shared" si="57"/>
        <v>10</v>
      </c>
      <c r="T520" s="1"/>
      <c r="U520" s="1" t="s">
        <v>3645</v>
      </c>
      <c r="V520" s="2" t="s">
        <v>755</v>
      </c>
      <c r="W520" s="1" t="s">
        <v>827</v>
      </c>
      <c r="X520" s="2" t="s">
        <v>3646</v>
      </c>
      <c r="Y520" s="14">
        <v>46049</v>
      </c>
      <c r="Z520" s="14">
        <v>46052</v>
      </c>
      <c r="AA520" s="14">
        <v>46050</v>
      </c>
      <c r="AB520" s="14">
        <v>46050</v>
      </c>
      <c r="AC520" s="14">
        <v>46053</v>
      </c>
      <c r="AD520" s="2">
        <v>9843836306</v>
      </c>
      <c r="AE520">
        <v>4840755112</v>
      </c>
      <c r="AF520" s="2">
        <v>4</v>
      </c>
      <c r="AG520" s="2">
        <v>13.5</v>
      </c>
      <c r="AH520" s="2"/>
      <c r="AI520" s="2" t="s">
        <v>179</v>
      </c>
      <c r="AJ520" s="2"/>
      <c r="AK520" s="14">
        <v>46050</v>
      </c>
      <c r="AL520" s="14">
        <v>46050</v>
      </c>
      <c r="AM520" s="14">
        <v>46050</v>
      </c>
      <c r="AN520" s="2"/>
      <c r="AO520" s="2">
        <v>7176144</v>
      </c>
      <c r="AP520" s="14">
        <v>46051</v>
      </c>
      <c r="AQ520" s="14">
        <v>46053</v>
      </c>
      <c r="AS520" s="2"/>
      <c r="AT520" s="44">
        <v>53145</v>
      </c>
      <c r="AV520" s="14">
        <v>46057</v>
      </c>
      <c r="AW520" s="14">
        <v>46057</v>
      </c>
      <c r="AY520" s="2">
        <v>7318747</v>
      </c>
      <c r="AZ520" s="5">
        <v>46058</v>
      </c>
      <c r="BA520" s="1">
        <v>19833381</v>
      </c>
      <c r="BB520" s="2">
        <v>3570009</v>
      </c>
      <c r="BC520" s="5">
        <v>46058</v>
      </c>
      <c r="BD520" s="5">
        <v>46058</v>
      </c>
      <c r="BF520" s="14">
        <v>46059</v>
      </c>
      <c r="BG520" s="5">
        <v>46063</v>
      </c>
      <c r="BH520" s="1" t="s">
        <v>3796</v>
      </c>
      <c r="BI520" s="1" t="s">
        <v>273</v>
      </c>
      <c r="BQ520" s="14">
        <v>46057</v>
      </c>
      <c r="BR520" s="1"/>
    </row>
    <row r="521" spans="1:70" ht="18" customHeight="1" x14ac:dyDescent="0.3">
      <c r="A521" s="2">
        <v>521</v>
      </c>
      <c r="B521" s="7">
        <v>7079196</v>
      </c>
      <c r="C521" s="111">
        <v>46021</v>
      </c>
      <c r="D521" s="2">
        <v>31155</v>
      </c>
      <c r="E521" s="2" t="s">
        <v>840</v>
      </c>
      <c r="F521" s="8" t="s">
        <v>222</v>
      </c>
      <c r="G521" s="8" t="s">
        <v>560</v>
      </c>
      <c r="H521" s="8" t="s">
        <v>520</v>
      </c>
      <c r="I521" s="83">
        <v>52935</v>
      </c>
      <c r="J521" s="2" t="s">
        <v>1631</v>
      </c>
      <c r="K521" s="2" t="s">
        <v>126</v>
      </c>
      <c r="L521" s="2" t="s">
        <v>854</v>
      </c>
      <c r="M521" s="134">
        <v>46047</v>
      </c>
      <c r="N521" s="56" t="s">
        <v>3800</v>
      </c>
      <c r="Q521" s="67">
        <f t="shared" si="60"/>
        <v>5</v>
      </c>
      <c r="R521" s="29">
        <f t="shared" si="57"/>
        <v>11</v>
      </c>
      <c r="T521" s="1"/>
      <c r="U521" s="1" t="s">
        <v>3229</v>
      </c>
      <c r="V521" s="2" t="s">
        <v>3037</v>
      </c>
      <c r="W521" s="2" t="s">
        <v>3038</v>
      </c>
      <c r="X521" s="2">
        <v>20265005257</v>
      </c>
      <c r="Y521" s="14">
        <v>46037</v>
      </c>
      <c r="Z521" s="14">
        <v>46044</v>
      </c>
      <c r="AA521" s="14">
        <v>46021</v>
      </c>
      <c r="AB521" s="14">
        <v>46047</v>
      </c>
      <c r="AC521" s="14">
        <v>46052</v>
      </c>
      <c r="AD521" s="2"/>
      <c r="AE521" s="2" t="s">
        <v>3451</v>
      </c>
      <c r="AF521" s="2">
        <v>1</v>
      </c>
      <c r="AG521" s="2">
        <v>1.77</v>
      </c>
      <c r="AH521" s="2"/>
      <c r="AI521" s="2" t="s">
        <v>180</v>
      </c>
      <c r="AJ521" s="2"/>
      <c r="AK521" s="14">
        <v>46042</v>
      </c>
      <c r="AL521" s="14">
        <v>46043</v>
      </c>
      <c r="AM521" s="14">
        <v>46043</v>
      </c>
      <c r="AN521" s="2"/>
      <c r="AO521" s="2">
        <v>7128760</v>
      </c>
      <c r="AP521" s="14">
        <v>46049</v>
      </c>
      <c r="AQ521" s="14">
        <v>46052</v>
      </c>
      <c r="AS521" s="2"/>
      <c r="AT521" s="44">
        <v>53093</v>
      </c>
      <c r="AV521" s="14">
        <v>46053</v>
      </c>
      <c r="AW521" s="14">
        <v>46055</v>
      </c>
      <c r="AY521" s="2">
        <v>7293298</v>
      </c>
      <c r="AZ521" s="5">
        <v>46057</v>
      </c>
      <c r="BA521" s="1">
        <v>2841336</v>
      </c>
      <c r="BB521" s="2">
        <v>511440</v>
      </c>
      <c r="BC521" s="5">
        <v>46057</v>
      </c>
      <c r="BD521" s="5">
        <v>46057</v>
      </c>
      <c r="BF521" s="32">
        <v>46058</v>
      </c>
      <c r="BG521" s="5">
        <v>46063</v>
      </c>
      <c r="BH521" s="1" t="s">
        <v>3799</v>
      </c>
      <c r="BI521" s="1" t="s">
        <v>273</v>
      </c>
      <c r="BQ521" s="2"/>
      <c r="BR521" s="1"/>
    </row>
    <row r="522" spans="1:70" ht="18" customHeight="1" x14ac:dyDescent="0.3">
      <c r="A522" s="2">
        <v>522</v>
      </c>
      <c r="B522" s="7">
        <v>7079246</v>
      </c>
      <c r="C522" s="111">
        <v>46022</v>
      </c>
      <c r="D522" s="2">
        <v>10385</v>
      </c>
      <c r="E522" s="2" t="s">
        <v>840</v>
      </c>
      <c r="F522" s="8" t="s">
        <v>222</v>
      </c>
      <c r="G522" s="8" t="s">
        <v>560</v>
      </c>
      <c r="H522" s="8" t="s">
        <v>1493</v>
      </c>
      <c r="I522" s="83">
        <v>52937</v>
      </c>
      <c r="J522" s="2" t="s">
        <v>1631</v>
      </c>
      <c r="K522" s="2" t="s">
        <v>126</v>
      </c>
      <c r="L522" s="2" t="s">
        <v>854</v>
      </c>
      <c r="M522" s="134">
        <v>46047</v>
      </c>
      <c r="N522" s="56" t="s">
        <v>3801</v>
      </c>
      <c r="Q522" s="67">
        <f t="shared" si="60"/>
        <v>5</v>
      </c>
      <c r="R522" s="29">
        <f t="shared" si="57"/>
        <v>11</v>
      </c>
      <c r="T522" s="1"/>
      <c r="U522" s="1" t="s">
        <v>3229</v>
      </c>
      <c r="V522" s="2" t="s">
        <v>3037</v>
      </c>
      <c r="W522" s="2" t="s">
        <v>3038</v>
      </c>
      <c r="X522" s="2">
        <v>20265005254</v>
      </c>
      <c r="Y522" s="14">
        <v>46037</v>
      </c>
      <c r="Z522" s="14">
        <v>46044</v>
      </c>
      <c r="AA522" s="14">
        <v>46021</v>
      </c>
      <c r="AB522" s="14">
        <v>46047</v>
      </c>
      <c r="AC522" s="14">
        <v>46052</v>
      </c>
      <c r="AD522" s="2"/>
      <c r="AE522" s="2" t="s">
        <v>3452</v>
      </c>
      <c r="AF522" s="2">
        <v>1</v>
      </c>
      <c r="AG522" s="2">
        <v>0.57999999999999996</v>
      </c>
      <c r="AH522" s="2"/>
      <c r="AI522" s="2" t="s">
        <v>180</v>
      </c>
      <c r="AJ522" s="2"/>
      <c r="AK522" s="14">
        <v>46042</v>
      </c>
      <c r="AL522" s="14">
        <v>46043</v>
      </c>
      <c r="AM522" s="14">
        <v>46043</v>
      </c>
      <c r="AN522" s="2"/>
      <c r="AO522" s="2">
        <v>7129304</v>
      </c>
      <c r="AP522" s="14">
        <v>46049</v>
      </c>
      <c r="AQ522" s="14">
        <v>46052</v>
      </c>
      <c r="AS522" s="2"/>
      <c r="AT522" s="44">
        <v>53095</v>
      </c>
      <c r="AV522" s="14">
        <v>46053</v>
      </c>
      <c r="AW522" s="14">
        <v>46055</v>
      </c>
      <c r="AY522" s="2">
        <v>7293300</v>
      </c>
      <c r="AZ522" s="5">
        <v>46057</v>
      </c>
      <c r="BA522" s="1">
        <v>947112</v>
      </c>
      <c r="BB522" s="2">
        <v>170480</v>
      </c>
      <c r="BC522" s="5">
        <v>46057</v>
      </c>
      <c r="BD522" s="5">
        <v>46057</v>
      </c>
      <c r="BF522" s="32">
        <v>46058</v>
      </c>
      <c r="BG522" s="5">
        <v>46063</v>
      </c>
      <c r="BH522" s="1" t="s">
        <v>3799</v>
      </c>
      <c r="BI522" s="1" t="s">
        <v>273</v>
      </c>
      <c r="BQ522" s="2"/>
      <c r="BR522" s="1"/>
    </row>
    <row r="523" spans="1:70" ht="18" customHeight="1" x14ac:dyDescent="0.3">
      <c r="A523" s="2">
        <v>523</v>
      </c>
      <c r="B523" s="7">
        <v>7074089</v>
      </c>
      <c r="C523" s="111">
        <v>46015</v>
      </c>
      <c r="D523" s="2">
        <v>27924</v>
      </c>
      <c r="E523" s="2" t="s">
        <v>840</v>
      </c>
      <c r="F523" s="8" t="s">
        <v>1382</v>
      </c>
      <c r="G523" s="8" t="s">
        <v>1383</v>
      </c>
      <c r="H523" s="8" t="s">
        <v>568</v>
      </c>
      <c r="I523" s="83">
        <v>52938</v>
      </c>
      <c r="J523" s="2" t="s">
        <v>1631</v>
      </c>
      <c r="K523" s="2" t="s">
        <v>126</v>
      </c>
      <c r="L523" s="2" t="s">
        <v>854</v>
      </c>
      <c r="M523" s="134">
        <v>46047</v>
      </c>
      <c r="N523" s="56" t="s">
        <v>3802</v>
      </c>
      <c r="Q523" s="67">
        <f t="shared" si="60"/>
        <v>5</v>
      </c>
      <c r="R523" s="29">
        <f t="shared" si="57"/>
        <v>11</v>
      </c>
      <c r="T523" s="1">
        <v>188</v>
      </c>
      <c r="U523" s="1" t="s">
        <v>3453</v>
      </c>
      <c r="V523" s="2" t="s">
        <v>3037</v>
      </c>
      <c r="W523" s="2" t="s">
        <v>3038</v>
      </c>
      <c r="X523" s="2">
        <v>20265005284</v>
      </c>
      <c r="Y523" s="14">
        <v>46037</v>
      </c>
      <c r="Z523" s="14">
        <v>46044</v>
      </c>
      <c r="AA523" s="14">
        <v>46021</v>
      </c>
      <c r="AB523" s="14">
        <v>46047</v>
      </c>
      <c r="AC523" s="14">
        <v>46052</v>
      </c>
      <c r="AD523" s="2"/>
      <c r="AE523" s="2" t="s">
        <v>3454</v>
      </c>
      <c r="AF523" s="2">
        <v>1</v>
      </c>
      <c r="AG523" s="2">
        <v>1.49</v>
      </c>
      <c r="AH523" s="2"/>
      <c r="AI523" s="2" t="s">
        <v>180</v>
      </c>
      <c r="AJ523" s="2"/>
      <c r="AK523" s="14">
        <v>46042</v>
      </c>
      <c r="AL523" s="14">
        <v>46043</v>
      </c>
      <c r="AM523" s="14">
        <v>46043</v>
      </c>
      <c r="AN523" s="2"/>
      <c r="AO523" s="2">
        <v>7129600</v>
      </c>
      <c r="AP523" s="14">
        <v>46049</v>
      </c>
      <c r="AQ523" s="14">
        <v>46052</v>
      </c>
      <c r="AS523" s="2"/>
      <c r="AT523" s="44">
        <v>53139</v>
      </c>
      <c r="AV523" s="14">
        <v>46056</v>
      </c>
      <c r="AW523" s="14">
        <v>46056</v>
      </c>
      <c r="AY523" s="2">
        <v>7293412</v>
      </c>
      <c r="AZ523" s="5">
        <v>46057</v>
      </c>
      <c r="BA523" s="1">
        <v>2546669</v>
      </c>
      <c r="BB523" s="2">
        <v>458400</v>
      </c>
      <c r="BC523" s="5">
        <v>46057</v>
      </c>
      <c r="BD523" s="14">
        <v>46058</v>
      </c>
      <c r="BF523" s="32">
        <v>46059</v>
      </c>
      <c r="BG523" s="5">
        <v>46063</v>
      </c>
      <c r="BH523" s="1" t="s">
        <v>3799</v>
      </c>
      <c r="BI523" s="1" t="s">
        <v>273</v>
      </c>
      <c r="BQ523" s="14">
        <v>46056</v>
      </c>
      <c r="BR523" s="1"/>
    </row>
    <row r="524" spans="1:70" ht="18" customHeight="1" x14ac:dyDescent="0.3">
      <c r="A524" s="2">
        <v>524</v>
      </c>
      <c r="B524" s="7">
        <v>7079193</v>
      </c>
      <c r="C524" s="111">
        <v>46021</v>
      </c>
      <c r="D524" s="2">
        <v>23270</v>
      </c>
      <c r="E524" s="2" t="s">
        <v>840</v>
      </c>
      <c r="F524" s="8" t="s">
        <v>1382</v>
      </c>
      <c r="G524" s="8" t="s">
        <v>1383</v>
      </c>
      <c r="H524" s="8" t="s">
        <v>770</v>
      </c>
      <c r="I524" s="83">
        <v>52939</v>
      </c>
      <c r="J524" s="2" t="s">
        <v>1631</v>
      </c>
      <c r="K524" s="2" t="s">
        <v>126</v>
      </c>
      <c r="L524" s="2" t="s">
        <v>854</v>
      </c>
      <c r="M524" s="134">
        <v>46047</v>
      </c>
      <c r="N524" s="56" t="s">
        <v>3803</v>
      </c>
      <c r="Q524" s="67">
        <f t="shared" si="60"/>
        <v>5</v>
      </c>
      <c r="R524" s="29">
        <f t="shared" si="57"/>
        <v>11</v>
      </c>
      <c r="T524" s="1"/>
      <c r="U524" s="1" t="s">
        <v>3193</v>
      </c>
      <c r="V524" s="2" t="s">
        <v>3037</v>
      </c>
      <c r="W524" s="2" t="s">
        <v>3038</v>
      </c>
      <c r="X524" s="2">
        <v>20265005297</v>
      </c>
      <c r="Y524" s="14">
        <v>46037</v>
      </c>
      <c r="Z524" s="14">
        <v>46044</v>
      </c>
      <c r="AA524" s="14">
        <v>46021</v>
      </c>
      <c r="AB524" s="14">
        <v>46047</v>
      </c>
      <c r="AC524" s="14">
        <v>46052</v>
      </c>
      <c r="AD524" s="2"/>
      <c r="AE524" s="2" t="s">
        <v>3455</v>
      </c>
      <c r="AF524" s="2">
        <v>1</v>
      </c>
      <c r="AG524" s="2">
        <v>1.24</v>
      </c>
      <c r="AH524" s="2"/>
      <c r="AI524" s="2" t="s">
        <v>180</v>
      </c>
      <c r="AJ524" s="2"/>
      <c r="AK524" s="14">
        <v>46042</v>
      </c>
      <c r="AL524" s="14">
        <v>46043</v>
      </c>
      <c r="AM524" s="14">
        <v>46043</v>
      </c>
      <c r="AN524" s="2"/>
      <c r="AO524" s="2">
        <v>7129882</v>
      </c>
      <c r="AP524" s="14">
        <v>46049</v>
      </c>
      <c r="AQ524" s="14">
        <v>46052</v>
      </c>
      <c r="AS524" s="2"/>
      <c r="AT524" s="44">
        <v>53096</v>
      </c>
      <c r="AV524" s="14">
        <v>46053</v>
      </c>
      <c r="AW524" s="14">
        <v>46055</v>
      </c>
      <c r="AY524" s="2">
        <v>7293411</v>
      </c>
      <c r="AZ524" s="5">
        <v>46057</v>
      </c>
      <c r="BA524" s="2">
        <v>2122224</v>
      </c>
      <c r="BB524" s="1">
        <v>382000</v>
      </c>
      <c r="BC524" s="5">
        <v>46057</v>
      </c>
      <c r="BD524" s="5">
        <v>46057</v>
      </c>
      <c r="BF524" s="32">
        <v>46058</v>
      </c>
      <c r="BG524" s="5">
        <v>46063</v>
      </c>
      <c r="BH524" s="1" t="s">
        <v>3799</v>
      </c>
      <c r="BI524" s="1" t="s">
        <v>273</v>
      </c>
      <c r="BQ524" s="2"/>
      <c r="BR524" s="1"/>
    </row>
    <row r="525" spans="1:70" ht="18" customHeight="1" x14ac:dyDescent="0.3">
      <c r="A525" s="2">
        <v>525</v>
      </c>
      <c r="B525" s="7">
        <v>7074484</v>
      </c>
      <c r="C525" s="111">
        <v>46020</v>
      </c>
      <c r="D525" s="2">
        <v>93080</v>
      </c>
      <c r="E525" s="2" t="s">
        <v>840</v>
      </c>
      <c r="F525" s="8" t="s">
        <v>760</v>
      </c>
      <c r="G525" s="8" t="s">
        <v>2000</v>
      </c>
      <c r="H525" s="8" t="s">
        <v>141</v>
      </c>
      <c r="I525" s="83">
        <v>52945</v>
      </c>
      <c r="J525" s="2" t="s">
        <v>1631</v>
      </c>
      <c r="K525" s="2" t="s">
        <v>126</v>
      </c>
      <c r="L525" s="2" t="s">
        <v>854</v>
      </c>
      <c r="M525" s="134">
        <v>46047</v>
      </c>
      <c r="N525" s="56" t="s">
        <v>3805</v>
      </c>
      <c r="Q525" s="67">
        <f t="shared" si="60"/>
        <v>5</v>
      </c>
      <c r="R525" s="29">
        <f t="shared" si="57"/>
        <v>11</v>
      </c>
      <c r="T525" s="1"/>
      <c r="U525" s="1" t="s">
        <v>3384</v>
      </c>
      <c r="V525" s="2" t="s">
        <v>2975</v>
      </c>
      <c r="W525" s="2" t="s">
        <v>2976</v>
      </c>
      <c r="X525" s="2">
        <v>20265005337</v>
      </c>
      <c r="Y525" s="14">
        <v>46037</v>
      </c>
      <c r="Z525" s="14">
        <v>46044</v>
      </c>
      <c r="AA525" s="14">
        <v>46021</v>
      </c>
      <c r="AB525" s="14">
        <v>46047</v>
      </c>
      <c r="AC525" s="14">
        <v>46052</v>
      </c>
      <c r="AD525" s="2"/>
      <c r="AE525" s="2" t="s">
        <v>3459</v>
      </c>
      <c r="AF525" s="2">
        <v>3</v>
      </c>
      <c r="AG525" s="2">
        <v>4.7300000000000004</v>
      </c>
      <c r="AH525" s="2"/>
      <c r="AI525" s="2" t="s">
        <v>180</v>
      </c>
      <c r="AJ525" s="2"/>
      <c r="AK525" s="14">
        <v>46042</v>
      </c>
      <c r="AL525" s="14">
        <v>46043</v>
      </c>
      <c r="AM525" s="14">
        <v>46043</v>
      </c>
      <c r="AN525" s="2"/>
      <c r="AO525" s="2">
        <v>7134211</v>
      </c>
      <c r="AP525" s="14">
        <v>46049</v>
      </c>
      <c r="AQ525" s="14">
        <v>46052</v>
      </c>
      <c r="AS525" s="2"/>
      <c r="AT525" s="44">
        <v>53102</v>
      </c>
      <c r="AV525" s="14">
        <v>46053</v>
      </c>
      <c r="AW525" s="14">
        <v>46055</v>
      </c>
      <c r="AY525" s="2">
        <v>7271157</v>
      </c>
      <c r="AZ525" s="162">
        <v>46056</v>
      </c>
      <c r="BA525" s="1">
        <v>8488896</v>
      </c>
      <c r="BB525" s="2">
        <v>1528001</v>
      </c>
      <c r="BC525" s="5">
        <v>46056</v>
      </c>
      <c r="BD525" s="5">
        <v>46056</v>
      </c>
      <c r="BF525" s="32">
        <v>46057</v>
      </c>
      <c r="BG525" s="5">
        <v>46063</v>
      </c>
      <c r="BH525" s="1" t="s">
        <v>3804</v>
      </c>
      <c r="BI525" s="1" t="s">
        <v>273</v>
      </c>
      <c r="BQ525" s="2"/>
      <c r="BR525" s="1"/>
    </row>
    <row r="526" spans="1:70" ht="18" customHeight="1" x14ac:dyDescent="0.3">
      <c r="A526" s="2">
        <v>526</v>
      </c>
      <c r="B526" s="7">
        <v>7070167</v>
      </c>
      <c r="C526" s="111">
        <v>46010</v>
      </c>
      <c r="D526" s="45">
        <v>20770</v>
      </c>
      <c r="E526" s="2" t="s">
        <v>840</v>
      </c>
      <c r="F526" s="8" t="s">
        <v>573</v>
      </c>
      <c r="G526" s="8" t="s">
        <v>3530</v>
      </c>
      <c r="H526" s="8" t="s">
        <v>770</v>
      </c>
      <c r="I526" s="83">
        <v>52998</v>
      </c>
      <c r="J526" s="2" t="s">
        <v>142</v>
      </c>
      <c r="K526" s="2" t="s">
        <v>126</v>
      </c>
      <c r="L526" s="2" t="s">
        <v>854</v>
      </c>
      <c r="M526" s="134">
        <v>46047</v>
      </c>
      <c r="N526" s="56" t="s">
        <v>3806</v>
      </c>
      <c r="Q526" s="67">
        <f t="shared" si="60"/>
        <v>5</v>
      </c>
      <c r="R526" s="29">
        <f t="shared" si="57"/>
        <v>11</v>
      </c>
      <c r="T526" s="1"/>
      <c r="U526" s="1" t="s">
        <v>3531</v>
      </c>
      <c r="V526" s="2" t="s">
        <v>2975</v>
      </c>
      <c r="W526" s="2" t="s">
        <v>2976</v>
      </c>
      <c r="X526" s="2">
        <v>20265008435</v>
      </c>
      <c r="Y526" s="14">
        <v>46044</v>
      </c>
      <c r="Z526" s="14">
        <v>46050</v>
      </c>
      <c r="AA526" s="14">
        <v>46047</v>
      </c>
      <c r="AB526" s="14">
        <v>46047</v>
      </c>
      <c r="AC526" s="14">
        <v>46052</v>
      </c>
      <c r="AD526" s="1">
        <v>21707657300</v>
      </c>
      <c r="AE526" s="1" t="s">
        <v>3541</v>
      </c>
      <c r="AF526" s="2">
        <v>1</v>
      </c>
      <c r="AG526" s="2">
        <v>198</v>
      </c>
      <c r="AH526" s="2"/>
      <c r="AI526" s="2" t="s">
        <v>180</v>
      </c>
      <c r="AJ526" s="2"/>
      <c r="AK526" s="14">
        <v>46046.882638888892</v>
      </c>
      <c r="AL526" s="14">
        <v>46049</v>
      </c>
      <c r="AM526" s="14">
        <v>46049</v>
      </c>
      <c r="AN526" s="2"/>
      <c r="AO526" s="2">
        <v>7145846</v>
      </c>
      <c r="AP526" s="14">
        <v>46049</v>
      </c>
      <c r="AQ526" s="14">
        <v>46052</v>
      </c>
      <c r="AS526" s="2"/>
      <c r="AT526" s="44">
        <v>52844</v>
      </c>
      <c r="AV526" s="14">
        <v>46056</v>
      </c>
      <c r="AW526" s="14">
        <v>46057</v>
      </c>
      <c r="AY526" s="2">
        <v>7298547</v>
      </c>
      <c r="AZ526" s="5">
        <v>46057</v>
      </c>
      <c r="BA526" s="1">
        <v>1894224</v>
      </c>
      <c r="BB526" s="2">
        <v>340960</v>
      </c>
      <c r="BC526" s="5">
        <v>46057</v>
      </c>
      <c r="BD526" s="5">
        <v>46057</v>
      </c>
      <c r="BF526" s="32">
        <v>46058</v>
      </c>
      <c r="BG526" s="5">
        <v>46063</v>
      </c>
      <c r="BH526" s="1" t="s">
        <v>3804</v>
      </c>
      <c r="BI526" s="1" t="s">
        <v>273</v>
      </c>
      <c r="BQ526" s="14">
        <v>46057</v>
      </c>
      <c r="BR526" s="14">
        <v>46057</v>
      </c>
    </row>
    <row r="527" spans="1:70" ht="18" customHeight="1" x14ac:dyDescent="0.3">
      <c r="A527" s="2">
        <v>527</v>
      </c>
      <c r="B527" s="7" t="s">
        <v>3469</v>
      </c>
      <c r="C527" s="111">
        <v>46028</v>
      </c>
      <c r="D527" s="2">
        <v>22750</v>
      </c>
      <c r="E527" s="2" t="s">
        <v>677</v>
      </c>
      <c r="F527" s="2" t="s">
        <v>345</v>
      </c>
      <c r="G527" s="2" t="s">
        <v>346</v>
      </c>
      <c r="H527" s="2">
        <v>52</v>
      </c>
      <c r="I527" s="83">
        <v>52950</v>
      </c>
      <c r="J527" s="2" t="s">
        <v>142</v>
      </c>
      <c r="K527" s="2" t="s">
        <v>126</v>
      </c>
      <c r="L527" s="2" t="s">
        <v>854</v>
      </c>
      <c r="M527" s="134">
        <v>46044</v>
      </c>
      <c r="N527" s="56" t="s">
        <v>3820</v>
      </c>
      <c r="Q527" s="67">
        <f t="shared" ref="Q527:Q537" si="61">AQ527-AB527</f>
        <v>1</v>
      </c>
      <c r="R527" s="29">
        <f t="shared" si="57"/>
        <v>18</v>
      </c>
      <c r="T527" s="1">
        <v>154</v>
      </c>
      <c r="U527" s="1" t="s">
        <v>3470</v>
      </c>
      <c r="V527" s="2" t="s">
        <v>204</v>
      </c>
      <c r="W527" s="1" t="s">
        <v>203</v>
      </c>
      <c r="X527" s="2" t="s">
        <v>3702</v>
      </c>
      <c r="Y527" s="14">
        <v>46043</v>
      </c>
      <c r="Z527" s="14">
        <v>46053</v>
      </c>
      <c r="AA527" s="14">
        <v>46045</v>
      </c>
      <c r="AB527" s="14">
        <v>46045</v>
      </c>
      <c r="AC527" s="14">
        <v>46046</v>
      </c>
      <c r="AD527" s="2">
        <v>15792685994</v>
      </c>
      <c r="AE527" s="2">
        <v>412658849</v>
      </c>
      <c r="AF527" s="2">
        <v>1</v>
      </c>
      <c r="AG527" s="2">
        <v>6</v>
      </c>
      <c r="AH527" s="2"/>
      <c r="AI527" s="2" t="s">
        <v>179</v>
      </c>
      <c r="AJ527" s="2"/>
      <c r="AK527" s="14">
        <v>46042</v>
      </c>
      <c r="AL527" s="14">
        <v>46043</v>
      </c>
      <c r="AM527" s="14">
        <v>46043</v>
      </c>
      <c r="AN527" s="2"/>
      <c r="AO527" s="1">
        <v>7068204</v>
      </c>
      <c r="AP527" s="14">
        <v>46045</v>
      </c>
      <c r="AQ527" s="14">
        <v>46046</v>
      </c>
      <c r="AS527" s="2"/>
      <c r="AT527" s="44">
        <v>53127</v>
      </c>
      <c r="AV527" s="14">
        <v>46056</v>
      </c>
      <c r="AW527" s="14">
        <v>46056</v>
      </c>
      <c r="AY527" s="2">
        <v>7398767</v>
      </c>
      <c r="AZ527" s="5">
        <v>46062</v>
      </c>
      <c r="BA527" s="1">
        <v>2078213</v>
      </c>
      <c r="BB527" s="2">
        <v>374078</v>
      </c>
      <c r="BC527" s="5">
        <v>46062</v>
      </c>
      <c r="BD527" s="14">
        <v>46063</v>
      </c>
      <c r="BF527" s="14">
        <v>46063</v>
      </c>
      <c r="BG527" s="5">
        <v>46064</v>
      </c>
      <c r="BH527" s="1" t="s">
        <v>1082</v>
      </c>
      <c r="BI527" s="1" t="s">
        <v>273</v>
      </c>
      <c r="BQ527" s="14">
        <v>46056</v>
      </c>
      <c r="BR527" s="5">
        <v>46058</v>
      </c>
    </row>
    <row r="528" spans="1:70" ht="18" customHeight="1" x14ac:dyDescent="0.3">
      <c r="A528" s="2">
        <v>528</v>
      </c>
      <c r="B528" s="7" t="s">
        <v>3471</v>
      </c>
      <c r="C528" s="111">
        <v>46028</v>
      </c>
      <c r="D528" s="2">
        <v>13650</v>
      </c>
      <c r="E528" s="2" t="s">
        <v>677</v>
      </c>
      <c r="F528" s="2" t="s">
        <v>345</v>
      </c>
      <c r="G528" s="2" t="s">
        <v>346</v>
      </c>
      <c r="H528" s="2">
        <v>30</v>
      </c>
      <c r="I528" s="83">
        <v>52953</v>
      </c>
      <c r="J528" s="2" t="s">
        <v>142</v>
      </c>
      <c r="K528" s="2" t="s">
        <v>126</v>
      </c>
      <c r="L528" s="2" t="s">
        <v>854</v>
      </c>
      <c r="M528" s="134">
        <v>46044</v>
      </c>
      <c r="N528" s="56" t="s">
        <v>3821</v>
      </c>
      <c r="Q528" s="67">
        <f t="shared" si="61"/>
        <v>1</v>
      </c>
      <c r="R528" s="29">
        <f t="shared" si="57"/>
        <v>18</v>
      </c>
      <c r="T528" s="1">
        <v>92</v>
      </c>
      <c r="U528" s="1" t="s">
        <v>3472</v>
      </c>
      <c r="V528" s="2" t="s">
        <v>204</v>
      </c>
      <c r="W528" s="1" t="s">
        <v>203</v>
      </c>
      <c r="X528" s="2" t="s">
        <v>3697</v>
      </c>
      <c r="Y528" s="14">
        <v>46044</v>
      </c>
      <c r="Z528" s="14">
        <v>46053</v>
      </c>
      <c r="AA528" s="14">
        <v>46045</v>
      </c>
      <c r="AB528" s="14">
        <v>46045</v>
      </c>
      <c r="AC528" s="14">
        <v>46046</v>
      </c>
      <c r="AD528" s="2">
        <v>15792685994</v>
      </c>
      <c r="AE528" s="2">
        <v>412658850</v>
      </c>
      <c r="AF528" s="2">
        <v>1</v>
      </c>
      <c r="AG528" s="2">
        <v>5.5</v>
      </c>
      <c r="AH528" s="2"/>
      <c r="AI528" s="2" t="s">
        <v>179</v>
      </c>
      <c r="AJ528" s="2"/>
      <c r="AK528" s="14">
        <v>46042</v>
      </c>
      <c r="AL528" s="14">
        <v>46043</v>
      </c>
      <c r="AM528" s="14">
        <v>46043</v>
      </c>
      <c r="AN528" s="2"/>
      <c r="AO528" s="1">
        <v>7068201</v>
      </c>
      <c r="AP528" s="14">
        <v>46045</v>
      </c>
      <c r="AQ528" s="14">
        <v>46046</v>
      </c>
      <c r="AS528" s="2"/>
      <c r="AT528" s="44">
        <v>53129</v>
      </c>
      <c r="AV528" s="14">
        <v>46056</v>
      </c>
      <c r="AW528" s="14">
        <v>46056</v>
      </c>
      <c r="AY528" s="2">
        <v>7398764</v>
      </c>
      <c r="AZ528" s="5">
        <v>46062</v>
      </c>
      <c r="BA528" s="1">
        <v>1246928</v>
      </c>
      <c r="BB528" s="2">
        <v>224447</v>
      </c>
      <c r="BC528" s="5">
        <v>46062</v>
      </c>
      <c r="BD528" s="14">
        <v>46063</v>
      </c>
      <c r="BF528" s="14">
        <v>46063</v>
      </c>
      <c r="BG528" s="5">
        <v>46064</v>
      </c>
      <c r="BH528" s="1" t="s">
        <v>1082</v>
      </c>
      <c r="BI528" s="1" t="s">
        <v>273</v>
      </c>
      <c r="BQ528" s="14">
        <v>46056</v>
      </c>
      <c r="BR528" s="5">
        <v>46058</v>
      </c>
    </row>
    <row r="529" spans="1:70" ht="18" customHeight="1" x14ac:dyDescent="0.3">
      <c r="A529" s="2">
        <v>529</v>
      </c>
      <c r="B529" s="7" t="s">
        <v>3583</v>
      </c>
      <c r="C529" s="111">
        <v>46035</v>
      </c>
      <c r="D529" s="2">
        <v>18200</v>
      </c>
      <c r="E529" s="2" t="s">
        <v>680</v>
      </c>
      <c r="F529" s="2" t="s">
        <v>3576</v>
      </c>
      <c r="G529" s="7" t="s">
        <v>346</v>
      </c>
      <c r="H529" s="2">
        <v>40</v>
      </c>
      <c r="I529" s="83">
        <v>53020</v>
      </c>
      <c r="J529" s="2" t="s">
        <v>142</v>
      </c>
      <c r="K529" s="2" t="s">
        <v>126</v>
      </c>
      <c r="L529" s="2" t="s">
        <v>854</v>
      </c>
      <c r="M529" s="134">
        <v>46049</v>
      </c>
      <c r="N529" s="56" t="s">
        <v>3822</v>
      </c>
      <c r="O529" s="163">
        <v>3492</v>
      </c>
      <c r="Q529" s="67">
        <f t="shared" si="61"/>
        <v>3</v>
      </c>
      <c r="R529" s="29">
        <f t="shared" si="57"/>
        <v>12</v>
      </c>
      <c r="T529" s="1">
        <v>123</v>
      </c>
      <c r="U529" s="1" t="s">
        <v>3555</v>
      </c>
      <c r="V529" s="2" t="s">
        <v>204</v>
      </c>
      <c r="W529" s="1" t="s">
        <v>203</v>
      </c>
      <c r="X529" s="2" t="s">
        <v>3698</v>
      </c>
      <c r="Y529" s="14">
        <v>46043</v>
      </c>
      <c r="Z529" s="14">
        <v>46053</v>
      </c>
      <c r="AA529" s="14">
        <v>46049</v>
      </c>
      <c r="AB529" s="14">
        <v>46049</v>
      </c>
      <c r="AC529" s="14">
        <v>46052</v>
      </c>
      <c r="AD529" s="2">
        <v>15792691874</v>
      </c>
      <c r="AE529" s="2">
        <v>412658932</v>
      </c>
      <c r="AF529" s="2">
        <v>1</v>
      </c>
      <c r="AG529" s="2">
        <v>5</v>
      </c>
      <c r="AH529" s="2"/>
      <c r="AI529" s="2" t="s">
        <v>179</v>
      </c>
      <c r="AJ529" s="2"/>
      <c r="AK529" s="14">
        <v>46048.474305555559</v>
      </c>
      <c r="AL529" s="14">
        <v>46049</v>
      </c>
      <c r="AM529" s="14">
        <v>46049</v>
      </c>
      <c r="AN529" s="2"/>
      <c r="AO529" s="2">
        <v>7146966</v>
      </c>
      <c r="AP529" s="14">
        <v>46049</v>
      </c>
      <c r="AQ529" s="14">
        <v>46052</v>
      </c>
      <c r="AR529" s="121" t="s">
        <v>3823</v>
      </c>
      <c r="AS529" s="2"/>
      <c r="AT529" s="44">
        <v>53137</v>
      </c>
      <c r="AV529" s="14">
        <v>46056</v>
      </c>
      <c r="AW529" s="14">
        <v>46056</v>
      </c>
      <c r="AY529" s="2">
        <v>7398655</v>
      </c>
      <c r="AZ529" s="5">
        <v>46062</v>
      </c>
      <c r="BA529" s="1">
        <v>1662570</v>
      </c>
      <c r="BB529" s="2">
        <v>299263</v>
      </c>
      <c r="BC529" s="5">
        <v>46062</v>
      </c>
      <c r="BD529" s="14">
        <v>46063</v>
      </c>
      <c r="BF529" s="14">
        <v>46063</v>
      </c>
      <c r="BG529" s="5">
        <v>46064</v>
      </c>
      <c r="BH529" s="1" t="s">
        <v>1082</v>
      </c>
      <c r="BI529" s="1" t="s">
        <v>273</v>
      </c>
      <c r="BQ529" s="14">
        <v>46056</v>
      </c>
      <c r="BR529" s="1"/>
    </row>
    <row r="530" spans="1:70" ht="18" customHeight="1" x14ac:dyDescent="0.3">
      <c r="A530" s="2">
        <v>530</v>
      </c>
      <c r="B530" s="7">
        <v>7044589</v>
      </c>
      <c r="C530" s="111">
        <v>46014</v>
      </c>
      <c r="D530" s="2">
        <v>75850</v>
      </c>
      <c r="E530" s="2" t="s">
        <v>840</v>
      </c>
      <c r="F530" s="8" t="s">
        <v>2525</v>
      </c>
      <c r="G530" s="8" t="s">
        <v>3241</v>
      </c>
      <c r="H530" s="8" t="s">
        <v>446</v>
      </c>
      <c r="I530" s="83">
        <v>52910</v>
      </c>
      <c r="J530" s="2" t="s">
        <v>142</v>
      </c>
      <c r="K530" s="2" t="s">
        <v>126</v>
      </c>
      <c r="L530" s="2" t="s">
        <v>854</v>
      </c>
      <c r="M530" s="134">
        <v>46040</v>
      </c>
      <c r="N530" s="56" t="s">
        <v>3832</v>
      </c>
      <c r="Q530" s="67">
        <f t="shared" si="61"/>
        <v>4</v>
      </c>
      <c r="R530" s="29">
        <f t="shared" si="57"/>
        <v>21</v>
      </c>
      <c r="T530" s="1"/>
      <c r="U530" s="1" t="s">
        <v>3414</v>
      </c>
      <c r="V530" s="1" t="s">
        <v>2087</v>
      </c>
      <c r="W530" s="79" t="s">
        <v>948</v>
      </c>
      <c r="X530" s="2" t="s">
        <v>3415</v>
      </c>
      <c r="Y530" s="14">
        <v>46036</v>
      </c>
      <c r="Z530" s="14">
        <v>46043</v>
      </c>
      <c r="AA530" s="14">
        <v>46040</v>
      </c>
      <c r="AB530" s="14">
        <v>46040</v>
      </c>
      <c r="AC530" s="14">
        <v>46044</v>
      </c>
      <c r="AD530" s="2">
        <v>17615752671</v>
      </c>
      <c r="AE530" s="2" t="s">
        <v>3416</v>
      </c>
      <c r="AF530" s="2">
        <v>1</v>
      </c>
      <c r="AG530" s="2">
        <v>205</v>
      </c>
      <c r="AH530" s="2"/>
      <c r="AI530" s="2" t="s">
        <v>629</v>
      </c>
      <c r="AJ530" s="2"/>
      <c r="AK530" s="14">
        <v>46040</v>
      </c>
      <c r="AL530" s="14">
        <v>46041</v>
      </c>
      <c r="AM530" s="14">
        <v>46041</v>
      </c>
      <c r="AN530" s="2"/>
      <c r="AO530" s="2">
        <v>6987215</v>
      </c>
      <c r="AP530" s="14">
        <v>46041</v>
      </c>
      <c r="AQ530" s="14">
        <v>46044</v>
      </c>
      <c r="AS530" s="2"/>
      <c r="AT530" s="44">
        <v>53065</v>
      </c>
      <c r="AV530" s="14">
        <v>46051</v>
      </c>
      <c r="AW530" s="14">
        <v>46051</v>
      </c>
      <c r="AY530" s="2">
        <v>7318748</v>
      </c>
      <c r="AZ530" s="5">
        <v>46058</v>
      </c>
      <c r="BA530" s="1">
        <v>6917520</v>
      </c>
      <c r="BB530" s="2">
        <v>1245154</v>
      </c>
      <c r="BC530" s="5">
        <v>46058</v>
      </c>
      <c r="BD530" s="5">
        <v>46058</v>
      </c>
      <c r="BF530" s="32">
        <v>46059</v>
      </c>
      <c r="BG530" s="5">
        <v>46065</v>
      </c>
      <c r="BH530" s="1" t="s">
        <v>1967</v>
      </c>
      <c r="BI530" s="1" t="s">
        <v>273</v>
      </c>
      <c r="BQ530" s="14">
        <v>46051</v>
      </c>
      <c r="BR530" s="14"/>
    </row>
    <row r="531" spans="1:70" ht="18" customHeight="1" x14ac:dyDescent="0.3">
      <c r="A531" s="2">
        <v>531</v>
      </c>
      <c r="B531" s="7">
        <v>7044588</v>
      </c>
      <c r="C531" s="111">
        <v>46014</v>
      </c>
      <c r="D531" s="2">
        <v>75850</v>
      </c>
      <c r="E531" s="2" t="s">
        <v>840</v>
      </c>
      <c r="F531" s="8" t="s">
        <v>2525</v>
      </c>
      <c r="G531" s="8" t="s">
        <v>3241</v>
      </c>
      <c r="H531" s="8" t="s">
        <v>446</v>
      </c>
      <c r="I531" s="83">
        <v>52911</v>
      </c>
      <c r="J531" s="2" t="s">
        <v>142</v>
      </c>
      <c r="K531" s="2" t="s">
        <v>126</v>
      </c>
      <c r="L531" s="2" t="s">
        <v>854</v>
      </c>
      <c r="M531" s="134">
        <v>46040</v>
      </c>
      <c r="N531" s="56" t="s">
        <v>3833</v>
      </c>
      <c r="Q531" s="67">
        <f t="shared" si="61"/>
        <v>4</v>
      </c>
      <c r="R531" s="29">
        <f t="shared" si="57"/>
        <v>21</v>
      </c>
      <c r="T531" s="1"/>
      <c r="U531" s="1" t="s">
        <v>3414</v>
      </c>
      <c r="V531" s="1" t="s">
        <v>2087</v>
      </c>
      <c r="W531" s="79" t="s">
        <v>948</v>
      </c>
      <c r="X531" s="2" t="s">
        <v>3417</v>
      </c>
      <c r="Y531" s="14">
        <v>46036</v>
      </c>
      <c r="Z531" s="14">
        <v>46043</v>
      </c>
      <c r="AA531" s="14">
        <v>46040</v>
      </c>
      <c r="AB531" s="14">
        <v>46040</v>
      </c>
      <c r="AC531" s="14">
        <v>46044</v>
      </c>
      <c r="AD531" s="2">
        <v>17615752671</v>
      </c>
      <c r="AE531" s="2" t="s">
        <v>3418</v>
      </c>
      <c r="AF531" s="2">
        <v>1</v>
      </c>
      <c r="AG531" s="2">
        <v>205</v>
      </c>
      <c r="AH531" s="2"/>
      <c r="AI531" s="2" t="s">
        <v>629</v>
      </c>
      <c r="AJ531" s="2"/>
      <c r="AK531" s="14">
        <v>46040</v>
      </c>
      <c r="AL531" s="14">
        <v>46041</v>
      </c>
      <c r="AM531" s="14">
        <v>46041</v>
      </c>
      <c r="AN531" s="2"/>
      <c r="AO531" s="2">
        <v>6987219</v>
      </c>
      <c r="AP531" s="14">
        <v>46041</v>
      </c>
      <c r="AQ531" s="14">
        <v>46044</v>
      </c>
      <c r="AS531" s="2"/>
      <c r="AT531" s="44">
        <v>53071</v>
      </c>
      <c r="AV531" s="14">
        <v>46051</v>
      </c>
      <c r="AW531" s="14">
        <v>46052</v>
      </c>
      <c r="AY531" s="2">
        <v>7293301</v>
      </c>
      <c r="AZ531" s="5">
        <v>46057</v>
      </c>
      <c r="BA531" s="1">
        <v>6917520</v>
      </c>
      <c r="BB531" s="2">
        <v>1245154</v>
      </c>
      <c r="BC531" s="5">
        <v>46057</v>
      </c>
      <c r="BD531" s="5">
        <v>46057</v>
      </c>
      <c r="BF531" s="32">
        <v>46058</v>
      </c>
      <c r="BG531" s="5">
        <v>46065</v>
      </c>
      <c r="BH531" s="1" t="s">
        <v>1967</v>
      </c>
      <c r="BI531" s="1" t="s">
        <v>273</v>
      </c>
      <c r="BQ531" s="14">
        <v>46052</v>
      </c>
      <c r="BR531" s="1"/>
    </row>
    <row r="532" spans="1:70" ht="18" customHeight="1" x14ac:dyDescent="0.3">
      <c r="A532" s="2">
        <v>532</v>
      </c>
      <c r="B532" s="7">
        <v>7044591</v>
      </c>
      <c r="C532" s="111">
        <v>46014</v>
      </c>
      <c r="D532" s="2">
        <v>75850</v>
      </c>
      <c r="E532" s="2" t="s">
        <v>840</v>
      </c>
      <c r="F532" s="8" t="s">
        <v>2525</v>
      </c>
      <c r="G532" s="8" t="s">
        <v>3241</v>
      </c>
      <c r="H532" s="8" t="s">
        <v>446</v>
      </c>
      <c r="I532" s="83">
        <v>52913</v>
      </c>
      <c r="J532" s="2" t="s">
        <v>142</v>
      </c>
      <c r="K532" s="2" t="s">
        <v>126</v>
      </c>
      <c r="L532" s="2" t="s">
        <v>854</v>
      </c>
      <c r="M532" s="134">
        <v>46040</v>
      </c>
      <c r="N532" s="56" t="s">
        <v>3834</v>
      </c>
      <c r="Q532" s="67">
        <f t="shared" si="61"/>
        <v>4</v>
      </c>
      <c r="R532" s="29">
        <f t="shared" si="57"/>
        <v>21</v>
      </c>
      <c r="T532" s="1"/>
      <c r="U532" s="1" t="s">
        <v>3414</v>
      </c>
      <c r="V532" s="1" t="s">
        <v>2087</v>
      </c>
      <c r="W532" s="79" t="s">
        <v>948</v>
      </c>
      <c r="X532" s="2" t="s">
        <v>3420</v>
      </c>
      <c r="Y532" s="14">
        <v>46036</v>
      </c>
      <c r="Z532" s="14">
        <v>46043</v>
      </c>
      <c r="AA532" s="14">
        <v>46040</v>
      </c>
      <c r="AB532" s="14">
        <v>46040</v>
      </c>
      <c r="AC532" s="14">
        <v>46044</v>
      </c>
      <c r="AD532" s="2">
        <v>17615752671</v>
      </c>
      <c r="AE532" s="2" t="s">
        <v>3419</v>
      </c>
      <c r="AF532" s="2">
        <v>1</v>
      </c>
      <c r="AG532" s="2">
        <v>205</v>
      </c>
      <c r="AH532" s="2"/>
      <c r="AI532" s="2" t="s">
        <v>629</v>
      </c>
      <c r="AJ532" s="2"/>
      <c r="AK532" s="14">
        <v>46040</v>
      </c>
      <c r="AL532" s="14">
        <v>46041</v>
      </c>
      <c r="AM532" s="14">
        <v>46041</v>
      </c>
      <c r="AN532" s="2"/>
      <c r="AO532" s="2">
        <v>6987053</v>
      </c>
      <c r="AP532" s="14">
        <v>46041</v>
      </c>
      <c r="AQ532" s="14">
        <v>46044</v>
      </c>
      <c r="AS532" s="2"/>
      <c r="AT532" s="44">
        <v>53072</v>
      </c>
      <c r="AV532" s="14">
        <v>46051</v>
      </c>
      <c r="AW532" s="14">
        <v>46052</v>
      </c>
      <c r="AY532" s="2">
        <v>7318745</v>
      </c>
      <c r="AZ532" s="5">
        <v>46058</v>
      </c>
      <c r="BA532" s="1">
        <v>6917520</v>
      </c>
      <c r="BB532" s="2">
        <v>1245154</v>
      </c>
      <c r="BC532" s="5">
        <v>46058</v>
      </c>
      <c r="BD532" s="5">
        <v>46058</v>
      </c>
      <c r="BF532" s="32">
        <v>46059</v>
      </c>
      <c r="BG532" s="5">
        <v>46065</v>
      </c>
      <c r="BH532" s="1" t="s">
        <v>1967</v>
      </c>
      <c r="BI532" s="1" t="s">
        <v>273</v>
      </c>
      <c r="BQ532" s="14">
        <v>46052</v>
      </c>
      <c r="BR532" s="1"/>
    </row>
    <row r="533" spans="1:70" ht="18" customHeight="1" x14ac:dyDescent="0.3">
      <c r="A533" s="2">
        <v>533</v>
      </c>
      <c r="B533" s="7">
        <v>7046087</v>
      </c>
      <c r="C533" s="111">
        <v>46014</v>
      </c>
      <c r="D533" s="2">
        <v>60680</v>
      </c>
      <c r="E533" s="2" t="s">
        <v>840</v>
      </c>
      <c r="F533" s="8" t="s">
        <v>3584</v>
      </c>
      <c r="G533" s="8" t="s">
        <v>3839</v>
      </c>
      <c r="H533" s="8" t="s">
        <v>201</v>
      </c>
      <c r="I533" s="83">
        <v>53024</v>
      </c>
      <c r="J533" s="2" t="s">
        <v>142</v>
      </c>
      <c r="K533" s="2" t="s">
        <v>126</v>
      </c>
      <c r="L533" s="2" t="s">
        <v>854</v>
      </c>
      <c r="M533" s="134">
        <v>46047</v>
      </c>
      <c r="N533" s="56" t="s">
        <v>3836</v>
      </c>
      <c r="O533" s="180">
        <v>1198.1199999999999</v>
      </c>
      <c r="Q533" s="67">
        <f t="shared" si="61"/>
        <v>5</v>
      </c>
      <c r="R533" s="29">
        <f t="shared" si="57"/>
        <v>13</v>
      </c>
      <c r="T533" s="1"/>
      <c r="U533" s="1" t="s">
        <v>3585</v>
      </c>
      <c r="V533" s="1" t="s">
        <v>384</v>
      </c>
      <c r="W533" s="1" t="s">
        <v>421</v>
      </c>
      <c r="X533" s="2" t="s">
        <v>3639</v>
      </c>
      <c r="Y533" s="14">
        <v>46045</v>
      </c>
      <c r="Z533" s="14">
        <v>46050</v>
      </c>
      <c r="AA533" s="14">
        <v>46047</v>
      </c>
      <c r="AB533" s="14">
        <v>46047</v>
      </c>
      <c r="AC533" s="14">
        <v>46052</v>
      </c>
      <c r="AD533" s="2">
        <v>17622924731</v>
      </c>
      <c r="AE533" s="2" t="s">
        <v>3586</v>
      </c>
      <c r="AF533" s="2">
        <v>1</v>
      </c>
      <c r="AG533" s="2">
        <v>152</v>
      </c>
      <c r="AH533" s="2"/>
      <c r="AI533" s="2" t="s">
        <v>260</v>
      </c>
      <c r="AJ533" s="2"/>
      <c r="AK533" s="14">
        <v>46047.530555555553</v>
      </c>
      <c r="AL533" s="14">
        <v>46049</v>
      </c>
      <c r="AM533" s="14">
        <v>46049</v>
      </c>
      <c r="AN533" s="2"/>
      <c r="AO533" s="2">
        <v>7147129</v>
      </c>
      <c r="AP533" s="14">
        <v>46049</v>
      </c>
      <c r="AQ533" s="14">
        <v>46052</v>
      </c>
      <c r="AR533" s="121" t="s">
        <v>3825</v>
      </c>
      <c r="AS533" s="2"/>
      <c r="AT533" s="44">
        <v>53175</v>
      </c>
      <c r="AV533" s="14">
        <v>46057</v>
      </c>
      <c r="AW533" s="14">
        <v>46058</v>
      </c>
      <c r="AY533" s="2">
        <v>7398765</v>
      </c>
      <c r="AZ533" s="5">
        <v>46062</v>
      </c>
      <c r="BA533" s="1">
        <v>5543118</v>
      </c>
      <c r="BB533" s="2">
        <v>997761</v>
      </c>
      <c r="BC533" s="5">
        <v>46062</v>
      </c>
      <c r="BD533" s="5">
        <v>46062</v>
      </c>
      <c r="BF533" s="14">
        <v>46063</v>
      </c>
      <c r="BG533" s="5">
        <v>46065</v>
      </c>
      <c r="BH533" s="1" t="s">
        <v>3835</v>
      </c>
      <c r="BI533" s="1" t="s">
        <v>273</v>
      </c>
      <c r="BQ533" s="14">
        <v>46058</v>
      </c>
      <c r="BR533" s="5">
        <v>46058</v>
      </c>
    </row>
    <row r="534" spans="1:70" ht="18" customHeight="1" x14ac:dyDescent="0.3">
      <c r="A534" s="2">
        <v>534</v>
      </c>
      <c r="B534" s="7">
        <v>7046086</v>
      </c>
      <c r="C534" s="111" t="s">
        <v>3572</v>
      </c>
      <c r="D534" s="2">
        <v>75850</v>
      </c>
      <c r="E534" s="2" t="s">
        <v>840</v>
      </c>
      <c r="F534" s="8" t="s">
        <v>3584</v>
      </c>
      <c r="G534" s="8" t="s">
        <v>3840</v>
      </c>
      <c r="H534" s="8" t="s">
        <v>446</v>
      </c>
      <c r="I534" s="83">
        <v>53026</v>
      </c>
      <c r="J534" s="2" t="s">
        <v>142</v>
      </c>
      <c r="K534" s="2" t="s">
        <v>126</v>
      </c>
      <c r="L534" s="2" t="s">
        <v>854</v>
      </c>
      <c r="M534" s="134">
        <v>46047</v>
      </c>
      <c r="N534" s="56" t="s">
        <v>3837</v>
      </c>
      <c r="O534" s="180">
        <v>1655.3</v>
      </c>
      <c r="Q534" s="67">
        <f t="shared" si="61"/>
        <v>5</v>
      </c>
      <c r="R534" s="29">
        <f t="shared" si="57"/>
        <v>13</v>
      </c>
      <c r="T534" s="1"/>
      <c r="U534" s="1" t="s">
        <v>3585</v>
      </c>
      <c r="V534" s="1" t="s">
        <v>384</v>
      </c>
      <c r="W534" s="1" t="s">
        <v>421</v>
      </c>
      <c r="X534" s="2" t="s">
        <v>3640</v>
      </c>
      <c r="Y534" s="14">
        <v>46045</v>
      </c>
      <c r="Z534" s="14">
        <v>46050</v>
      </c>
      <c r="AA534" s="14">
        <v>46047</v>
      </c>
      <c r="AB534" s="14">
        <v>46047</v>
      </c>
      <c r="AC534" s="14">
        <v>46052</v>
      </c>
      <c r="AD534" s="2">
        <v>17622924731</v>
      </c>
      <c r="AE534" s="2" t="s">
        <v>3589</v>
      </c>
      <c r="AF534" s="2">
        <v>1</v>
      </c>
      <c r="AG534" s="2">
        <v>210</v>
      </c>
      <c r="AH534" s="2"/>
      <c r="AI534" s="2" t="s">
        <v>260</v>
      </c>
      <c r="AJ534" s="2"/>
      <c r="AK534" s="14">
        <v>46047.527777777781</v>
      </c>
      <c r="AL534" s="14">
        <v>46049</v>
      </c>
      <c r="AM534" s="14">
        <v>46049</v>
      </c>
      <c r="AN534" s="2"/>
      <c r="AO534" s="2">
        <v>7147175</v>
      </c>
      <c r="AP534" s="14">
        <v>46049</v>
      </c>
      <c r="AQ534" s="14">
        <v>46052</v>
      </c>
      <c r="AR534" s="121" t="s">
        <v>3825</v>
      </c>
      <c r="AS534" s="2"/>
      <c r="AT534" s="44">
        <v>53177</v>
      </c>
      <c r="AV534" s="14">
        <v>46057</v>
      </c>
      <c r="AW534" s="14">
        <v>46058</v>
      </c>
      <c r="AY534" s="2">
        <v>7399354</v>
      </c>
      <c r="AZ534" s="5">
        <v>46062</v>
      </c>
      <c r="BA534" s="1">
        <v>6928898</v>
      </c>
      <c r="BB534" s="2">
        <v>1247202</v>
      </c>
      <c r="BC534" s="5">
        <v>46062</v>
      </c>
      <c r="BD534" s="5">
        <v>46062</v>
      </c>
      <c r="BF534" s="14">
        <v>46063</v>
      </c>
      <c r="BG534" s="5">
        <v>46065</v>
      </c>
      <c r="BH534" s="1" t="s">
        <v>3835</v>
      </c>
      <c r="BI534" s="1" t="s">
        <v>273</v>
      </c>
      <c r="BQ534" s="14">
        <v>46058</v>
      </c>
      <c r="BR534" s="5">
        <v>46058</v>
      </c>
    </row>
    <row r="535" spans="1:70" ht="18" customHeight="1" x14ac:dyDescent="0.3">
      <c r="A535" s="2">
        <v>535</v>
      </c>
      <c r="B535" s="7">
        <v>7046085</v>
      </c>
      <c r="C535" s="111" t="s">
        <v>3572</v>
      </c>
      <c r="D535" s="2">
        <v>75850</v>
      </c>
      <c r="E535" s="2" t="s">
        <v>840</v>
      </c>
      <c r="F535" s="8" t="s">
        <v>3584</v>
      </c>
      <c r="G535" s="8" t="s">
        <v>3841</v>
      </c>
      <c r="H535" s="8" t="s">
        <v>446</v>
      </c>
      <c r="I535" s="83">
        <v>53027</v>
      </c>
      <c r="J535" s="2" t="s">
        <v>142</v>
      </c>
      <c r="K535" s="2" t="s">
        <v>126</v>
      </c>
      <c r="L535" s="2" t="s">
        <v>854</v>
      </c>
      <c r="M535" s="134">
        <v>46047</v>
      </c>
      <c r="N535" s="56" t="s">
        <v>3838</v>
      </c>
      <c r="O535" s="180">
        <v>1655.3</v>
      </c>
      <c r="Q535" s="67">
        <f t="shared" si="61"/>
        <v>5</v>
      </c>
      <c r="R535" s="29">
        <f t="shared" si="57"/>
        <v>13</v>
      </c>
      <c r="T535" s="1">
        <v>513</v>
      </c>
      <c r="U535" s="1" t="s">
        <v>3585</v>
      </c>
      <c r="V535" s="1" t="s">
        <v>384</v>
      </c>
      <c r="W535" s="1" t="s">
        <v>421</v>
      </c>
      <c r="X535" s="2" t="s">
        <v>3641</v>
      </c>
      <c r="Y535" s="14">
        <v>46045</v>
      </c>
      <c r="Z535" s="14">
        <v>46050</v>
      </c>
      <c r="AA535" s="14">
        <v>46047</v>
      </c>
      <c r="AB535" s="14">
        <v>46047</v>
      </c>
      <c r="AC535" s="14">
        <v>46052</v>
      </c>
      <c r="AD535" s="2">
        <v>17622924731</v>
      </c>
      <c r="AE535" s="2" t="s">
        <v>3590</v>
      </c>
      <c r="AF535" s="2">
        <v>1</v>
      </c>
      <c r="AG535" s="2">
        <v>210</v>
      </c>
      <c r="AH535" s="2"/>
      <c r="AI535" s="2" t="s">
        <v>260</v>
      </c>
      <c r="AJ535" s="2"/>
      <c r="AK535" s="14">
        <v>46047.524305555555</v>
      </c>
      <c r="AL535" s="14">
        <v>46049</v>
      </c>
      <c r="AM535" s="14">
        <v>46049</v>
      </c>
      <c r="AN535" s="2"/>
      <c r="AO535" s="2">
        <v>7147189</v>
      </c>
      <c r="AP535" s="14">
        <v>46049</v>
      </c>
      <c r="AQ535" s="14">
        <v>46052</v>
      </c>
      <c r="AR535" s="121" t="s">
        <v>3825</v>
      </c>
      <c r="AS535" s="2"/>
      <c r="AT535" s="44">
        <v>53174</v>
      </c>
      <c r="AV535" s="14">
        <v>46057</v>
      </c>
      <c r="AW535" s="14">
        <v>46058</v>
      </c>
      <c r="AY535" s="2">
        <v>7398657</v>
      </c>
      <c r="AZ535" s="5">
        <v>46062</v>
      </c>
      <c r="BA535" s="1">
        <v>6928898</v>
      </c>
      <c r="BB535" s="2">
        <v>1247202</v>
      </c>
      <c r="BC535" s="5">
        <v>46062</v>
      </c>
      <c r="BD535" s="14">
        <v>46063</v>
      </c>
      <c r="BF535" s="5">
        <v>46064</v>
      </c>
      <c r="BG535" s="5">
        <v>46065</v>
      </c>
      <c r="BH535" s="1" t="s">
        <v>3835</v>
      </c>
      <c r="BI535" s="1" t="s">
        <v>273</v>
      </c>
      <c r="BQ535" s="14">
        <v>46058</v>
      </c>
      <c r="BR535" s="14">
        <v>46058</v>
      </c>
    </row>
    <row r="536" spans="1:70" ht="18" customHeight="1" x14ac:dyDescent="0.3">
      <c r="A536" s="2">
        <v>536</v>
      </c>
      <c r="B536" s="7" t="s">
        <v>3475</v>
      </c>
      <c r="C536" s="111">
        <v>46028</v>
      </c>
      <c r="D536" s="2">
        <v>13650</v>
      </c>
      <c r="E536" s="2" t="s">
        <v>677</v>
      </c>
      <c r="F536" s="2" t="s">
        <v>345</v>
      </c>
      <c r="G536" s="2" t="s">
        <v>346</v>
      </c>
      <c r="H536" s="2">
        <v>30</v>
      </c>
      <c r="I536" s="83">
        <v>52955</v>
      </c>
      <c r="J536" s="2" t="s">
        <v>142</v>
      </c>
      <c r="K536" s="2" t="s">
        <v>126</v>
      </c>
      <c r="L536" s="2" t="s">
        <v>854</v>
      </c>
      <c r="M536" s="134">
        <v>46044</v>
      </c>
      <c r="N536" s="56" t="s">
        <v>3843</v>
      </c>
      <c r="Q536" s="67">
        <f t="shared" si="61"/>
        <v>1</v>
      </c>
      <c r="R536" s="29">
        <f t="shared" si="57"/>
        <v>19</v>
      </c>
      <c r="T536" s="1">
        <v>553</v>
      </c>
      <c r="U536" s="1" t="s">
        <v>3476</v>
      </c>
      <c r="V536" s="2" t="s">
        <v>3239</v>
      </c>
      <c r="W536" s="2" t="s">
        <v>3238</v>
      </c>
      <c r="X536" s="2" t="s">
        <v>3694</v>
      </c>
      <c r="Y536" s="14">
        <v>46043</v>
      </c>
      <c r="Z536" s="14">
        <v>46053</v>
      </c>
      <c r="AA536" s="14">
        <v>46045</v>
      </c>
      <c r="AB536" s="14">
        <v>46045</v>
      </c>
      <c r="AC536" s="14">
        <v>46046</v>
      </c>
      <c r="AD536" s="2">
        <v>15792685994</v>
      </c>
      <c r="AE536" s="2">
        <v>412658851</v>
      </c>
      <c r="AF536" s="2">
        <v>1</v>
      </c>
      <c r="AG536" s="2">
        <v>5.5</v>
      </c>
      <c r="AH536" s="2"/>
      <c r="AI536" s="2" t="s">
        <v>179</v>
      </c>
      <c r="AJ536" s="2"/>
      <c r="AK536" s="14">
        <v>46042</v>
      </c>
      <c r="AL536" s="14">
        <v>46043</v>
      </c>
      <c r="AM536" s="14">
        <v>46043</v>
      </c>
      <c r="AN536" s="2"/>
      <c r="AO536" s="1">
        <v>7068203</v>
      </c>
      <c r="AP536" s="14">
        <v>46045</v>
      </c>
      <c r="AQ536" s="14">
        <v>46046</v>
      </c>
      <c r="AS536" s="2"/>
      <c r="AT536" s="44">
        <v>53066</v>
      </c>
      <c r="AV536" s="14">
        <v>46051</v>
      </c>
      <c r="AW536" s="14">
        <v>46051</v>
      </c>
      <c r="AY536" s="2">
        <v>7293304</v>
      </c>
      <c r="AZ536" s="5">
        <v>46057</v>
      </c>
      <c r="BA536" s="1">
        <v>1244880</v>
      </c>
      <c r="BB536" s="2">
        <v>224078</v>
      </c>
      <c r="BC536" s="5">
        <v>46057</v>
      </c>
      <c r="BD536" s="14">
        <v>46063</v>
      </c>
      <c r="BF536" s="32">
        <v>46064</v>
      </c>
      <c r="BG536" s="5">
        <v>46065</v>
      </c>
      <c r="BH536" s="1" t="s">
        <v>3842</v>
      </c>
      <c r="BI536" s="1" t="s">
        <v>282</v>
      </c>
      <c r="BQ536" s="14">
        <v>46051</v>
      </c>
      <c r="BR536" s="1"/>
    </row>
    <row r="537" spans="1:70" ht="18" customHeight="1" x14ac:dyDescent="0.3">
      <c r="A537" s="2">
        <v>537</v>
      </c>
      <c r="B537" s="7" t="s">
        <v>3578</v>
      </c>
      <c r="C537" s="111">
        <v>46035</v>
      </c>
      <c r="D537" s="2">
        <v>45500</v>
      </c>
      <c r="E537" s="2" t="s">
        <v>680</v>
      </c>
      <c r="F537" s="8" t="s">
        <v>3576</v>
      </c>
      <c r="G537" s="7" t="s">
        <v>346</v>
      </c>
      <c r="H537" s="2">
        <v>100</v>
      </c>
      <c r="I537" s="83">
        <v>53018</v>
      </c>
      <c r="J537" s="2" t="s">
        <v>142</v>
      </c>
      <c r="K537" s="2" t="s">
        <v>126</v>
      </c>
      <c r="L537" s="2" t="s">
        <v>854</v>
      </c>
      <c r="M537" s="134">
        <v>46049</v>
      </c>
      <c r="N537" s="56" t="s">
        <v>3844</v>
      </c>
      <c r="Q537" s="67">
        <f t="shared" si="61"/>
        <v>3</v>
      </c>
      <c r="R537" s="29">
        <f t="shared" si="57"/>
        <v>13</v>
      </c>
      <c r="T537" s="1"/>
      <c r="U537" s="1" t="s">
        <v>3577</v>
      </c>
      <c r="V537" s="2" t="s">
        <v>755</v>
      </c>
      <c r="W537" s="1" t="s">
        <v>827</v>
      </c>
      <c r="X537" s="2" t="s">
        <v>3704</v>
      </c>
      <c r="Y537" s="14">
        <v>46043</v>
      </c>
      <c r="Z537" s="14">
        <v>46053</v>
      </c>
      <c r="AA537" s="14">
        <v>46049</v>
      </c>
      <c r="AB537" s="14">
        <v>46049</v>
      </c>
      <c r="AC537" s="14">
        <v>46052</v>
      </c>
      <c r="AD537" s="2">
        <v>15792691874</v>
      </c>
      <c r="AE537" s="2">
        <v>412658933</v>
      </c>
      <c r="AF537" s="2">
        <v>1</v>
      </c>
      <c r="AG537" s="2">
        <v>11</v>
      </c>
      <c r="AH537" s="2"/>
      <c r="AI537" s="2" t="s">
        <v>179</v>
      </c>
      <c r="AJ537" s="2"/>
      <c r="AK537" s="14">
        <v>46048.586805555555</v>
      </c>
      <c r="AL537" s="14">
        <v>46049</v>
      </c>
      <c r="AM537" s="14">
        <v>46049</v>
      </c>
      <c r="AN537" s="2"/>
      <c r="AO537" s="2">
        <v>7146778</v>
      </c>
      <c r="AP537" s="14">
        <v>46049</v>
      </c>
      <c r="AQ537" s="14">
        <v>46052</v>
      </c>
      <c r="AS537" s="2"/>
      <c r="AT537" s="44">
        <v>53136</v>
      </c>
      <c r="AV537" s="14">
        <v>46056</v>
      </c>
      <c r="AW537" s="14">
        <v>46056</v>
      </c>
      <c r="AY537" s="2">
        <v>7398766</v>
      </c>
      <c r="AZ537" s="5">
        <v>46062</v>
      </c>
      <c r="BA537" s="1">
        <v>4156425</v>
      </c>
      <c r="BB537" s="2">
        <v>748157</v>
      </c>
      <c r="BC537" s="5">
        <v>46062</v>
      </c>
      <c r="BD537" s="5">
        <v>46062</v>
      </c>
      <c r="BF537" s="14">
        <v>46063</v>
      </c>
      <c r="BG537" s="5">
        <v>46065</v>
      </c>
      <c r="BH537" s="1" t="s">
        <v>3842</v>
      </c>
      <c r="BI537" s="1" t="s">
        <v>282</v>
      </c>
      <c r="BQ537" s="14">
        <v>46056</v>
      </c>
      <c r="BR537" s="5">
        <v>46059</v>
      </c>
    </row>
    <row r="538" spans="1:70" ht="18" customHeight="1" x14ac:dyDescent="0.3">
      <c r="A538" s="2">
        <v>538</v>
      </c>
      <c r="B538" s="7">
        <v>1024042</v>
      </c>
      <c r="C538" s="111">
        <v>46006</v>
      </c>
      <c r="D538" s="2">
        <v>20714.599999999999</v>
      </c>
      <c r="E538" s="2" t="s">
        <v>681</v>
      </c>
      <c r="F538" s="2" t="s">
        <v>3014</v>
      </c>
      <c r="G538" s="2" t="s">
        <v>3082</v>
      </c>
      <c r="H538" s="2">
        <v>10</v>
      </c>
      <c r="I538" s="83">
        <v>52618</v>
      </c>
      <c r="J538" s="2" t="s">
        <v>142</v>
      </c>
      <c r="K538" s="2" t="s">
        <v>126</v>
      </c>
      <c r="L538" s="2" t="s">
        <v>854</v>
      </c>
      <c r="M538" s="134">
        <v>46016</v>
      </c>
      <c r="N538" s="56" t="s">
        <v>3852</v>
      </c>
      <c r="O538" s="1">
        <v>3919.96</v>
      </c>
      <c r="Q538" s="67">
        <f t="shared" ref="Q538:Q545" si="62">AQ538-AB538</f>
        <v>8</v>
      </c>
      <c r="R538" s="29">
        <f t="shared" si="57"/>
        <v>42</v>
      </c>
      <c r="T538" s="1">
        <v>838</v>
      </c>
      <c r="U538" s="1" t="s">
        <v>3149</v>
      </c>
      <c r="V538" s="1" t="s">
        <v>204</v>
      </c>
      <c r="W538" s="1" t="s">
        <v>203</v>
      </c>
      <c r="X538" s="2" t="s">
        <v>3517</v>
      </c>
      <c r="Y538" s="14">
        <v>46042</v>
      </c>
      <c r="Z538" s="14">
        <v>46046</v>
      </c>
      <c r="AA538" s="14">
        <v>46016</v>
      </c>
      <c r="AB538" s="14">
        <v>46016</v>
      </c>
      <c r="AC538" s="14">
        <v>46024</v>
      </c>
      <c r="AD538" s="2">
        <v>31295160844</v>
      </c>
      <c r="AE538" s="2" t="s">
        <v>3134</v>
      </c>
      <c r="AF538" s="2">
        <v>1</v>
      </c>
      <c r="AG538" s="2">
        <v>100</v>
      </c>
      <c r="AH538" s="2"/>
      <c r="AI538" s="2" t="s">
        <v>3116</v>
      </c>
      <c r="AJ538" s="2"/>
      <c r="AK538" s="14">
        <v>46022</v>
      </c>
      <c r="AL538" s="14">
        <v>46022</v>
      </c>
      <c r="AM538" s="14">
        <v>46022</v>
      </c>
      <c r="AN538" s="2"/>
      <c r="AO538" s="2">
        <v>6634188</v>
      </c>
      <c r="AP538" s="14">
        <v>46022</v>
      </c>
      <c r="AQ538" s="14">
        <v>46024</v>
      </c>
      <c r="AR538" s="15" t="s">
        <v>3723</v>
      </c>
      <c r="AS538" s="2"/>
      <c r="AT538" s="44">
        <v>52680</v>
      </c>
      <c r="AV538" s="14">
        <v>46043</v>
      </c>
      <c r="AW538" s="14">
        <v>46043</v>
      </c>
      <c r="AY538" s="2">
        <v>7293410</v>
      </c>
      <c r="AZ538" s="5">
        <v>46057</v>
      </c>
      <c r="BA538" s="1">
        <v>1889172</v>
      </c>
      <c r="BB538" s="2">
        <v>340051</v>
      </c>
      <c r="BC538" s="5">
        <v>46057</v>
      </c>
      <c r="BD538" s="14">
        <v>46063</v>
      </c>
      <c r="BF538" s="32">
        <v>46064</v>
      </c>
      <c r="BG538" s="5">
        <v>46066</v>
      </c>
      <c r="BH538" s="1" t="s">
        <v>3851</v>
      </c>
      <c r="BI538" s="1" t="s">
        <v>273</v>
      </c>
      <c r="BQ538" s="14">
        <v>46043</v>
      </c>
      <c r="BR538" s="1"/>
    </row>
    <row r="539" spans="1:70" ht="18" customHeight="1" x14ac:dyDescent="0.3">
      <c r="A539" s="2">
        <v>539</v>
      </c>
      <c r="B539" s="7">
        <v>7074327</v>
      </c>
      <c r="C539" s="111">
        <v>46021</v>
      </c>
      <c r="D539" s="2">
        <v>2077</v>
      </c>
      <c r="E539" s="2" t="s">
        <v>840</v>
      </c>
      <c r="F539" s="8" t="s">
        <v>3608</v>
      </c>
      <c r="G539" s="8" t="s">
        <v>3609</v>
      </c>
      <c r="H539" s="2">
        <v>2</v>
      </c>
      <c r="I539" s="83">
        <v>53035</v>
      </c>
      <c r="J539" s="2" t="s">
        <v>142</v>
      </c>
      <c r="K539" s="2" t="s">
        <v>126</v>
      </c>
      <c r="L539" s="2" t="s">
        <v>854</v>
      </c>
      <c r="M539" s="134">
        <v>46048</v>
      </c>
      <c r="N539" s="56" t="s">
        <v>3853</v>
      </c>
      <c r="O539" s="1">
        <v>295</v>
      </c>
      <c r="Q539" s="67">
        <f t="shared" si="62"/>
        <v>5</v>
      </c>
      <c r="R539" s="29">
        <f t="shared" si="57"/>
        <v>13</v>
      </c>
      <c r="T539" s="1">
        <v>14</v>
      </c>
      <c r="U539" s="1" t="s">
        <v>3610</v>
      </c>
      <c r="V539" s="2" t="s">
        <v>204</v>
      </c>
      <c r="W539" s="1" t="s">
        <v>203</v>
      </c>
      <c r="X539" s="2">
        <v>20265008421</v>
      </c>
      <c r="Y539" s="14">
        <v>46044</v>
      </c>
      <c r="Z539" s="14">
        <v>46050</v>
      </c>
      <c r="AA539" s="14">
        <v>46048</v>
      </c>
      <c r="AB539" s="14">
        <v>46048</v>
      </c>
      <c r="AC539" s="14">
        <v>46053</v>
      </c>
      <c r="AD539" s="2">
        <v>21707657296</v>
      </c>
      <c r="AE539" s="2" t="s">
        <v>3611</v>
      </c>
      <c r="AF539" s="2">
        <v>2</v>
      </c>
      <c r="AG539" s="2">
        <v>18</v>
      </c>
      <c r="AH539" s="2"/>
      <c r="AI539" s="2" t="s">
        <v>180</v>
      </c>
      <c r="AJ539" s="2"/>
      <c r="AK539" s="14">
        <v>46046.895138888889</v>
      </c>
      <c r="AL539" s="14">
        <v>46049</v>
      </c>
      <c r="AM539" s="14">
        <v>46050</v>
      </c>
      <c r="AN539" s="2"/>
      <c r="AO539" s="2">
        <v>7164882</v>
      </c>
      <c r="AP539" s="14">
        <v>46050</v>
      </c>
      <c r="AQ539" s="14">
        <v>46053</v>
      </c>
      <c r="AR539" s="121" t="s">
        <v>3831</v>
      </c>
      <c r="AS539" s="2"/>
      <c r="AT539" s="44">
        <v>53187</v>
      </c>
      <c r="AV539" s="14">
        <v>46058</v>
      </c>
      <c r="AW539" s="14">
        <v>46058</v>
      </c>
      <c r="AY539" s="2">
        <v>7398763</v>
      </c>
      <c r="AZ539" s="5">
        <v>46062</v>
      </c>
      <c r="BA539" s="1">
        <v>189734</v>
      </c>
      <c r="BB539" s="2">
        <v>34152</v>
      </c>
      <c r="BC539" s="5">
        <v>46062</v>
      </c>
      <c r="BD539" s="14">
        <v>46063</v>
      </c>
      <c r="BF539" s="32">
        <v>46064</v>
      </c>
      <c r="BG539" s="5">
        <v>46066</v>
      </c>
      <c r="BH539" s="1" t="s">
        <v>3851</v>
      </c>
      <c r="BI539" s="1" t="s">
        <v>273</v>
      </c>
      <c r="BQ539" s="14">
        <v>46058</v>
      </c>
      <c r="BR539" s="5">
        <v>46058</v>
      </c>
    </row>
    <row r="540" spans="1:70" ht="18" customHeight="1" x14ac:dyDescent="0.3">
      <c r="A540" s="2">
        <v>540</v>
      </c>
      <c r="B540" s="7">
        <v>7091072</v>
      </c>
      <c r="C540" s="111">
        <v>46042</v>
      </c>
      <c r="D540" s="2">
        <v>127260</v>
      </c>
      <c r="E540" s="2" t="s">
        <v>840</v>
      </c>
      <c r="F540" s="8" t="s">
        <v>222</v>
      </c>
      <c r="G540" s="160" t="s">
        <v>3677</v>
      </c>
      <c r="H540" s="8" t="s">
        <v>582</v>
      </c>
      <c r="I540" s="83">
        <v>53080</v>
      </c>
      <c r="J540" s="2" t="s">
        <v>142</v>
      </c>
      <c r="K540" s="2" t="s">
        <v>126</v>
      </c>
      <c r="L540" s="2" t="s">
        <v>854</v>
      </c>
      <c r="M540" s="134">
        <v>46051</v>
      </c>
      <c r="N540" s="56" t="s">
        <v>3854</v>
      </c>
      <c r="Q540" s="67">
        <f t="shared" si="62"/>
        <v>4</v>
      </c>
      <c r="R540" s="29">
        <f t="shared" si="57"/>
        <v>11</v>
      </c>
      <c r="T540" s="1">
        <v>860</v>
      </c>
      <c r="U540" s="1" t="s">
        <v>538</v>
      </c>
      <c r="V540" s="2" t="s">
        <v>204</v>
      </c>
      <c r="W540" s="1" t="s">
        <v>203</v>
      </c>
      <c r="X540" s="2">
        <v>20265008906</v>
      </c>
      <c r="Y540" s="14">
        <v>46045</v>
      </c>
      <c r="Z540" s="14">
        <v>46052</v>
      </c>
      <c r="AA540" s="14">
        <v>46051</v>
      </c>
      <c r="AB540" s="14">
        <v>46051</v>
      </c>
      <c r="AC540" s="3">
        <v>46055</v>
      </c>
      <c r="AD540" s="2" t="s">
        <v>3678</v>
      </c>
      <c r="AE540" s="2" t="s">
        <v>3679</v>
      </c>
      <c r="AF540" s="2">
        <v>4</v>
      </c>
      <c r="AG540" s="2"/>
      <c r="AH540" s="2"/>
      <c r="AI540" s="2" t="s">
        <v>180</v>
      </c>
      <c r="AJ540" s="2"/>
      <c r="AK540" s="14">
        <v>46049</v>
      </c>
      <c r="AL540" s="14">
        <v>46052</v>
      </c>
      <c r="AM540" s="14">
        <v>46052</v>
      </c>
      <c r="AN540" s="2"/>
      <c r="AO540" s="2">
        <v>7213445</v>
      </c>
      <c r="AP540" s="14">
        <v>46053</v>
      </c>
      <c r="AQ540" s="14">
        <v>46055</v>
      </c>
      <c r="AS540" s="2"/>
      <c r="AT540" s="44">
        <v>53188</v>
      </c>
      <c r="AV540" s="14">
        <v>46058</v>
      </c>
      <c r="AW540" s="14">
        <v>46058</v>
      </c>
      <c r="AY540" s="2">
        <v>7398769</v>
      </c>
      <c r="AZ540" s="5">
        <v>46062</v>
      </c>
      <c r="BA540" s="1">
        <v>11625201</v>
      </c>
      <c r="BB540" s="2">
        <v>2092536</v>
      </c>
      <c r="BC540" s="5">
        <v>46062</v>
      </c>
      <c r="BD540" s="14">
        <v>46063</v>
      </c>
      <c r="BF540" s="32">
        <v>46065</v>
      </c>
      <c r="BG540" s="5">
        <v>46066</v>
      </c>
      <c r="BH540" s="1" t="s">
        <v>3851</v>
      </c>
      <c r="BI540" s="1" t="s">
        <v>273</v>
      </c>
      <c r="BQ540" s="14">
        <v>46058</v>
      </c>
      <c r="BR540" s="5">
        <v>46058</v>
      </c>
    </row>
    <row r="541" spans="1:70" ht="18" customHeight="1" x14ac:dyDescent="0.3">
      <c r="A541" s="2">
        <v>541</v>
      </c>
      <c r="B541" s="82" t="s">
        <v>3724</v>
      </c>
      <c r="C541" s="62">
        <v>46017</v>
      </c>
      <c r="D541" s="8" t="s">
        <v>3510</v>
      </c>
      <c r="E541" s="2" t="s">
        <v>840</v>
      </c>
      <c r="F541" s="8" t="s">
        <v>3513</v>
      </c>
      <c r="G541" s="8" t="s">
        <v>3515</v>
      </c>
      <c r="H541" s="8" t="s">
        <v>3514</v>
      </c>
      <c r="I541" s="83">
        <v>52994</v>
      </c>
      <c r="J541" s="2" t="s">
        <v>142</v>
      </c>
      <c r="K541" s="2" t="s">
        <v>126</v>
      </c>
      <c r="L541" s="2" t="s">
        <v>854</v>
      </c>
      <c r="M541" s="134">
        <v>46047</v>
      </c>
      <c r="N541" s="56" t="s">
        <v>3856</v>
      </c>
      <c r="Q541" s="67">
        <f t="shared" si="62"/>
        <v>5</v>
      </c>
      <c r="R541" s="29">
        <f t="shared" si="57"/>
        <v>14</v>
      </c>
      <c r="T541" s="1"/>
      <c r="U541" s="1" t="s">
        <v>3511</v>
      </c>
      <c r="V541" s="2" t="s">
        <v>2975</v>
      </c>
      <c r="W541" s="2" t="s">
        <v>2976</v>
      </c>
      <c r="X541" s="2" t="s">
        <v>3539</v>
      </c>
      <c r="Y541" s="2" t="s">
        <v>2868</v>
      </c>
      <c r="Z541" s="2" t="s">
        <v>2868</v>
      </c>
      <c r="AA541" s="14">
        <v>46047</v>
      </c>
      <c r="AB541" s="14">
        <v>46047</v>
      </c>
      <c r="AC541" s="14">
        <v>46052</v>
      </c>
      <c r="AD541" s="2">
        <v>17615752940</v>
      </c>
      <c r="AE541" s="2" t="s">
        <v>3512</v>
      </c>
      <c r="AF541" s="2">
        <v>4</v>
      </c>
      <c r="AG541" s="2">
        <v>727</v>
      </c>
      <c r="AH541" s="2"/>
      <c r="AI541" s="2" t="s">
        <v>180</v>
      </c>
      <c r="AJ541" s="2"/>
      <c r="AK541" s="14">
        <v>46045</v>
      </c>
      <c r="AL541" s="14">
        <v>46045</v>
      </c>
      <c r="AM541" s="14">
        <v>46045</v>
      </c>
      <c r="AN541" s="2"/>
      <c r="AO541" s="2">
        <v>7150441</v>
      </c>
      <c r="AP541" s="14">
        <v>46050</v>
      </c>
      <c r="AQ541" s="14">
        <v>46052</v>
      </c>
      <c r="AS541" s="2"/>
      <c r="AT541" s="44">
        <v>53160</v>
      </c>
      <c r="AV541" s="14">
        <v>46057</v>
      </c>
      <c r="AW541" s="14">
        <v>46058</v>
      </c>
      <c r="AY541" s="2">
        <v>7398762</v>
      </c>
      <c r="AZ541" s="5">
        <v>46062</v>
      </c>
      <c r="BA541" s="1">
        <v>27715590</v>
      </c>
      <c r="BB541" s="2">
        <v>4988806</v>
      </c>
      <c r="BC541" s="5">
        <v>46062</v>
      </c>
      <c r="BD541" s="5">
        <v>46062</v>
      </c>
      <c r="BF541" s="14">
        <v>46063</v>
      </c>
      <c r="BG541" s="14">
        <v>46066</v>
      </c>
      <c r="BH541" s="1" t="s">
        <v>3855</v>
      </c>
      <c r="BI541" s="1" t="s">
        <v>273</v>
      </c>
      <c r="BQ541" s="14">
        <v>46058</v>
      </c>
      <c r="BR541" s="14">
        <v>46058</v>
      </c>
    </row>
    <row r="542" spans="1:70" ht="18" customHeight="1" x14ac:dyDescent="0.3">
      <c r="A542" s="2">
        <v>542</v>
      </c>
      <c r="B542" s="8" t="s">
        <v>3532</v>
      </c>
      <c r="C542" s="8" t="s">
        <v>3533</v>
      </c>
      <c r="D542" s="8" t="s">
        <v>3534</v>
      </c>
      <c r="E542" s="2" t="s">
        <v>840</v>
      </c>
      <c r="F542" s="8" t="s">
        <v>3535</v>
      </c>
      <c r="G542" s="8" t="s">
        <v>3536</v>
      </c>
      <c r="H542" s="8" t="s">
        <v>3537</v>
      </c>
      <c r="I542" s="83">
        <v>52999</v>
      </c>
      <c r="J542" s="2" t="s">
        <v>142</v>
      </c>
      <c r="K542" s="2" t="s">
        <v>126</v>
      </c>
      <c r="L542" s="2" t="s">
        <v>854</v>
      </c>
      <c r="M542" s="134">
        <v>46047</v>
      </c>
      <c r="N542" s="56" t="s">
        <v>3857</v>
      </c>
      <c r="Q542" s="67">
        <f t="shared" si="62"/>
        <v>4</v>
      </c>
      <c r="R542" s="29">
        <f t="shared" si="57"/>
        <v>14</v>
      </c>
      <c r="T542" s="1">
        <v>456</v>
      </c>
      <c r="U542" s="8" t="s">
        <v>3538</v>
      </c>
      <c r="V542" s="2" t="s">
        <v>2975</v>
      </c>
      <c r="W542" s="2" t="s">
        <v>2976</v>
      </c>
      <c r="X542" s="2">
        <v>20265008434</v>
      </c>
      <c r="Y542" s="14">
        <v>46044</v>
      </c>
      <c r="Z542" s="14">
        <v>46050</v>
      </c>
      <c r="AA542" s="14">
        <v>46048</v>
      </c>
      <c r="AB542" s="14">
        <v>46048</v>
      </c>
      <c r="AC542" s="14">
        <v>46052</v>
      </c>
      <c r="AD542" s="1">
        <v>21707657296</v>
      </c>
      <c r="AE542" s="1" t="s">
        <v>3540</v>
      </c>
      <c r="AF542" s="2">
        <v>4</v>
      </c>
      <c r="AG542" s="2">
        <v>630</v>
      </c>
      <c r="AH542" s="2"/>
      <c r="AI542" s="2" t="s">
        <v>180</v>
      </c>
      <c r="AJ542" s="2"/>
      <c r="AK542" s="14">
        <v>46046.881944444445</v>
      </c>
      <c r="AL542" s="14">
        <v>46049</v>
      </c>
      <c r="AM542" s="14">
        <v>46049</v>
      </c>
      <c r="AN542" s="2"/>
      <c r="AO542" s="2">
        <v>7146717</v>
      </c>
      <c r="AP542" s="14">
        <v>46049</v>
      </c>
      <c r="AQ542" s="14">
        <v>46052</v>
      </c>
      <c r="AS542" s="2"/>
      <c r="AT542" s="44">
        <v>53159</v>
      </c>
      <c r="AV542" s="14">
        <v>46057</v>
      </c>
      <c r="AW542" s="14">
        <v>46058</v>
      </c>
      <c r="AY542" s="2">
        <v>7422200</v>
      </c>
      <c r="AZ542" s="5">
        <v>46063</v>
      </c>
      <c r="BA542" s="1">
        <v>6166353</v>
      </c>
      <c r="BB542" s="2">
        <v>1109944</v>
      </c>
      <c r="BC542" s="5">
        <v>46063</v>
      </c>
      <c r="BD542" s="5">
        <v>46064</v>
      </c>
      <c r="BF542" s="32">
        <v>46065</v>
      </c>
      <c r="BG542" s="14">
        <v>46066</v>
      </c>
      <c r="BH542" s="1" t="s">
        <v>3855</v>
      </c>
      <c r="BI542" s="1" t="s">
        <v>273</v>
      </c>
      <c r="BQ542" s="14">
        <v>46058</v>
      </c>
      <c r="BR542" s="1"/>
    </row>
    <row r="543" spans="1:70" ht="18" customHeight="1" x14ac:dyDescent="0.3">
      <c r="A543" s="2">
        <v>543</v>
      </c>
      <c r="B543" s="7">
        <v>7074355</v>
      </c>
      <c r="C543" s="111">
        <v>46017</v>
      </c>
      <c r="D543" s="2">
        <v>31155</v>
      </c>
      <c r="E543" s="2" t="s">
        <v>840</v>
      </c>
      <c r="F543" s="8" t="s">
        <v>2668</v>
      </c>
      <c r="G543" s="8" t="s">
        <v>2582</v>
      </c>
      <c r="H543" s="8" t="s">
        <v>520</v>
      </c>
      <c r="I543" s="83">
        <v>52814</v>
      </c>
      <c r="J543" s="2" t="s">
        <v>142</v>
      </c>
      <c r="K543" s="2" t="s">
        <v>126</v>
      </c>
      <c r="L543" s="2" t="s">
        <v>854</v>
      </c>
      <c r="M543" s="134">
        <v>46032</v>
      </c>
      <c r="N543" s="56" t="s">
        <v>3900</v>
      </c>
      <c r="Q543" s="67">
        <f t="shared" si="62"/>
        <v>9</v>
      </c>
      <c r="R543" s="29">
        <f t="shared" si="57"/>
        <v>26</v>
      </c>
      <c r="T543" s="1"/>
      <c r="U543" s="1" t="s">
        <v>3308</v>
      </c>
      <c r="V543" s="2" t="s">
        <v>161</v>
      </c>
      <c r="W543" s="2" t="s">
        <v>454</v>
      </c>
      <c r="X543" s="2">
        <v>20265002573</v>
      </c>
      <c r="Y543" s="14">
        <v>46030</v>
      </c>
      <c r="Z543" s="14">
        <v>46039</v>
      </c>
      <c r="AA543" s="14">
        <v>46032</v>
      </c>
      <c r="AB543" s="14">
        <v>46032</v>
      </c>
      <c r="AC543" s="14">
        <v>46041</v>
      </c>
      <c r="AD543" s="2">
        <v>9830007390</v>
      </c>
      <c r="AE543" s="2" t="s">
        <v>3309</v>
      </c>
      <c r="AF543" s="2">
        <v>1</v>
      </c>
      <c r="AG543" s="2">
        <v>292.5</v>
      </c>
      <c r="AH543" s="2"/>
      <c r="AI543" s="2" t="s">
        <v>629</v>
      </c>
      <c r="AJ543" s="2"/>
      <c r="AK543" s="14">
        <v>46032</v>
      </c>
      <c r="AL543" s="14">
        <v>46032</v>
      </c>
      <c r="AM543" s="14">
        <v>46034</v>
      </c>
      <c r="AN543" s="2"/>
      <c r="AO543" s="2">
        <v>6921041</v>
      </c>
      <c r="AP543" s="14">
        <v>46038</v>
      </c>
      <c r="AQ543" s="14">
        <v>46041</v>
      </c>
      <c r="AS543" s="2"/>
      <c r="AT543" s="44">
        <v>52928</v>
      </c>
      <c r="AV543" s="14">
        <v>46042</v>
      </c>
      <c r="AW543" s="14">
        <v>46043</v>
      </c>
      <c r="AY543" s="2">
        <v>7398653</v>
      </c>
      <c r="AZ543" s="5">
        <v>46062</v>
      </c>
      <c r="BA543" s="1">
        <v>2846009</v>
      </c>
      <c r="BB543" s="2">
        <v>512282</v>
      </c>
      <c r="BC543" s="5">
        <v>46062</v>
      </c>
      <c r="BD543" s="5">
        <v>46062</v>
      </c>
      <c r="BF543" s="14">
        <v>46063</v>
      </c>
      <c r="BG543" s="5">
        <v>46067</v>
      </c>
      <c r="BH543" s="1" t="s">
        <v>2593</v>
      </c>
      <c r="BI543" s="5" t="s">
        <v>273</v>
      </c>
      <c r="BQ543" s="14">
        <v>46043</v>
      </c>
      <c r="BR543" s="5">
        <v>46028</v>
      </c>
    </row>
    <row r="544" spans="1:70" ht="18" customHeight="1" x14ac:dyDescent="0.3">
      <c r="A544" s="2">
        <v>544</v>
      </c>
      <c r="B544" s="8" t="s">
        <v>3443</v>
      </c>
      <c r="C544" s="8" t="s">
        <v>3444</v>
      </c>
      <c r="D544" s="8" t="s">
        <v>3445</v>
      </c>
      <c r="E544" s="2" t="s">
        <v>840</v>
      </c>
      <c r="F544" s="8" t="s">
        <v>3446</v>
      </c>
      <c r="G544" s="8" t="s">
        <v>3447</v>
      </c>
      <c r="H544" s="8" t="s">
        <v>3448</v>
      </c>
      <c r="I544" s="83">
        <v>52932</v>
      </c>
      <c r="J544" s="2" t="s">
        <v>1631</v>
      </c>
      <c r="K544" s="2" t="s">
        <v>126</v>
      </c>
      <c r="L544" s="2" t="s">
        <v>854</v>
      </c>
      <c r="M544" s="134">
        <v>46047</v>
      </c>
      <c r="N544" s="56" t="s">
        <v>3903</v>
      </c>
      <c r="Q544" s="67">
        <f t="shared" si="62"/>
        <v>5</v>
      </c>
      <c r="R544" s="29">
        <f t="shared" si="57"/>
        <v>15</v>
      </c>
      <c r="T544" s="1"/>
      <c r="U544" s="8" t="s">
        <v>3449</v>
      </c>
      <c r="V544" s="1" t="s">
        <v>239</v>
      </c>
      <c r="W544" s="1" t="s">
        <v>454</v>
      </c>
      <c r="X544" s="2">
        <v>20265005272</v>
      </c>
      <c r="Y544" s="14">
        <v>46037</v>
      </c>
      <c r="Z544" s="14">
        <v>46044</v>
      </c>
      <c r="AA544" s="14">
        <v>46021</v>
      </c>
      <c r="AB544" s="14">
        <v>46047</v>
      </c>
      <c r="AC544" s="14">
        <v>46052</v>
      </c>
      <c r="AD544" s="2"/>
      <c r="AE544" s="2" t="s">
        <v>3450</v>
      </c>
      <c r="AF544" s="2">
        <v>4</v>
      </c>
      <c r="AG544" s="2">
        <v>5.99</v>
      </c>
      <c r="AH544" s="2"/>
      <c r="AI544" s="2" t="s">
        <v>180</v>
      </c>
      <c r="AJ544" s="2"/>
      <c r="AK544" s="14">
        <v>46042</v>
      </c>
      <c r="AL544" s="14">
        <v>46043</v>
      </c>
      <c r="AM544" s="14">
        <v>46043</v>
      </c>
      <c r="AN544" s="2"/>
      <c r="AO544" s="2">
        <v>7136369</v>
      </c>
      <c r="AP544" s="14">
        <v>46049</v>
      </c>
      <c r="AQ544" s="14">
        <v>46052</v>
      </c>
      <c r="AS544" s="2"/>
      <c r="AT544" s="44">
        <v>53092</v>
      </c>
      <c r="AV544" s="14">
        <v>46053</v>
      </c>
      <c r="AW544" s="14">
        <v>46055</v>
      </c>
      <c r="AY544" s="2">
        <v>7398654</v>
      </c>
      <c r="AZ544" s="5">
        <v>46062</v>
      </c>
      <c r="BA544" s="2">
        <v>9486698</v>
      </c>
      <c r="BB544" s="1">
        <v>1707605</v>
      </c>
      <c r="BC544" s="14">
        <v>46062</v>
      </c>
      <c r="BD544" s="5">
        <v>46062</v>
      </c>
      <c r="BF544" s="14">
        <v>46063</v>
      </c>
      <c r="BG544" s="5">
        <v>46067</v>
      </c>
      <c r="BH544" s="1" t="s">
        <v>3902</v>
      </c>
      <c r="BI544" s="5" t="s">
        <v>273</v>
      </c>
      <c r="BQ544" s="14">
        <v>46055</v>
      </c>
      <c r="BR544" s="1"/>
    </row>
    <row r="545" spans="1:70" ht="18" customHeight="1" x14ac:dyDescent="0.3">
      <c r="A545" s="2">
        <v>545</v>
      </c>
      <c r="B545" s="8">
        <v>7074356</v>
      </c>
      <c r="C545" s="111">
        <v>46017</v>
      </c>
      <c r="D545" s="2">
        <v>10385</v>
      </c>
      <c r="E545" s="2" t="s">
        <v>840</v>
      </c>
      <c r="F545" s="8" t="s">
        <v>3542</v>
      </c>
      <c r="G545" s="8" t="s">
        <v>3543</v>
      </c>
      <c r="H545" s="2">
        <v>1</v>
      </c>
      <c r="I545" s="83">
        <v>53001</v>
      </c>
      <c r="J545" s="2" t="s">
        <v>142</v>
      </c>
      <c r="K545" s="2" t="s">
        <v>126</v>
      </c>
      <c r="L545" s="2" t="s">
        <v>854</v>
      </c>
      <c r="M545" s="134">
        <v>46047</v>
      </c>
      <c r="N545" s="56" t="s">
        <v>3901</v>
      </c>
      <c r="Q545" s="67">
        <f t="shared" si="62"/>
        <v>5</v>
      </c>
      <c r="R545" s="29">
        <f t="shared" ref="R545:R608" si="63">BG545-AC545</f>
        <v>15</v>
      </c>
      <c r="T545" s="1"/>
      <c r="U545" s="1" t="s">
        <v>3544</v>
      </c>
      <c r="V545" s="2" t="s">
        <v>161</v>
      </c>
      <c r="W545" s="2" t="s">
        <v>454</v>
      </c>
      <c r="X545" s="2">
        <v>20265008949</v>
      </c>
      <c r="Y545" s="14">
        <v>46046</v>
      </c>
      <c r="Z545" s="14">
        <v>46051</v>
      </c>
      <c r="AA545" s="14">
        <v>46047</v>
      </c>
      <c r="AB545" s="14">
        <v>46047</v>
      </c>
      <c r="AC545" s="14">
        <v>46052</v>
      </c>
      <c r="AD545" s="2">
        <v>23215594810</v>
      </c>
      <c r="AE545" s="2" t="s">
        <v>3545</v>
      </c>
      <c r="AF545" s="2">
        <v>1</v>
      </c>
      <c r="AG545" s="2">
        <v>100</v>
      </c>
      <c r="AH545" s="2"/>
      <c r="AI545" s="2" t="s">
        <v>629</v>
      </c>
      <c r="AJ545" s="2"/>
      <c r="AK545" s="14">
        <v>46048.663194444445</v>
      </c>
      <c r="AL545" s="14">
        <v>46049</v>
      </c>
      <c r="AM545" s="14">
        <v>46049</v>
      </c>
      <c r="AN545" s="2"/>
      <c r="AO545" s="2">
        <v>7146236</v>
      </c>
      <c r="AP545" s="14">
        <v>46049</v>
      </c>
      <c r="AQ545" s="14">
        <v>46052</v>
      </c>
      <c r="AS545" s="2"/>
      <c r="AT545" s="44">
        <v>53150</v>
      </c>
      <c r="AV545" s="14">
        <v>46056</v>
      </c>
      <c r="AW545" s="14">
        <v>46057</v>
      </c>
      <c r="AY545" s="2">
        <v>7318746</v>
      </c>
      <c r="AZ545" s="5">
        <v>46058</v>
      </c>
      <c r="BA545" s="1">
        <v>947112</v>
      </c>
      <c r="BB545" s="2">
        <v>170480</v>
      </c>
      <c r="BC545" s="5">
        <v>46058</v>
      </c>
      <c r="BD545" s="14">
        <v>46058</v>
      </c>
      <c r="BF545" s="5">
        <v>46059</v>
      </c>
      <c r="BG545" s="5">
        <v>46067</v>
      </c>
      <c r="BH545" s="1" t="s">
        <v>2593</v>
      </c>
      <c r="BI545" s="5" t="s">
        <v>273</v>
      </c>
      <c r="BQ545" s="14">
        <v>46057</v>
      </c>
      <c r="BR545" s="14">
        <v>46057</v>
      </c>
    </row>
    <row r="546" spans="1:70" s="140" customFormat="1" ht="18" customHeight="1" x14ac:dyDescent="0.3">
      <c r="A546" s="2">
        <v>546</v>
      </c>
      <c r="B546" s="7">
        <v>7074345</v>
      </c>
      <c r="C546" s="111" t="s">
        <v>3548</v>
      </c>
      <c r="D546" s="2">
        <v>49848</v>
      </c>
      <c r="E546" s="2" t="s">
        <v>840</v>
      </c>
      <c r="F546" s="8" t="s">
        <v>3558</v>
      </c>
      <c r="G546" s="8" t="s">
        <v>3563</v>
      </c>
      <c r="H546" s="8" t="s">
        <v>423</v>
      </c>
      <c r="I546" s="83">
        <v>53008</v>
      </c>
      <c r="J546" s="2" t="s">
        <v>142</v>
      </c>
      <c r="K546" s="2" t="s">
        <v>126</v>
      </c>
      <c r="L546" s="2" t="s">
        <v>854</v>
      </c>
      <c r="M546" s="134">
        <v>46048</v>
      </c>
      <c r="N546" s="56" t="s">
        <v>3922</v>
      </c>
      <c r="O546" s="1"/>
      <c r="P546" s="15"/>
      <c r="Q546" s="67">
        <f t="shared" ref="Q546:Q553" si="64">AQ546-AB546</f>
        <v>7</v>
      </c>
      <c r="R546" s="29">
        <f t="shared" si="63"/>
        <v>15</v>
      </c>
      <c r="S546" s="15"/>
      <c r="T546" s="1">
        <v>674</v>
      </c>
      <c r="U546" s="1" t="s">
        <v>3559</v>
      </c>
      <c r="V546" s="2" t="s">
        <v>3037</v>
      </c>
      <c r="W546" s="2" t="s">
        <v>3038</v>
      </c>
      <c r="X546" s="2">
        <v>20265007905</v>
      </c>
      <c r="Y546" s="14">
        <v>46043</v>
      </c>
      <c r="Z546" s="14">
        <v>46051</v>
      </c>
      <c r="AA546" s="14">
        <v>46048</v>
      </c>
      <c r="AB546" s="14">
        <v>46048</v>
      </c>
      <c r="AC546" s="3">
        <v>46055</v>
      </c>
      <c r="AD546" s="2">
        <v>9830045024</v>
      </c>
      <c r="AE546" s="2" t="s">
        <v>3560</v>
      </c>
      <c r="AF546" s="2">
        <v>2</v>
      </c>
      <c r="AG546" s="2">
        <v>498</v>
      </c>
      <c r="AH546" s="2"/>
      <c r="AI546" s="2" t="s">
        <v>629</v>
      </c>
      <c r="AJ546" s="2"/>
      <c r="AK546" s="14">
        <v>46048.581944444442</v>
      </c>
      <c r="AL546" s="14">
        <v>46049</v>
      </c>
      <c r="AM546" s="14">
        <v>46049</v>
      </c>
      <c r="AN546" s="2"/>
      <c r="AO546" s="2">
        <v>7146605</v>
      </c>
      <c r="AP546" s="14">
        <v>46049</v>
      </c>
      <c r="AQ546" s="4">
        <v>46055</v>
      </c>
      <c r="AR546" s="15" t="s">
        <v>3908</v>
      </c>
      <c r="AS546" s="2"/>
      <c r="AT546" s="44">
        <v>53164</v>
      </c>
      <c r="AU546" s="15"/>
      <c r="AV546" s="14">
        <v>46057</v>
      </c>
      <c r="AW546" s="14">
        <v>46057</v>
      </c>
      <c r="AX546" s="15"/>
      <c r="AY546" s="2">
        <v>7443861</v>
      </c>
      <c r="AZ546" s="5">
        <v>46064</v>
      </c>
      <c r="BA546" s="1">
        <v>4553615</v>
      </c>
      <c r="BB546" s="2">
        <v>819651</v>
      </c>
      <c r="BC546" s="5">
        <v>46064</v>
      </c>
      <c r="BD546" s="14">
        <v>46066</v>
      </c>
      <c r="BE546" s="15"/>
      <c r="BF546" s="32">
        <v>46069</v>
      </c>
      <c r="BG546" s="5">
        <v>46070</v>
      </c>
      <c r="BH546" s="1" t="s">
        <v>3910</v>
      </c>
      <c r="BI546" s="1" t="s">
        <v>273</v>
      </c>
      <c r="BQ546" s="166">
        <v>46057</v>
      </c>
      <c r="BR546" s="165"/>
    </row>
    <row r="547" spans="1:70" s="140" customFormat="1" ht="18" customHeight="1" x14ac:dyDescent="0.3">
      <c r="A547" s="2">
        <v>547</v>
      </c>
      <c r="B547" s="7">
        <v>7074344</v>
      </c>
      <c r="C547" s="111" t="s">
        <v>3567</v>
      </c>
      <c r="D547" s="2">
        <v>39463</v>
      </c>
      <c r="E547" s="2" t="s">
        <v>840</v>
      </c>
      <c r="F547" s="8" t="s">
        <v>3568</v>
      </c>
      <c r="G547" s="8" t="s">
        <v>3569</v>
      </c>
      <c r="H547" s="2">
        <v>2</v>
      </c>
      <c r="I547" s="83">
        <v>53010</v>
      </c>
      <c r="J547" s="2" t="s">
        <v>142</v>
      </c>
      <c r="K547" s="2" t="s">
        <v>126</v>
      </c>
      <c r="L547" s="2" t="s">
        <v>854</v>
      </c>
      <c r="M547" s="134">
        <v>46047</v>
      </c>
      <c r="N547" s="56" t="s">
        <v>3923</v>
      </c>
      <c r="O547" s="1"/>
      <c r="P547" s="15"/>
      <c r="Q547" s="67">
        <f t="shared" si="64"/>
        <v>5</v>
      </c>
      <c r="R547" s="29">
        <f t="shared" si="63"/>
        <v>18</v>
      </c>
      <c r="S547" s="15"/>
      <c r="T547" s="1"/>
      <c r="U547" s="1" t="s">
        <v>3559</v>
      </c>
      <c r="V547" s="2" t="s">
        <v>3037</v>
      </c>
      <c r="W547" s="2" t="s">
        <v>3038</v>
      </c>
      <c r="X547" s="2">
        <v>20265008230</v>
      </c>
      <c r="Y547" s="14">
        <v>46044</v>
      </c>
      <c r="Z547" s="14">
        <v>46051</v>
      </c>
      <c r="AA547" s="14">
        <v>46047</v>
      </c>
      <c r="AB547" s="14">
        <v>46047</v>
      </c>
      <c r="AC547" s="14">
        <v>46052</v>
      </c>
      <c r="AD547" s="2">
        <v>23215594784</v>
      </c>
      <c r="AE547" s="2" t="s">
        <v>3570</v>
      </c>
      <c r="AF547" s="2">
        <v>2</v>
      </c>
      <c r="AG547" s="2">
        <v>415</v>
      </c>
      <c r="AH547" s="2"/>
      <c r="AI547" s="2" t="s">
        <v>629</v>
      </c>
      <c r="AJ547" s="2"/>
      <c r="AK547" s="14">
        <v>46048.590277777781</v>
      </c>
      <c r="AL547" s="14">
        <v>46049</v>
      </c>
      <c r="AM547" s="14">
        <v>46049</v>
      </c>
      <c r="AN547" s="2"/>
      <c r="AO547" s="2">
        <v>7146400</v>
      </c>
      <c r="AP547" s="14">
        <v>46049</v>
      </c>
      <c r="AQ547" s="14">
        <v>46052</v>
      </c>
      <c r="AR547" s="15" t="s">
        <v>3909</v>
      </c>
      <c r="AS547" s="2"/>
      <c r="AT547" s="44">
        <v>53163</v>
      </c>
      <c r="AU547" s="15"/>
      <c r="AV547" s="14">
        <v>46057</v>
      </c>
      <c r="AW547" s="14">
        <v>46057</v>
      </c>
      <c r="AX547" s="15"/>
      <c r="AY547" s="2">
        <v>7443860</v>
      </c>
      <c r="AZ547" s="5">
        <v>46064</v>
      </c>
      <c r="BA547" s="1">
        <v>3604945</v>
      </c>
      <c r="BB547" s="2">
        <v>648890</v>
      </c>
      <c r="BC547" s="5">
        <v>46064</v>
      </c>
      <c r="BD547" s="5">
        <v>46064</v>
      </c>
      <c r="BE547" s="15"/>
      <c r="BF547" s="32">
        <v>46065</v>
      </c>
      <c r="BG547" s="5">
        <v>46070</v>
      </c>
      <c r="BH547" s="1" t="s">
        <v>3910</v>
      </c>
      <c r="BI547" s="1" t="s">
        <v>273</v>
      </c>
      <c r="BQ547" s="166">
        <v>46057</v>
      </c>
      <c r="BR547" s="167"/>
    </row>
    <row r="548" spans="1:70" s="140" customFormat="1" ht="18" customHeight="1" x14ac:dyDescent="0.3">
      <c r="A548" s="2">
        <v>548</v>
      </c>
      <c r="B548" s="8" t="s">
        <v>3712</v>
      </c>
      <c r="C548" s="111" t="s">
        <v>3618</v>
      </c>
      <c r="D548" s="2">
        <v>2077</v>
      </c>
      <c r="E548" s="2" t="s">
        <v>840</v>
      </c>
      <c r="F548" s="8" t="s">
        <v>3636</v>
      </c>
      <c r="G548" s="8" t="s">
        <v>3637</v>
      </c>
      <c r="H548" s="2">
        <v>4</v>
      </c>
      <c r="I548" s="83">
        <v>53038</v>
      </c>
      <c r="J548" s="2" t="s">
        <v>142</v>
      </c>
      <c r="K548" s="2" t="s">
        <v>126</v>
      </c>
      <c r="L548" s="2" t="s">
        <v>854</v>
      </c>
      <c r="M548" s="134">
        <v>46048</v>
      </c>
      <c r="N548" s="56" t="s">
        <v>3924</v>
      </c>
      <c r="O548" s="1"/>
      <c r="P548" s="15"/>
      <c r="Q548" s="67">
        <f t="shared" si="64"/>
        <v>5</v>
      </c>
      <c r="R548" s="29">
        <f t="shared" si="63"/>
        <v>17</v>
      </c>
      <c r="S548" s="15"/>
      <c r="T548" s="1">
        <v>56</v>
      </c>
      <c r="U548" s="1" t="s">
        <v>3619</v>
      </c>
      <c r="V548" s="2" t="s">
        <v>3037</v>
      </c>
      <c r="W548" s="2" t="s">
        <v>3038</v>
      </c>
      <c r="X548" s="2">
        <v>20265008433</v>
      </c>
      <c r="Y548" s="14">
        <v>46044</v>
      </c>
      <c r="Z548" s="14">
        <v>46050</v>
      </c>
      <c r="AA548" s="14">
        <v>46048</v>
      </c>
      <c r="AB548" s="14">
        <v>46048</v>
      </c>
      <c r="AC548" s="14">
        <v>46053</v>
      </c>
      <c r="AD548" s="2">
        <v>21707657296</v>
      </c>
      <c r="AE548" s="2" t="s">
        <v>3620</v>
      </c>
      <c r="AF548" s="2">
        <v>4</v>
      </c>
      <c r="AG548" s="2">
        <v>36</v>
      </c>
      <c r="AH548" s="2"/>
      <c r="AI548" s="2" t="s">
        <v>180</v>
      </c>
      <c r="AJ548" s="2"/>
      <c r="AK548" s="14">
        <v>46046.9</v>
      </c>
      <c r="AL548" s="14">
        <v>46049</v>
      </c>
      <c r="AM548" s="14">
        <v>46050</v>
      </c>
      <c r="AN548" s="2"/>
      <c r="AO548" s="2">
        <v>7164893</v>
      </c>
      <c r="AP548" s="14">
        <v>46050</v>
      </c>
      <c r="AQ548" s="14">
        <v>46053</v>
      </c>
      <c r="AR548" s="15" t="s">
        <v>3909</v>
      </c>
      <c r="AS548" s="2"/>
      <c r="AT548" s="44">
        <v>53168</v>
      </c>
      <c r="AU548" s="15"/>
      <c r="AV548" s="14">
        <v>46057</v>
      </c>
      <c r="AW548" s="14">
        <v>46057</v>
      </c>
      <c r="AX548" s="15"/>
      <c r="AY548" s="2">
        <v>7443862</v>
      </c>
      <c r="AZ548" s="5">
        <v>46064</v>
      </c>
      <c r="BA548" s="1">
        <v>379468</v>
      </c>
      <c r="BB548" s="2">
        <v>68304</v>
      </c>
      <c r="BC548" s="5">
        <v>46064</v>
      </c>
      <c r="BD548" s="14">
        <v>46066</v>
      </c>
      <c r="BE548" s="15"/>
      <c r="BF548" s="32">
        <v>46069</v>
      </c>
      <c r="BG548" s="5">
        <v>46070</v>
      </c>
      <c r="BH548" s="1" t="s">
        <v>3910</v>
      </c>
      <c r="BI548" s="1" t="s">
        <v>273</v>
      </c>
      <c r="BQ548" s="166">
        <v>46057</v>
      </c>
      <c r="BR548" s="165"/>
    </row>
    <row r="549" spans="1:70" ht="18" customHeight="1" x14ac:dyDescent="0.3">
      <c r="A549" s="2">
        <v>549</v>
      </c>
      <c r="B549" s="7">
        <v>7044593</v>
      </c>
      <c r="C549" s="111" t="s">
        <v>3572</v>
      </c>
      <c r="D549" s="2">
        <v>75850</v>
      </c>
      <c r="E549" s="2" t="s">
        <v>840</v>
      </c>
      <c r="F549" s="7" t="s">
        <v>3635</v>
      </c>
      <c r="G549" s="8" t="s">
        <v>3573</v>
      </c>
      <c r="H549" s="2">
        <v>1</v>
      </c>
      <c r="I549" s="83">
        <v>53012</v>
      </c>
      <c r="J549" s="2" t="s">
        <v>142</v>
      </c>
      <c r="K549" s="2" t="s">
        <v>126</v>
      </c>
      <c r="L549" s="2" t="s">
        <v>854</v>
      </c>
      <c r="M549" s="134">
        <v>46048</v>
      </c>
      <c r="N549" s="56" t="s">
        <v>3925</v>
      </c>
      <c r="Q549" s="67">
        <f t="shared" si="64"/>
        <v>4</v>
      </c>
      <c r="R549" s="29">
        <f t="shared" si="63"/>
        <v>18</v>
      </c>
      <c r="T549" s="1">
        <v>1538</v>
      </c>
      <c r="U549" s="1" t="s">
        <v>3414</v>
      </c>
      <c r="V549" s="1" t="s">
        <v>2087</v>
      </c>
      <c r="W549" s="79" t="s">
        <v>948</v>
      </c>
      <c r="X549" s="2" t="s">
        <v>3638</v>
      </c>
      <c r="Y549" s="14">
        <v>46045</v>
      </c>
      <c r="Z549" s="14">
        <v>46050</v>
      </c>
      <c r="AA549" s="14">
        <v>46048</v>
      </c>
      <c r="AB549" s="14">
        <v>46048</v>
      </c>
      <c r="AC549" s="14">
        <v>46052</v>
      </c>
      <c r="AD549" s="2">
        <v>17622924742</v>
      </c>
      <c r="AE549" s="2" t="s">
        <v>3574</v>
      </c>
      <c r="AF549" s="2">
        <v>1</v>
      </c>
      <c r="AG549" s="2">
        <v>210</v>
      </c>
      <c r="AH549" s="2"/>
      <c r="AI549" s="2" t="s">
        <v>260</v>
      </c>
      <c r="AJ549" s="2"/>
      <c r="AK549" s="14">
        <v>46047.519444444442</v>
      </c>
      <c r="AL549" s="14">
        <v>46049</v>
      </c>
      <c r="AM549" s="14">
        <v>46049</v>
      </c>
      <c r="AN549" s="2"/>
      <c r="AO549" s="2">
        <v>7146779</v>
      </c>
      <c r="AP549" s="14">
        <v>46049</v>
      </c>
      <c r="AQ549" s="14">
        <v>46052</v>
      </c>
      <c r="AS549" s="2"/>
      <c r="AT549" s="44">
        <v>53152</v>
      </c>
      <c r="AV549" s="14">
        <v>46057</v>
      </c>
      <c r="AW549" s="14">
        <v>46062</v>
      </c>
      <c r="AY549" s="2">
        <v>7422197</v>
      </c>
      <c r="AZ549" s="5">
        <v>46063</v>
      </c>
      <c r="BA549" s="1">
        <v>6928898</v>
      </c>
      <c r="BB549" s="2">
        <v>1247202</v>
      </c>
      <c r="BC549" s="5">
        <v>46063</v>
      </c>
      <c r="BD549" s="14">
        <v>46066</v>
      </c>
      <c r="BF549" s="32">
        <v>46069</v>
      </c>
      <c r="BG549" s="5">
        <v>46070</v>
      </c>
      <c r="BH549" s="1" t="s">
        <v>3911</v>
      </c>
      <c r="BI549" s="1" t="s">
        <v>273</v>
      </c>
      <c r="BQ549" s="14">
        <v>46062</v>
      </c>
      <c r="BR549" s="14">
        <v>46062</v>
      </c>
    </row>
    <row r="550" spans="1:70" ht="18" customHeight="1" x14ac:dyDescent="0.3">
      <c r="A550" s="2">
        <v>550</v>
      </c>
      <c r="B550" s="7">
        <v>260107688</v>
      </c>
      <c r="C550" s="111">
        <v>46041</v>
      </c>
      <c r="D550" s="2">
        <v>32471.85</v>
      </c>
      <c r="E550" s="2" t="s">
        <v>677</v>
      </c>
      <c r="F550" s="2" t="s">
        <v>136</v>
      </c>
      <c r="G550" s="2" t="s">
        <v>946</v>
      </c>
      <c r="H550" s="2">
        <v>1</v>
      </c>
      <c r="I550" s="83">
        <v>52949</v>
      </c>
      <c r="J550" s="2" t="s">
        <v>142</v>
      </c>
      <c r="K550" s="2" t="s">
        <v>126</v>
      </c>
      <c r="L550" s="2" t="s">
        <v>854</v>
      </c>
      <c r="M550" s="134">
        <v>46044</v>
      </c>
      <c r="N550" s="56" t="s">
        <v>3927</v>
      </c>
      <c r="Q550" s="67">
        <f t="shared" si="64"/>
        <v>1</v>
      </c>
      <c r="R550" s="29">
        <f t="shared" si="63"/>
        <v>25</v>
      </c>
      <c r="T550" s="1">
        <v>1753</v>
      </c>
      <c r="U550" s="1" t="s">
        <v>3467</v>
      </c>
      <c r="V550" s="2" t="s">
        <v>1179</v>
      </c>
      <c r="W550" s="2" t="s">
        <v>948</v>
      </c>
      <c r="X550" s="2" t="s">
        <v>3468</v>
      </c>
      <c r="Y550" s="14">
        <v>46042</v>
      </c>
      <c r="Z550" s="14">
        <v>46045</v>
      </c>
      <c r="AA550" s="14">
        <v>46045</v>
      </c>
      <c r="AB550" s="14">
        <v>46045</v>
      </c>
      <c r="AC550" s="14">
        <v>46046</v>
      </c>
      <c r="AD550" s="2">
        <v>60752050460</v>
      </c>
      <c r="AE550" s="2">
        <v>4840753798</v>
      </c>
      <c r="AF550" s="2">
        <v>1</v>
      </c>
      <c r="AG550" s="2">
        <v>4</v>
      </c>
      <c r="AH550" s="2"/>
      <c r="AI550" s="2" t="s">
        <v>179</v>
      </c>
      <c r="AJ550" s="2"/>
      <c r="AK550" s="14">
        <v>46042</v>
      </c>
      <c r="AL550" s="14">
        <v>46043</v>
      </c>
      <c r="AM550" s="14">
        <v>46043</v>
      </c>
      <c r="AN550" s="2"/>
      <c r="AO550" s="1">
        <v>7068198</v>
      </c>
      <c r="AP550" s="14">
        <v>46045</v>
      </c>
      <c r="AQ550" s="14">
        <v>46046</v>
      </c>
      <c r="AS550" s="2"/>
      <c r="AT550" s="44">
        <v>53126</v>
      </c>
      <c r="AV550" s="14">
        <v>46056</v>
      </c>
      <c r="AW550" s="14">
        <v>46056</v>
      </c>
      <c r="AY550" s="2">
        <v>7318744</v>
      </c>
      <c r="AZ550" s="5">
        <v>46058</v>
      </c>
      <c r="BA550" s="1">
        <v>2961433</v>
      </c>
      <c r="BB550" s="2">
        <v>533058</v>
      </c>
      <c r="BC550" s="5">
        <v>46058</v>
      </c>
      <c r="BD550" s="14">
        <v>46066</v>
      </c>
      <c r="BF550" s="32">
        <v>46069</v>
      </c>
      <c r="BG550" s="5">
        <v>46071</v>
      </c>
      <c r="BH550" s="1" t="s">
        <v>3926</v>
      </c>
      <c r="BI550" s="1" t="s">
        <v>273</v>
      </c>
      <c r="BQ550" s="14">
        <v>46056</v>
      </c>
      <c r="BR550" s="5">
        <v>46057</v>
      </c>
    </row>
    <row r="551" spans="1:70" ht="18" customHeight="1" x14ac:dyDescent="0.3">
      <c r="A551" s="2">
        <v>551</v>
      </c>
      <c r="B551" s="8" t="s">
        <v>3785</v>
      </c>
      <c r="C551" s="75" t="s">
        <v>3786</v>
      </c>
      <c r="D551" s="8" t="s">
        <v>3787</v>
      </c>
      <c r="E551" s="2" t="s">
        <v>681</v>
      </c>
      <c r="F551" s="8" t="s">
        <v>3788</v>
      </c>
      <c r="G551" s="8" t="s">
        <v>3789</v>
      </c>
      <c r="H551" s="8" t="s">
        <v>3790</v>
      </c>
      <c r="I551" s="83">
        <v>53240</v>
      </c>
      <c r="J551" s="2" t="s">
        <v>142</v>
      </c>
      <c r="K551" s="2" t="s">
        <v>126</v>
      </c>
      <c r="L551" s="2" t="s">
        <v>854</v>
      </c>
      <c r="M551" s="134">
        <v>46064</v>
      </c>
      <c r="N551" s="56" t="s">
        <v>3928</v>
      </c>
      <c r="Q551" s="67">
        <f t="shared" si="64"/>
        <v>1</v>
      </c>
      <c r="R551" s="29">
        <f t="shared" si="63"/>
        <v>6</v>
      </c>
      <c r="T551" s="1"/>
      <c r="U551" s="8" t="s">
        <v>3791</v>
      </c>
      <c r="V551" s="2" t="s">
        <v>755</v>
      </c>
      <c r="W551" s="1" t="s">
        <v>827</v>
      </c>
      <c r="X551" s="2" t="s">
        <v>3813</v>
      </c>
      <c r="Y551" s="14">
        <v>46062</v>
      </c>
      <c r="Z551" s="14">
        <v>46064</v>
      </c>
      <c r="AA551" s="14">
        <v>46064</v>
      </c>
      <c r="AB551" s="14">
        <v>46064</v>
      </c>
      <c r="AC551" s="14">
        <v>46065</v>
      </c>
      <c r="AD551" s="2">
        <v>31293090804</v>
      </c>
      <c r="AE551" s="2" t="s">
        <v>3792</v>
      </c>
      <c r="AF551" s="2">
        <v>3</v>
      </c>
      <c r="AG551" s="2">
        <v>45</v>
      </c>
      <c r="AH551" s="2"/>
      <c r="AI551" s="2" t="s">
        <v>3793</v>
      </c>
      <c r="AJ551" s="2"/>
      <c r="AK551" s="14">
        <v>46063</v>
      </c>
      <c r="AL551" s="14">
        <v>46063</v>
      </c>
      <c r="AM551" s="14">
        <v>46063</v>
      </c>
      <c r="AN551" s="2"/>
      <c r="AO551" s="2">
        <v>7447019</v>
      </c>
      <c r="AP551" s="14">
        <v>46064</v>
      </c>
      <c r="AQ551" s="14">
        <v>46065</v>
      </c>
      <c r="AS551" s="2"/>
      <c r="AT551" s="44">
        <v>53257</v>
      </c>
      <c r="AV551" s="14">
        <v>46065</v>
      </c>
      <c r="AW551" s="14">
        <v>46066</v>
      </c>
      <c r="AY551" s="2">
        <v>7545704</v>
      </c>
      <c r="AZ551" s="5">
        <v>46069</v>
      </c>
      <c r="BA551" s="1">
        <v>6553814</v>
      </c>
      <c r="BB551" s="2">
        <v>1179687</v>
      </c>
      <c r="BC551" s="5">
        <v>46069</v>
      </c>
      <c r="BD551" s="5">
        <v>46069</v>
      </c>
      <c r="BF551" s="32">
        <v>46070</v>
      </c>
      <c r="BG551" s="5">
        <v>46071</v>
      </c>
      <c r="BH551" s="1" t="s">
        <v>3926</v>
      </c>
      <c r="BI551" s="1" t="s">
        <v>273</v>
      </c>
      <c r="BQ551" s="14">
        <v>46066</v>
      </c>
      <c r="BR551" s="14">
        <v>46066</v>
      </c>
    </row>
    <row r="552" spans="1:70" ht="18" customHeight="1" thickBot="1" x14ac:dyDescent="0.35">
      <c r="A552" s="2">
        <v>552</v>
      </c>
      <c r="B552" s="7">
        <v>1024001</v>
      </c>
      <c r="C552" s="111">
        <v>46006</v>
      </c>
      <c r="D552" s="2">
        <v>12160</v>
      </c>
      <c r="E552" s="2" t="s">
        <v>681</v>
      </c>
      <c r="F552" s="2" t="s">
        <v>137</v>
      </c>
      <c r="G552" s="2" t="s">
        <v>3794</v>
      </c>
      <c r="H552" s="2">
        <v>20</v>
      </c>
      <c r="I552" s="83">
        <v>53242</v>
      </c>
      <c r="J552" s="2" t="s">
        <v>142</v>
      </c>
      <c r="K552" s="2" t="s">
        <v>126</v>
      </c>
      <c r="L552" s="2" t="s">
        <v>854</v>
      </c>
      <c r="M552" s="134">
        <v>46064</v>
      </c>
      <c r="N552" s="56" t="s">
        <v>3929</v>
      </c>
      <c r="Q552" s="67">
        <f t="shared" si="64"/>
        <v>2</v>
      </c>
      <c r="R552" s="29">
        <f t="shared" si="63"/>
        <v>5</v>
      </c>
      <c r="T552" s="1"/>
      <c r="U552" s="8" t="s">
        <v>3791</v>
      </c>
      <c r="V552" s="2" t="s">
        <v>755</v>
      </c>
      <c r="W552" s="1" t="s">
        <v>827</v>
      </c>
      <c r="X552" s="2" t="s">
        <v>3824</v>
      </c>
      <c r="Y552" s="14">
        <v>46065</v>
      </c>
      <c r="Z552" s="14">
        <v>46069</v>
      </c>
      <c r="AA552" s="14">
        <v>46064</v>
      </c>
      <c r="AB552" s="14">
        <v>46064</v>
      </c>
      <c r="AC552" s="14">
        <v>46066</v>
      </c>
      <c r="AD552" s="2">
        <v>21707729584</v>
      </c>
      <c r="AE552" s="2" t="s">
        <v>3795</v>
      </c>
      <c r="AF552" s="2">
        <v>1</v>
      </c>
      <c r="AG552" s="2"/>
      <c r="AH552" s="2"/>
      <c r="AI552" s="2" t="s">
        <v>180</v>
      </c>
      <c r="AJ552" s="2"/>
      <c r="AK552" s="14">
        <v>46063</v>
      </c>
      <c r="AL552" s="14">
        <v>46063</v>
      </c>
      <c r="AM552" s="14">
        <v>46063</v>
      </c>
      <c r="AN552" s="2"/>
      <c r="AO552" s="59">
        <v>7471333</v>
      </c>
      <c r="AP552" s="14">
        <v>46065</v>
      </c>
      <c r="AQ552" s="14">
        <v>46066</v>
      </c>
      <c r="AS552" s="2"/>
      <c r="AT552" s="44">
        <v>53282</v>
      </c>
      <c r="AV552" s="14">
        <v>46065</v>
      </c>
      <c r="AW552" s="14">
        <v>46066</v>
      </c>
      <c r="AY552" s="2">
        <v>7545702</v>
      </c>
      <c r="AZ552" s="5">
        <v>46069</v>
      </c>
      <c r="BA552" s="1">
        <v>1110816</v>
      </c>
      <c r="BB552" s="2">
        <v>199947</v>
      </c>
      <c r="BC552" s="5">
        <v>46069</v>
      </c>
      <c r="BD552" s="5">
        <v>46069</v>
      </c>
      <c r="BF552" s="32">
        <v>46070</v>
      </c>
      <c r="BG552" s="5">
        <v>46071</v>
      </c>
      <c r="BH552" s="1" t="s">
        <v>3926</v>
      </c>
      <c r="BI552" s="1" t="s">
        <v>273</v>
      </c>
      <c r="BQ552" s="14">
        <v>46066</v>
      </c>
      <c r="BR552" s="14">
        <v>46066</v>
      </c>
    </row>
    <row r="553" spans="1:70" ht="18" customHeight="1" x14ac:dyDescent="0.3">
      <c r="A553" s="2">
        <v>553</v>
      </c>
      <c r="B553" s="8" t="s">
        <v>3460</v>
      </c>
      <c r="C553" s="8" t="s">
        <v>3461</v>
      </c>
      <c r="D553" s="8" t="s">
        <v>3462</v>
      </c>
      <c r="E553" s="2" t="s">
        <v>840</v>
      </c>
      <c r="F553" s="8" t="s">
        <v>1662</v>
      </c>
      <c r="G553" s="8" t="s">
        <v>1459</v>
      </c>
      <c r="H553" s="8" t="s">
        <v>3463</v>
      </c>
      <c r="I553" s="83">
        <v>52946</v>
      </c>
      <c r="J553" s="2" t="s">
        <v>1631</v>
      </c>
      <c r="K553" s="2" t="s">
        <v>126</v>
      </c>
      <c r="L553" s="2" t="s">
        <v>854</v>
      </c>
      <c r="M553" s="134">
        <v>46047</v>
      </c>
      <c r="N553" s="56" t="s">
        <v>3932</v>
      </c>
      <c r="Q553" s="67">
        <f t="shared" si="64"/>
        <v>5</v>
      </c>
      <c r="R553" s="29">
        <f t="shared" si="63"/>
        <v>19</v>
      </c>
      <c r="T553" s="1">
        <v>4246</v>
      </c>
      <c r="U553" s="8" t="s">
        <v>3464</v>
      </c>
      <c r="V553" s="1" t="s">
        <v>645</v>
      </c>
      <c r="W553" s="79" t="s">
        <v>426</v>
      </c>
      <c r="X553" s="2">
        <v>20265005271</v>
      </c>
      <c r="Y553" s="14">
        <v>46037</v>
      </c>
      <c r="Z553" s="14">
        <v>46044</v>
      </c>
      <c r="AA553" s="14">
        <v>46021</v>
      </c>
      <c r="AB553" s="14">
        <v>46047</v>
      </c>
      <c r="AC553" s="14">
        <v>46052</v>
      </c>
      <c r="AD553" s="2"/>
      <c r="AE553" s="2" t="s">
        <v>3465</v>
      </c>
      <c r="AF553" s="2">
        <v>4</v>
      </c>
      <c r="AG553" s="2">
        <v>6</v>
      </c>
      <c r="AH553" s="2"/>
      <c r="AI553" s="2" t="s">
        <v>180</v>
      </c>
      <c r="AJ553" s="2"/>
      <c r="AK553" s="14">
        <v>46042</v>
      </c>
      <c r="AL553" s="14">
        <v>46043</v>
      </c>
      <c r="AM553" s="14">
        <v>46043</v>
      </c>
      <c r="AN553" s="2"/>
      <c r="AO553" s="2">
        <v>7147094</v>
      </c>
      <c r="AP553" s="14">
        <v>46049</v>
      </c>
      <c r="AQ553" s="14">
        <v>46052</v>
      </c>
      <c r="AS553" s="2"/>
      <c r="AT553" s="44">
        <v>53141</v>
      </c>
      <c r="AV553" s="14">
        <v>46056</v>
      </c>
      <c r="AW553" s="14">
        <v>46056</v>
      </c>
      <c r="AY553" s="2">
        <v>7422184</v>
      </c>
      <c r="AZ553" s="5">
        <v>46063</v>
      </c>
      <c r="BA553" s="1">
        <v>9565715</v>
      </c>
      <c r="BB553" s="2">
        <v>1721829</v>
      </c>
      <c r="BC553" s="5">
        <v>46063</v>
      </c>
      <c r="BD553" s="14">
        <v>46069</v>
      </c>
      <c r="BF553" s="32">
        <v>46070</v>
      </c>
      <c r="BG553" s="5">
        <v>46071</v>
      </c>
      <c r="BH553" s="1" t="s">
        <v>3930</v>
      </c>
      <c r="BI553" s="1" t="s">
        <v>3931</v>
      </c>
      <c r="BQ553" s="14">
        <v>46056</v>
      </c>
      <c r="BR553" s="5">
        <v>46062</v>
      </c>
    </row>
    <row r="554" spans="1:70" ht="18" customHeight="1" x14ac:dyDescent="0.3">
      <c r="A554" s="2">
        <v>554</v>
      </c>
      <c r="B554" s="7">
        <v>6993082</v>
      </c>
      <c r="C554" s="111">
        <v>45924</v>
      </c>
      <c r="D554" s="2">
        <v>2077</v>
      </c>
      <c r="E554" s="2" t="s">
        <v>840</v>
      </c>
      <c r="F554" s="8" t="s">
        <v>540</v>
      </c>
      <c r="G554" s="8" t="s">
        <v>541</v>
      </c>
      <c r="H554" s="8" t="s">
        <v>615</v>
      </c>
      <c r="I554" s="83">
        <v>52997</v>
      </c>
      <c r="J554" s="2" t="s">
        <v>142</v>
      </c>
      <c r="K554" s="2" t="s">
        <v>126</v>
      </c>
      <c r="L554" s="2" t="s">
        <v>854</v>
      </c>
      <c r="M554" s="134">
        <v>46047</v>
      </c>
      <c r="N554" s="56" t="s">
        <v>3935</v>
      </c>
      <c r="O554" s="106">
        <v>295</v>
      </c>
      <c r="Q554" s="67">
        <f t="shared" ref="Q554:Q562" si="65">AQ554-AB554</f>
        <v>4</v>
      </c>
      <c r="R554" s="29">
        <f t="shared" si="63"/>
        <v>20</v>
      </c>
      <c r="T554" s="1">
        <v>42</v>
      </c>
      <c r="U554" s="1" t="s">
        <v>3528</v>
      </c>
      <c r="V554" s="2" t="s">
        <v>204</v>
      </c>
      <c r="W554" s="1" t="s">
        <v>203</v>
      </c>
      <c r="X554" s="2">
        <v>20265008436</v>
      </c>
      <c r="Y554" s="14">
        <v>46044</v>
      </c>
      <c r="Z554" s="14">
        <v>46050</v>
      </c>
      <c r="AA554" s="14">
        <v>46048</v>
      </c>
      <c r="AB554" s="14">
        <v>46048</v>
      </c>
      <c r="AC554" s="14">
        <v>46052</v>
      </c>
      <c r="AD554" s="1">
        <v>21707657296</v>
      </c>
      <c r="AE554" s="2" t="s">
        <v>3529</v>
      </c>
      <c r="AF554" s="2">
        <v>1</v>
      </c>
      <c r="AG554" s="2">
        <v>28</v>
      </c>
      <c r="AH554" s="2"/>
      <c r="AI554" s="2" t="s">
        <v>180</v>
      </c>
      <c r="AJ554" s="2"/>
      <c r="AK554" s="14">
        <v>46046</v>
      </c>
      <c r="AL554" s="14">
        <v>46049</v>
      </c>
      <c r="AM554" s="14">
        <v>46049</v>
      </c>
      <c r="AN554" s="2"/>
      <c r="AO554" s="2">
        <v>7146546</v>
      </c>
      <c r="AP554" s="14">
        <v>46049</v>
      </c>
      <c r="AQ554" s="14">
        <v>46052</v>
      </c>
      <c r="AR554" s="121" t="s">
        <v>3826</v>
      </c>
      <c r="AS554" s="2"/>
      <c r="AT554" s="44">
        <v>53173</v>
      </c>
      <c r="AV554" s="14">
        <v>46057</v>
      </c>
      <c r="AW554" s="14">
        <v>46058</v>
      </c>
      <c r="AY554" s="2">
        <v>7422572</v>
      </c>
      <c r="AZ554" s="5">
        <v>46063</v>
      </c>
      <c r="BA554" s="1">
        <v>189734</v>
      </c>
      <c r="BB554" s="2">
        <v>34152</v>
      </c>
      <c r="BC554" s="5">
        <v>46063</v>
      </c>
      <c r="BD554" s="14">
        <v>46066</v>
      </c>
      <c r="BF554" s="32">
        <v>46069</v>
      </c>
      <c r="BG554" s="5">
        <v>46072</v>
      </c>
      <c r="BH554" s="1" t="s">
        <v>2901</v>
      </c>
      <c r="BI554" s="1" t="s">
        <v>273</v>
      </c>
      <c r="BQ554" s="14">
        <v>46058</v>
      </c>
      <c r="BR554" s="1"/>
    </row>
    <row r="555" spans="1:70" ht="18" customHeight="1" x14ac:dyDescent="0.3">
      <c r="A555" s="2">
        <v>555</v>
      </c>
      <c r="B555" s="7">
        <v>7074332</v>
      </c>
      <c r="C555" s="111" t="s">
        <v>3552</v>
      </c>
      <c r="D555" s="2">
        <v>2077</v>
      </c>
      <c r="E555" s="2" t="s">
        <v>840</v>
      </c>
      <c r="F555" s="8" t="s">
        <v>3553</v>
      </c>
      <c r="G555" s="8" t="s">
        <v>3554</v>
      </c>
      <c r="H555" s="2">
        <v>2</v>
      </c>
      <c r="I555" s="83">
        <v>53007</v>
      </c>
      <c r="J555" s="2" t="s">
        <v>142</v>
      </c>
      <c r="K555" s="2" t="s">
        <v>126</v>
      </c>
      <c r="L555" s="2" t="s">
        <v>854</v>
      </c>
      <c r="M555" s="134">
        <v>46047</v>
      </c>
      <c r="N555" s="56" t="s">
        <v>3936</v>
      </c>
      <c r="O555" s="106">
        <v>295</v>
      </c>
      <c r="Q555" s="67">
        <f t="shared" si="65"/>
        <v>5</v>
      </c>
      <c r="R555" s="29">
        <f t="shared" si="63"/>
        <v>20</v>
      </c>
      <c r="T555" s="2">
        <v>14</v>
      </c>
      <c r="U555" s="1" t="s">
        <v>3555</v>
      </c>
      <c r="V555" s="2" t="s">
        <v>204</v>
      </c>
      <c r="W555" s="1" t="s">
        <v>203</v>
      </c>
      <c r="X555" s="2">
        <v>20265008951</v>
      </c>
      <c r="Y555" s="14">
        <v>46046</v>
      </c>
      <c r="Z555" s="14">
        <v>46051</v>
      </c>
      <c r="AA555" s="14">
        <v>46047</v>
      </c>
      <c r="AB555" s="14">
        <v>46047</v>
      </c>
      <c r="AC555" s="14">
        <v>46052</v>
      </c>
      <c r="AD555" s="2">
        <v>23215594810</v>
      </c>
      <c r="AE555" s="2" t="s">
        <v>3556</v>
      </c>
      <c r="AF555" s="2">
        <v>2</v>
      </c>
      <c r="AG555" s="2">
        <v>18</v>
      </c>
      <c r="AH555" s="2"/>
      <c r="AI555" s="2" t="s">
        <v>629</v>
      </c>
      <c r="AJ555" s="2"/>
      <c r="AK555" s="14">
        <v>46048.631249999999</v>
      </c>
      <c r="AL555" s="14">
        <v>46049</v>
      </c>
      <c r="AM555" s="14">
        <v>46049</v>
      </c>
      <c r="AN555" s="2"/>
      <c r="AO555" s="2">
        <v>7146304</v>
      </c>
      <c r="AP555" s="14">
        <v>46049</v>
      </c>
      <c r="AQ555" s="14">
        <v>46052</v>
      </c>
      <c r="AR555" s="121" t="s">
        <v>3827</v>
      </c>
      <c r="AS555" s="2"/>
      <c r="AT555" s="44">
        <v>53184</v>
      </c>
      <c r="AV555" s="14">
        <v>46058</v>
      </c>
      <c r="AW555" s="14">
        <v>46058</v>
      </c>
      <c r="AY555" s="2">
        <v>7443856</v>
      </c>
      <c r="AZ555" s="3">
        <v>46064</v>
      </c>
      <c r="BA555" s="1">
        <v>189733.96</v>
      </c>
      <c r="BB555" s="2">
        <v>34152</v>
      </c>
      <c r="BC555" s="5">
        <v>46064</v>
      </c>
      <c r="BD555" s="14">
        <v>46066</v>
      </c>
      <c r="BF555" s="32">
        <v>46071</v>
      </c>
      <c r="BG555" s="5">
        <v>46072</v>
      </c>
      <c r="BH555" s="1" t="s">
        <v>2901</v>
      </c>
      <c r="BI555" s="1" t="s">
        <v>273</v>
      </c>
      <c r="BQ555" s="14">
        <v>46058</v>
      </c>
      <c r="BR555" s="1"/>
    </row>
    <row r="556" spans="1:70" ht="18" customHeight="1" x14ac:dyDescent="0.3">
      <c r="A556" s="2">
        <v>556</v>
      </c>
      <c r="B556" s="7">
        <v>7079274</v>
      </c>
      <c r="C556" s="111">
        <v>46022</v>
      </c>
      <c r="D556" s="2">
        <v>135005</v>
      </c>
      <c r="E556" s="2" t="s">
        <v>840</v>
      </c>
      <c r="F556" s="8" t="s">
        <v>3558</v>
      </c>
      <c r="G556" s="8" t="s">
        <v>3587</v>
      </c>
      <c r="H556" s="2">
        <v>130</v>
      </c>
      <c r="I556" s="83">
        <v>53021</v>
      </c>
      <c r="J556" s="2" t="s">
        <v>142</v>
      </c>
      <c r="K556" s="2" t="s">
        <v>126</v>
      </c>
      <c r="L556" s="2" t="s">
        <v>854</v>
      </c>
      <c r="M556" s="134">
        <v>46047</v>
      </c>
      <c r="N556" s="56" t="s">
        <v>3937</v>
      </c>
      <c r="O556" s="180">
        <v>3420.17</v>
      </c>
      <c r="Q556" s="67">
        <f t="shared" si="65"/>
        <v>5</v>
      </c>
      <c r="R556" s="29">
        <f t="shared" si="63"/>
        <v>20</v>
      </c>
      <c r="T556" s="1">
        <v>2737</v>
      </c>
      <c r="U556" s="1" t="s">
        <v>3386</v>
      </c>
      <c r="V556" s="2" t="s">
        <v>204</v>
      </c>
      <c r="W556" s="1" t="s">
        <v>203</v>
      </c>
      <c r="X556" s="2">
        <v>20265008394</v>
      </c>
      <c r="Y556" s="14">
        <v>46044</v>
      </c>
      <c r="Z556" s="14">
        <v>46051</v>
      </c>
      <c r="AA556" s="14">
        <v>46047</v>
      </c>
      <c r="AB556" s="14">
        <v>46047</v>
      </c>
      <c r="AC556" s="14">
        <v>46052</v>
      </c>
      <c r="AD556" s="2">
        <v>21707128435</v>
      </c>
      <c r="AE556" s="2" t="s">
        <v>3588</v>
      </c>
      <c r="AF556" s="2">
        <v>5</v>
      </c>
      <c r="AG556" s="2">
        <v>1285.5</v>
      </c>
      <c r="AH556" s="2"/>
      <c r="AI556" s="2" t="s">
        <v>180</v>
      </c>
      <c r="AJ556" s="2"/>
      <c r="AK556" s="14">
        <v>46048.624305555553</v>
      </c>
      <c r="AL556" s="14">
        <v>46049</v>
      </c>
      <c r="AM556" s="14">
        <v>46049</v>
      </c>
      <c r="AN556" s="2"/>
      <c r="AO556" s="2">
        <v>7147068</v>
      </c>
      <c r="AP556" s="14">
        <v>46049</v>
      </c>
      <c r="AQ556" s="14">
        <v>46052</v>
      </c>
      <c r="AR556" s="121" t="s">
        <v>3828</v>
      </c>
      <c r="AS556" s="2"/>
      <c r="AT556" s="44">
        <v>53165</v>
      </c>
      <c r="AV556" s="14">
        <v>46057</v>
      </c>
      <c r="AW556" s="14">
        <v>46058</v>
      </c>
      <c r="AY556" s="2">
        <v>7422605</v>
      </c>
      <c r="AZ556" s="5">
        <v>46063</v>
      </c>
      <c r="BA556" s="1">
        <v>12332707</v>
      </c>
      <c r="BB556" s="2">
        <v>2219887</v>
      </c>
      <c r="BC556" s="5">
        <v>46063</v>
      </c>
      <c r="BD556" s="14">
        <v>46066</v>
      </c>
      <c r="BF556" s="32">
        <v>46069</v>
      </c>
      <c r="BG556" s="5">
        <v>46072</v>
      </c>
      <c r="BH556" s="1" t="s">
        <v>2901</v>
      </c>
      <c r="BI556" s="1" t="s">
        <v>273</v>
      </c>
      <c r="BQ556" s="14">
        <v>46058</v>
      </c>
      <c r="BR556" s="1"/>
    </row>
    <row r="557" spans="1:70" ht="18" customHeight="1" x14ac:dyDescent="0.3">
      <c r="A557" s="2">
        <v>557</v>
      </c>
      <c r="B557" s="7">
        <v>6993083</v>
      </c>
      <c r="C557" s="111">
        <v>45924</v>
      </c>
      <c r="D557" s="2">
        <v>2077</v>
      </c>
      <c r="E557" s="2" t="s">
        <v>840</v>
      </c>
      <c r="F557" s="8" t="s">
        <v>3558</v>
      </c>
      <c r="G557" s="8" t="s">
        <v>3596</v>
      </c>
      <c r="H557" s="2">
        <v>2</v>
      </c>
      <c r="I557" s="83">
        <v>53022</v>
      </c>
      <c r="J557" s="2" t="s">
        <v>142</v>
      </c>
      <c r="K557" s="2" t="s">
        <v>126</v>
      </c>
      <c r="L557" s="2" t="s">
        <v>854</v>
      </c>
      <c r="M557" s="134">
        <v>46047</v>
      </c>
      <c r="N557" s="56" t="s">
        <v>3938</v>
      </c>
      <c r="O557" s="106">
        <v>454.69</v>
      </c>
      <c r="Q557" s="67">
        <f t="shared" si="65"/>
        <v>6</v>
      </c>
      <c r="R557" s="29">
        <f t="shared" si="63"/>
        <v>19</v>
      </c>
      <c r="T557" s="1">
        <v>42</v>
      </c>
      <c r="U557" s="1" t="s">
        <v>3597</v>
      </c>
      <c r="V557" s="2" t="s">
        <v>204</v>
      </c>
      <c r="W557" s="1" t="s">
        <v>203</v>
      </c>
      <c r="X557" s="2">
        <v>20265008438</v>
      </c>
      <c r="Y557" s="14">
        <v>46044</v>
      </c>
      <c r="Z557" s="14">
        <v>46050</v>
      </c>
      <c r="AA557" s="14">
        <v>46047</v>
      </c>
      <c r="AB557" s="14">
        <v>46047</v>
      </c>
      <c r="AC557" s="14">
        <v>46053</v>
      </c>
      <c r="AD557" s="2">
        <v>21707128435</v>
      </c>
      <c r="AE557" s="2" t="s">
        <v>3598</v>
      </c>
      <c r="AF557" s="2">
        <v>2</v>
      </c>
      <c r="AG557" s="2">
        <v>31</v>
      </c>
      <c r="AH557" s="2"/>
      <c r="AI557" s="2" t="s">
        <v>180</v>
      </c>
      <c r="AJ557" s="2"/>
      <c r="AK557" s="14">
        <v>46046.89166666667</v>
      </c>
      <c r="AL557" s="14">
        <v>46049</v>
      </c>
      <c r="AM557" s="14">
        <v>46050</v>
      </c>
      <c r="AN557" s="2"/>
      <c r="AO557" s="2">
        <v>7167700</v>
      </c>
      <c r="AP557" s="14">
        <v>46050</v>
      </c>
      <c r="AQ557" s="14">
        <v>46053</v>
      </c>
      <c r="AR557" s="121" t="s">
        <v>3831</v>
      </c>
      <c r="AS557" s="2"/>
      <c r="AT557" s="44">
        <v>53167</v>
      </c>
      <c r="AV557" s="14">
        <v>46057</v>
      </c>
      <c r="AW557" s="14">
        <v>46058</v>
      </c>
      <c r="AY557" s="2">
        <v>7422198</v>
      </c>
      <c r="AZ557" s="5">
        <v>46063</v>
      </c>
      <c r="BA557" s="1">
        <v>189734</v>
      </c>
      <c r="BB557" s="2">
        <v>34152</v>
      </c>
      <c r="BC557" s="5">
        <v>46063</v>
      </c>
      <c r="BD557" s="14">
        <v>46066</v>
      </c>
      <c r="BF557" s="32">
        <v>46069</v>
      </c>
      <c r="BG557" s="5">
        <v>46072</v>
      </c>
      <c r="BH557" s="1" t="s">
        <v>2901</v>
      </c>
      <c r="BI557" s="1" t="s">
        <v>273</v>
      </c>
      <c r="BQ557" s="14">
        <v>46058</v>
      </c>
      <c r="BR557" s="14"/>
    </row>
    <row r="558" spans="1:70" ht="18" customHeight="1" x14ac:dyDescent="0.3">
      <c r="A558" s="2">
        <v>558</v>
      </c>
      <c r="B558" s="7">
        <v>6993092</v>
      </c>
      <c r="C558" s="111">
        <v>45924</v>
      </c>
      <c r="D558" s="2">
        <v>2077</v>
      </c>
      <c r="E558" s="2" t="s">
        <v>840</v>
      </c>
      <c r="F558" s="8" t="s">
        <v>3553</v>
      </c>
      <c r="G558" s="8" t="s">
        <v>3606</v>
      </c>
      <c r="H558" s="2">
        <v>2</v>
      </c>
      <c r="I558" s="83">
        <v>53034</v>
      </c>
      <c r="J558" s="2" t="s">
        <v>142</v>
      </c>
      <c r="K558" s="2" t="s">
        <v>126</v>
      </c>
      <c r="L558" s="2" t="s">
        <v>854</v>
      </c>
      <c r="M558" s="134">
        <v>46048</v>
      </c>
      <c r="N558" s="56" t="s">
        <v>3939</v>
      </c>
      <c r="O558" s="106">
        <v>295</v>
      </c>
      <c r="Q558" s="67">
        <f t="shared" si="65"/>
        <v>5</v>
      </c>
      <c r="R558" s="29">
        <f t="shared" si="63"/>
        <v>19</v>
      </c>
      <c r="T558" s="1">
        <v>42</v>
      </c>
      <c r="U558" s="1" t="s">
        <v>3597</v>
      </c>
      <c r="V558" s="2" t="s">
        <v>204</v>
      </c>
      <c r="W558" s="1" t="s">
        <v>203</v>
      </c>
      <c r="X558" s="2">
        <v>20265008418</v>
      </c>
      <c r="Y558" s="14">
        <v>46044</v>
      </c>
      <c r="Z558" s="14">
        <v>46050</v>
      </c>
      <c r="AA558" s="14">
        <v>46048</v>
      </c>
      <c r="AB558" s="14">
        <v>46048</v>
      </c>
      <c r="AC558" s="14">
        <v>46053</v>
      </c>
      <c r="AD558" s="2">
        <v>21707657296</v>
      </c>
      <c r="AE558" s="2" t="s">
        <v>3607</v>
      </c>
      <c r="AF558" s="2">
        <v>1</v>
      </c>
      <c r="AG558" s="2">
        <v>28</v>
      </c>
      <c r="AH558" s="2"/>
      <c r="AI558" s="2" t="s">
        <v>180</v>
      </c>
      <c r="AJ558" s="2"/>
      <c r="AK558" s="14">
        <v>46046.888888888891</v>
      </c>
      <c r="AL558" s="14">
        <v>46049</v>
      </c>
      <c r="AM558" s="14">
        <v>46050</v>
      </c>
      <c r="AN558" s="2"/>
      <c r="AO558" s="2">
        <v>7164880</v>
      </c>
      <c r="AP558" s="14">
        <v>46050</v>
      </c>
      <c r="AQ558" s="14">
        <v>46053</v>
      </c>
      <c r="AR558" s="121" t="s">
        <v>3830</v>
      </c>
      <c r="AS558" s="2"/>
      <c r="AT558" s="44">
        <v>53185</v>
      </c>
      <c r="AV558" s="14">
        <v>46058</v>
      </c>
      <c r="AW558" s="14">
        <v>46058</v>
      </c>
      <c r="AY558" s="2">
        <v>7422199</v>
      </c>
      <c r="AZ558" s="5">
        <v>46063</v>
      </c>
      <c r="BA558" s="1">
        <v>189734</v>
      </c>
      <c r="BB558" s="2">
        <v>34152</v>
      </c>
      <c r="BC558" s="5">
        <v>46063</v>
      </c>
      <c r="BD558" s="14">
        <v>46066</v>
      </c>
      <c r="BF558" s="32">
        <v>46069</v>
      </c>
      <c r="BG558" s="5">
        <v>46072</v>
      </c>
      <c r="BH558" s="1" t="s">
        <v>2901</v>
      </c>
      <c r="BI558" s="1" t="s">
        <v>273</v>
      </c>
      <c r="BQ558" s="14">
        <v>46058</v>
      </c>
      <c r="BR558" s="14"/>
    </row>
    <row r="559" spans="1:70" ht="18" customHeight="1" x14ac:dyDescent="0.3">
      <c r="A559" s="2">
        <v>559</v>
      </c>
      <c r="B559" s="8" t="s">
        <v>3048</v>
      </c>
      <c r="C559" s="8" t="s">
        <v>3049</v>
      </c>
      <c r="D559" s="8" t="s">
        <v>1674</v>
      </c>
      <c r="E559" s="2" t="s">
        <v>840</v>
      </c>
      <c r="F559" s="8" t="s">
        <v>225</v>
      </c>
      <c r="G559" s="8" t="s">
        <v>3050</v>
      </c>
      <c r="H559" s="8" t="s">
        <v>1626</v>
      </c>
      <c r="I559" s="83">
        <v>52576</v>
      </c>
      <c r="J559" s="2" t="s">
        <v>142</v>
      </c>
      <c r="K559" s="2" t="s">
        <v>126</v>
      </c>
      <c r="L559" s="2" t="s">
        <v>854</v>
      </c>
      <c r="M559" s="134">
        <v>46020</v>
      </c>
      <c r="N559" s="56" t="s">
        <v>3959</v>
      </c>
      <c r="Q559" s="67">
        <f t="shared" si="65"/>
        <v>2</v>
      </c>
      <c r="R559" s="29">
        <f t="shared" si="63"/>
        <v>52</v>
      </c>
      <c r="T559" s="1"/>
      <c r="U559" s="8" t="s">
        <v>3051</v>
      </c>
      <c r="V559" s="1" t="s">
        <v>384</v>
      </c>
      <c r="W559" s="1" t="s">
        <v>421</v>
      </c>
      <c r="X559" s="2">
        <v>20255149916</v>
      </c>
      <c r="Y559" s="14">
        <v>46011</v>
      </c>
      <c r="Z559" s="14">
        <v>46017</v>
      </c>
      <c r="AA559" s="14">
        <v>46020</v>
      </c>
      <c r="AB559" s="14">
        <v>46020</v>
      </c>
      <c r="AC559" s="14">
        <v>46022</v>
      </c>
      <c r="AD559" s="2">
        <v>61850669205</v>
      </c>
      <c r="AE559" s="2" t="s">
        <v>3052</v>
      </c>
      <c r="AF559" s="2">
        <v>4</v>
      </c>
      <c r="AG559" s="2">
        <v>1012.5</v>
      </c>
      <c r="AH559" s="2"/>
      <c r="AI559" s="2" t="s">
        <v>180</v>
      </c>
      <c r="AJ559" s="2"/>
      <c r="AK559" s="14">
        <v>46015</v>
      </c>
      <c r="AL559" s="14">
        <v>46015</v>
      </c>
      <c r="AM559" s="14"/>
      <c r="AN559" s="2"/>
      <c r="AO559" s="2">
        <v>6602334</v>
      </c>
      <c r="AP559" s="14">
        <v>46020</v>
      </c>
      <c r="AQ559" s="14">
        <v>46022</v>
      </c>
      <c r="AR559" s="15" t="s">
        <v>3807</v>
      </c>
      <c r="AS559" s="2"/>
      <c r="AT559" s="44">
        <v>52673</v>
      </c>
      <c r="AV559" s="14">
        <v>46023</v>
      </c>
      <c r="AW559" s="14">
        <v>46030</v>
      </c>
      <c r="AY559" s="2">
        <v>6969949</v>
      </c>
      <c r="AZ559" s="5">
        <v>46041</v>
      </c>
      <c r="BA559" s="1">
        <v>9471120</v>
      </c>
      <c r="BB559" s="2">
        <v>1704802</v>
      </c>
      <c r="BC559" s="5">
        <v>46041</v>
      </c>
      <c r="BD559" s="14">
        <v>46041</v>
      </c>
      <c r="BF559" s="5">
        <v>46042</v>
      </c>
      <c r="BG559" s="5">
        <v>46074</v>
      </c>
      <c r="BH559" s="1" t="s">
        <v>3958</v>
      </c>
      <c r="BI559" s="1" t="s">
        <v>273</v>
      </c>
      <c r="BQ559" s="14">
        <v>46030</v>
      </c>
      <c r="BR559" s="5">
        <v>46038</v>
      </c>
    </row>
    <row r="560" spans="1:70" ht="18" customHeight="1" x14ac:dyDescent="0.3">
      <c r="A560" s="2">
        <v>560</v>
      </c>
      <c r="B560" s="8" t="s">
        <v>3053</v>
      </c>
      <c r="C560" s="8" t="s">
        <v>3049</v>
      </c>
      <c r="D560" s="8" t="s">
        <v>1674</v>
      </c>
      <c r="E560" s="2" t="s">
        <v>840</v>
      </c>
      <c r="F560" s="8" t="s">
        <v>225</v>
      </c>
      <c r="G560" s="8" t="s">
        <v>3050</v>
      </c>
      <c r="H560" s="8" t="s">
        <v>1626</v>
      </c>
      <c r="I560" s="83">
        <v>52577</v>
      </c>
      <c r="J560" s="2" t="s">
        <v>142</v>
      </c>
      <c r="K560" s="2" t="s">
        <v>126</v>
      </c>
      <c r="L560" s="2" t="s">
        <v>854</v>
      </c>
      <c r="M560" s="134">
        <v>46020</v>
      </c>
      <c r="N560" s="56" t="s">
        <v>3960</v>
      </c>
      <c r="Q560" s="67">
        <f t="shared" si="65"/>
        <v>3</v>
      </c>
      <c r="R560" s="29">
        <f t="shared" si="63"/>
        <v>51</v>
      </c>
      <c r="T560" s="1"/>
      <c r="U560" s="8" t="s">
        <v>3051</v>
      </c>
      <c r="V560" s="1" t="s">
        <v>384</v>
      </c>
      <c r="W560" s="1" t="s">
        <v>421</v>
      </c>
      <c r="X560" s="2">
        <v>20255149917</v>
      </c>
      <c r="Y560" s="14">
        <v>46011</v>
      </c>
      <c r="Z560" s="14">
        <v>46017</v>
      </c>
      <c r="AA560" s="14">
        <v>46020</v>
      </c>
      <c r="AB560" s="14">
        <v>46020</v>
      </c>
      <c r="AC560" s="14">
        <v>46023</v>
      </c>
      <c r="AD560" s="2">
        <v>61850669205</v>
      </c>
      <c r="AE560" s="2" t="s">
        <v>3054</v>
      </c>
      <c r="AF560" s="2">
        <v>4</v>
      </c>
      <c r="AG560" s="2">
        <v>1012.5</v>
      </c>
      <c r="AH560" s="2"/>
      <c r="AI560" s="2" t="s">
        <v>180</v>
      </c>
      <c r="AJ560" s="2"/>
      <c r="AK560" s="14">
        <v>46015</v>
      </c>
      <c r="AL560" s="14">
        <v>46015</v>
      </c>
      <c r="AM560" s="2"/>
      <c r="AN560" s="2"/>
      <c r="AO560" s="2">
        <v>6602151</v>
      </c>
      <c r="AP560" s="14">
        <v>46020</v>
      </c>
      <c r="AQ560" s="14">
        <v>46023</v>
      </c>
      <c r="AR560" s="15" t="s">
        <v>3808</v>
      </c>
      <c r="AS560" s="2"/>
      <c r="AT560" s="44">
        <v>52676</v>
      </c>
      <c r="AV560" s="14">
        <v>46023</v>
      </c>
      <c r="AW560" s="14">
        <v>46027</v>
      </c>
      <c r="AY560" s="2">
        <v>6832020</v>
      </c>
      <c r="AZ560" s="5">
        <v>46034</v>
      </c>
      <c r="BA560" s="1">
        <v>9429580</v>
      </c>
      <c r="BB560" s="2">
        <v>1697324</v>
      </c>
      <c r="BC560" s="5">
        <v>46034</v>
      </c>
      <c r="BD560" s="14">
        <v>46034</v>
      </c>
      <c r="BF560" s="5">
        <v>46035</v>
      </c>
      <c r="BG560" s="5">
        <v>46074</v>
      </c>
      <c r="BH560" s="1" t="s">
        <v>3958</v>
      </c>
      <c r="BI560" s="1" t="s">
        <v>273</v>
      </c>
      <c r="BQ560" s="14">
        <v>46027</v>
      </c>
      <c r="BR560" s="1"/>
    </row>
    <row r="561" spans="1:70" ht="18" customHeight="1" x14ac:dyDescent="0.3">
      <c r="A561" s="2">
        <v>561</v>
      </c>
      <c r="B561" s="7">
        <v>7011078</v>
      </c>
      <c r="C561" s="111">
        <v>45930</v>
      </c>
      <c r="D561" s="2">
        <v>83080</v>
      </c>
      <c r="E561" s="2" t="s">
        <v>840</v>
      </c>
      <c r="F561" s="8" t="s">
        <v>219</v>
      </c>
      <c r="G561" s="8" t="s">
        <v>2757</v>
      </c>
      <c r="H561" s="8" t="s">
        <v>141</v>
      </c>
      <c r="I561" s="83">
        <v>52587</v>
      </c>
      <c r="J561" s="2" t="s">
        <v>142</v>
      </c>
      <c r="K561" s="2" t="s">
        <v>126</v>
      </c>
      <c r="L561" s="2" t="s">
        <v>854</v>
      </c>
      <c r="M561" s="134">
        <v>46019</v>
      </c>
      <c r="N561" s="56" t="s">
        <v>3965</v>
      </c>
      <c r="Q561" s="67">
        <f t="shared" si="65"/>
        <v>3</v>
      </c>
      <c r="R561" s="29">
        <f t="shared" si="63"/>
        <v>52</v>
      </c>
      <c r="T561" s="1">
        <v>558</v>
      </c>
      <c r="U561" s="1" t="s">
        <v>3077</v>
      </c>
      <c r="V561" s="1" t="s">
        <v>384</v>
      </c>
      <c r="W561" s="1" t="s">
        <v>421</v>
      </c>
      <c r="X561" s="2">
        <v>20255151694</v>
      </c>
      <c r="Y561" s="14">
        <v>45648</v>
      </c>
      <c r="Z561" s="14">
        <v>46020</v>
      </c>
      <c r="AA561" s="14">
        <v>46019</v>
      </c>
      <c r="AB561" s="14">
        <v>46019</v>
      </c>
      <c r="AC561" s="14">
        <v>46022</v>
      </c>
      <c r="AD561" s="2">
        <v>17621173294</v>
      </c>
      <c r="AE561" s="2" t="s">
        <v>3078</v>
      </c>
      <c r="AF561" s="2">
        <v>3</v>
      </c>
      <c r="AG561" s="2">
        <v>797</v>
      </c>
      <c r="AH561" s="2"/>
      <c r="AI561" s="2" t="s">
        <v>180</v>
      </c>
      <c r="AJ561" s="2"/>
      <c r="AK561" s="14">
        <v>46017</v>
      </c>
      <c r="AL561" s="14">
        <v>46017</v>
      </c>
      <c r="AM561" s="14">
        <v>46017</v>
      </c>
      <c r="AN561" s="2"/>
      <c r="AO561" s="2">
        <v>6601909</v>
      </c>
      <c r="AP561" s="14">
        <v>46020</v>
      </c>
      <c r="AQ561" s="14">
        <v>46022</v>
      </c>
      <c r="AR561" s="15" t="s">
        <v>3810</v>
      </c>
      <c r="AS561" s="2"/>
      <c r="AT561" s="44">
        <v>52672</v>
      </c>
      <c r="AV561" s="14">
        <v>46023</v>
      </c>
      <c r="AW561" s="14">
        <v>46025</v>
      </c>
      <c r="AY561" s="2">
        <v>6833445</v>
      </c>
      <c r="AZ561" s="5">
        <v>46034</v>
      </c>
      <c r="BA561" s="1">
        <v>7543664</v>
      </c>
      <c r="BB561" s="2">
        <v>1357860</v>
      </c>
      <c r="BC561" s="5">
        <v>46034</v>
      </c>
      <c r="BD561" s="14">
        <v>46035</v>
      </c>
      <c r="BF561" s="5">
        <v>46036</v>
      </c>
      <c r="BG561" s="5">
        <v>46074</v>
      </c>
      <c r="BH561" s="1" t="s">
        <v>3958</v>
      </c>
      <c r="BI561" s="1" t="s">
        <v>273</v>
      </c>
      <c r="BQ561" s="14">
        <v>46025</v>
      </c>
      <c r="BR561" s="5">
        <v>46031</v>
      </c>
    </row>
    <row r="562" spans="1:70" ht="18" customHeight="1" x14ac:dyDescent="0.3">
      <c r="A562" s="2">
        <v>562</v>
      </c>
      <c r="B562" s="7">
        <v>6941430</v>
      </c>
      <c r="C562" s="111">
        <v>45835</v>
      </c>
      <c r="D562" s="2">
        <v>700</v>
      </c>
      <c r="E562" s="2" t="s">
        <v>840</v>
      </c>
      <c r="F562" s="2" t="s">
        <v>3579</v>
      </c>
      <c r="G562" s="7" t="s">
        <v>3580</v>
      </c>
      <c r="H562" s="2">
        <v>10</v>
      </c>
      <c r="I562" s="83">
        <v>53019</v>
      </c>
      <c r="J562" s="2" t="s">
        <v>142</v>
      </c>
      <c r="K562" s="2" t="s">
        <v>126</v>
      </c>
      <c r="L562" s="2" t="s">
        <v>854</v>
      </c>
      <c r="M562" s="134">
        <v>46047</v>
      </c>
      <c r="N562" s="56" t="s">
        <v>3962</v>
      </c>
      <c r="O562" s="1">
        <v>900</v>
      </c>
      <c r="Q562" s="67">
        <f t="shared" si="65"/>
        <v>5</v>
      </c>
      <c r="R562" s="29">
        <f t="shared" si="63"/>
        <v>22</v>
      </c>
      <c r="T562" s="1">
        <v>69</v>
      </c>
      <c r="U562" s="1" t="s">
        <v>3581</v>
      </c>
      <c r="V562" s="2" t="s">
        <v>335</v>
      </c>
      <c r="W562" s="2" t="s">
        <v>163</v>
      </c>
      <c r="X562" s="2" t="s">
        <v>127</v>
      </c>
      <c r="Y562" s="2" t="s">
        <v>127</v>
      </c>
      <c r="Z562" s="14" t="s">
        <v>127</v>
      </c>
      <c r="AA562" s="14">
        <v>46047</v>
      </c>
      <c r="AB562" s="14">
        <v>46047</v>
      </c>
      <c r="AC562" s="14">
        <v>46052</v>
      </c>
      <c r="AD562" s="2">
        <v>17621173552</v>
      </c>
      <c r="AE562" s="2" t="s">
        <v>3582</v>
      </c>
      <c r="AF562" s="2">
        <v>1</v>
      </c>
      <c r="AG562" s="2">
        <v>1</v>
      </c>
      <c r="AH562" s="2"/>
      <c r="AI562" s="2" t="s">
        <v>180</v>
      </c>
      <c r="AJ562" s="2"/>
      <c r="AK562" s="14">
        <v>46047.515277777777</v>
      </c>
      <c r="AL562" s="14">
        <v>46049</v>
      </c>
      <c r="AM562" s="14">
        <v>46049</v>
      </c>
      <c r="AN562" s="2"/>
      <c r="AO562" s="2">
        <v>7146977</v>
      </c>
      <c r="AP562" s="14">
        <v>46049</v>
      </c>
      <c r="AQ562" s="14">
        <v>46052</v>
      </c>
      <c r="AR562" s="121" t="s">
        <v>3814</v>
      </c>
      <c r="AS562" s="2"/>
      <c r="AT562" s="44">
        <v>53171</v>
      </c>
      <c r="AV562" s="14">
        <v>46057</v>
      </c>
      <c r="AW562" s="14">
        <v>46058</v>
      </c>
      <c r="AY562" s="2">
        <v>7443858</v>
      </c>
      <c r="AZ562" s="5">
        <v>46064</v>
      </c>
      <c r="BA562" s="1">
        <v>63945</v>
      </c>
      <c r="BB562" s="2">
        <v>28110</v>
      </c>
      <c r="BC562" s="5">
        <v>46064</v>
      </c>
      <c r="BD562" s="14">
        <v>46070</v>
      </c>
      <c r="BF562" s="5">
        <v>46072</v>
      </c>
      <c r="BG562" s="5">
        <v>46074</v>
      </c>
      <c r="BH562" s="1" t="s">
        <v>3961</v>
      </c>
      <c r="BI562" s="1" t="s">
        <v>273</v>
      </c>
      <c r="BQ562" s="2"/>
      <c r="BR562" s="1"/>
    </row>
    <row r="563" spans="1:70" ht="18" customHeight="1" x14ac:dyDescent="0.3">
      <c r="A563" s="2">
        <v>563</v>
      </c>
      <c r="B563" s="8" t="s">
        <v>3713</v>
      </c>
      <c r="C563" s="75" t="s">
        <v>3714</v>
      </c>
      <c r="D563" s="104" t="s">
        <v>3715</v>
      </c>
      <c r="E563" s="2" t="s">
        <v>840</v>
      </c>
      <c r="F563" s="8" t="s">
        <v>3716</v>
      </c>
      <c r="G563" s="8" t="s">
        <v>3717</v>
      </c>
      <c r="H563" s="8" t="s">
        <v>3718</v>
      </c>
      <c r="I563" s="83">
        <v>53124</v>
      </c>
      <c r="J563" s="2" t="s">
        <v>142</v>
      </c>
      <c r="K563" s="2" t="s">
        <v>126</v>
      </c>
      <c r="L563" s="2" t="s">
        <v>854</v>
      </c>
      <c r="M563" s="134">
        <v>46057</v>
      </c>
      <c r="N563" s="56" t="s">
        <v>3973</v>
      </c>
      <c r="Q563" s="67">
        <f t="shared" ref="Q563:Q571" si="66">AQ563-AB563</f>
        <v>2</v>
      </c>
      <c r="R563" s="29">
        <f t="shared" si="63"/>
        <v>18</v>
      </c>
      <c r="T563" s="1"/>
      <c r="U563" s="2" t="s">
        <v>3209</v>
      </c>
      <c r="V563" s="1" t="s">
        <v>626</v>
      </c>
      <c r="W563" s="1" t="s">
        <v>627</v>
      </c>
      <c r="X563" s="2">
        <v>20265011587</v>
      </c>
      <c r="Y563" s="14">
        <v>46051</v>
      </c>
      <c r="Z563" s="14">
        <v>46057</v>
      </c>
      <c r="AA563" s="14">
        <v>46057</v>
      </c>
      <c r="AB563" s="14">
        <v>46057</v>
      </c>
      <c r="AC563" s="14">
        <v>46059</v>
      </c>
      <c r="AD563" s="2" t="s">
        <v>3705</v>
      </c>
      <c r="AE563" s="2" t="s">
        <v>3706</v>
      </c>
      <c r="AF563" s="2">
        <v>6</v>
      </c>
      <c r="AG563" s="2">
        <v>1635</v>
      </c>
      <c r="AH563" s="2"/>
      <c r="AI563" s="2" t="s">
        <v>180</v>
      </c>
      <c r="AJ563" s="2"/>
      <c r="AK563" s="14">
        <v>46055</v>
      </c>
      <c r="AL563" s="14">
        <v>46056</v>
      </c>
      <c r="AM563" s="14">
        <v>46056</v>
      </c>
      <c r="AN563" s="2"/>
      <c r="AO563" s="2">
        <v>7320088</v>
      </c>
      <c r="AP563" s="14">
        <v>46058</v>
      </c>
      <c r="AQ563" s="14">
        <v>46059</v>
      </c>
      <c r="AS563" s="2"/>
      <c r="AT563" s="44">
        <v>53211</v>
      </c>
      <c r="AV563" s="14">
        <v>46059</v>
      </c>
      <c r="AW563" s="14">
        <v>46063</v>
      </c>
      <c r="AY563" s="141">
        <v>7687899</v>
      </c>
      <c r="AZ563" s="168">
        <v>46076</v>
      </c>
      <c r="BA563" s="1">
        <v>15651857</v>
      </c>
      <c r="BB563" s="2">
        <v>2817334</v>
      </c>
      <c r="BC563" s="5">
        <v>46076</v>
      </c>
      <c r="BD563" s="5">
        <v>46076</v>
      </c>
      <c r="BF563" s="5">
        <v>46077</v>
      </c>
      <c r="BG563" s="5">
        <v>46077</v>
      </c>
      <c r="BH563" s="1" t="s">
        <v>3976</v>
      </c>
      <c r="BI563" s="1" t="s">
        <v>282</v>
      </c>
      <c r="BL563" s="32">
        <v>46077</v>
      </c>
      <c r="BQ563" s="14">
        <v>46063</v>
      </c>
      <c r="BR563" s="5">
        <v>46073</v>
      </c>
    </row>
    <row r="564" spans="1:70" ht="18" customHeight="1" x14ac:dyDescent="0.3">
      <c r="A564" s="2">
        <v>564</v>
      </c>
      <c r="B564" s="7">
        <v>7091376</v>
      </c>
      <c r="C564" s="111">
        <v>46049</v>
      </c>
      <c r="D564" s="2">
        <v>145390</v>
      </c>
      <c r="E564" s="2" t="s">
        <v>840</v>
      </c>
      <c r="F564" s="8" t="s">
        <v>3755</v>
      </c>
      <c r="G564" s="8" t="s">
        <v>3717</v>
      </c>
      <c r="H564" s="8" t="s">
        <v>1597</v>
      </c>
      <c r="I564" s="83">
        <v>53200</v>
      </c>
      <c r="J564" s="2" t="s">
        <v>142</v>
      </c>
      <c r="K564" s="2" t="s">
        <v>126</v>
      </c>
      <c r="L564" s="2" t="s">
        <v>854</v>
      </c>
      <c r="M564" s="134">
        <v>46061</v>
      </c>
      <c r="N564" s="56" t="s">
        <v>3974</v>
      </c>
      <c r="Q564" s="67">
        <f t="shared" si="66"/>
        <v>3</v>
      </c>
      <c r="R564" s="29">
        <f t="shared" si="63"/>
        <v>13</v>
      </c>
      <c r="T564" s="1"/>
      <c r="U564" s="1" t="s">
        <v>3756</v>
      </c>
      <c r="V564" s="1" t="s">
        <v>626</v>
      </c>
      <c r="W564" s="1" t="s">
        <v>627</v>
      </c>
      <c r="X564" s="2">
        <v>20265014142</v>
      </c>
      <c r="Y564" s="14">
        <v>46057</v>
      </c>
      <c r="Z564" s="14">
        <v>46060</v>
      </c>
      <c r="AA564" s="14">
        <v>46061</v>
      </c>
      <c r="AB564" s="14">
        <v>46061</v>
      </c>
      <c r="AC564" s="14">
        <v>46064</v>
      </c>
      <c r="AD564" s="2">
        <v>21707661102</v>
      </c>
      <c r="AE564" s="2" t="s">
        <v>3757</v>
      </c>
      <c r="AF564" s="2">
        <v>5</v>
      </c>
      <c r="AG564" s="2">
        <v>1385.5</v>
      </c>
      <c r="AH564" s="2"/>
      <c r="AI564" s="2" t="s">
        <v>629</v>
      </c>
      <c r="AJ564" s="2"/>
      <c r="AK564" s="14">
        <v>46058</v>
      </c>
      <c r="AL564" s="14">
        <v>46058</v>
      </c>
      <c r="AM564" s="14">
        <v>46058</v>
      </c>
      <c r="AN564" s="2"/>
      <c r="AO564" s="2">
        <v>7405112</v>
      </c>
      <c r="AP564" s="14">
        <v>46062</v>
      </c>
      <c r="AQ564" s="14">
        <v>46064</v>
      </c>
      <c r="AS564" s="2"/>
      <c r="AT564" s="44">
        <v>53241</v>
      </c>
      <c r="AV564" s="14">
        <v>46062</v>
      </c>
      <c r="AW564" s="14">
        <v>46063</v>
      </c>
      <c r="AY564" s="141">
        <v>7687897</v>
      </c>
      <c r="AZ564" s="168">
        <v>46076</v>
      </c>
      <c r="BA564" s="1">
        <v>13361341</v>
      </c>
      <c r="BB564" s="2">
        <v>2405041</v>
      </c>
      <c r="BC564" s="5">
        <v>46076</v>
      </c>
      <c r="BD564" s="5">
        <v>46076</v>
      </c>
      <c r="BF564" s="5">
        <v>46077</v>
      </c>
      <c r="BG564" s="5">
        <v>46077</v>
      </c>
      <c r="BH564" s="1" t="s">
        <v>3977</v>
      </c>
      <c r="BI564" s="1" t="s">
        <v>282</v>
      </c>
      <c r="BL564" s="32">
        <v>46077</v>
      </c>
      <c r="BQ564" s="14">
        <v>46063</v>
      </c>
      <c r="BR564" s="5">
        <v>46073</v>
      </c>
    </row>
    <row r="565" spans="1:70" ht="18" customHeight="1" x14ac:dyDescent="0.3">
      <c r="A565" s="2">
        <v>565</v>
      </c>
      <c r="B565" s="7">
        <v>7091366</v>
      </c>
      <c r="C565" s="111">
        <v>46049</v>
      </c>
      <c r="D565" s="2">
        <v>83080</v>
      </c>
      <c r="E565" s="2" t="s">
        <v>840</v>
      </c>
      <c r="F565" s="8" t="s">
        <v>219</v>
      </c>
      <c r="G565" s="8" t="s">
        <v>3754</v>
      </c>
      <c r="H565" s="8" t="s">
        <v>141</v>
      </c>
      <c r="I565" s="83">
        <v>53201</v>
      </c>
      <c r="J565" s="2" t="s">
        <v>142</v>
      </c>
      <c r="K565" s="2" t="s">
        <v>126</v>
      </c>
      <c r="L565" s="2" t="s">
        <v>854</v>
      </c>
      <c r="M565" s="134">
        <v>46062</v>
      </c>
      <c r="N565" s="56" t="s">
        <v>3975</v>
      </c>
      <c r="Q565" s="67">
        <f t="shared" si="66"/>
        <v>3</v>
      </c>
      <c r="R565" s="29">
        <f t="shared" si="63"/>
        <v>12</v>
      </c>
      <c r="T565" s="1"/>
      <c r="U565" s="1" t="s">
        <v>3756</v>
      </c>
      <c r="V565" s="1" t="s">
        <v>626</v>
      </c>
      <c r="W565" s="1" t="s">
        <v>627</v>
      </c>
      <c r="X565" s="2">
        <v>20265013617</v>
      </c>
      <c r="Y565" s="14">
        <v>46056</v>
      </c>
      <c r="Z565" s="14">
        <v>46062</v>
      </c>
      <c r="AA565" s="14">
        <v>46062</v>
      </c>
      <c r="AB565" s="14">
        <v>46062</v>
      </c>
      <c r="AC565" s="14">
        <v>46065</v>
      </c>
      <c r="AD565" s="2" t="s">
        <v>3760</v>
      </c>
      <c r="AE565" s="2" t="s">
        <v>3761</v>
      </c>
      <c r="AF565" s="2">
        <v>3</v>
      </c>
      <c r="AG565" s="2">
        <v>792.5</v>
      </c>
      <c r="AH565" s="2"/>
      <c r="AI565" s="2" t="s">
        <v>629</v>
      </c>
      <c r="AJ565" s="2"/>
      <c r="AK565" s="14">
        <v>46058</v>
      </c>
      <c r="AL565" s="14">
        <v>46060</v>
      </c>
      <c r="AM565" s="14">
        <v>46062</v>
      </c>
      <c r="AN565" s="2"/>
      <c r="AO565" s="2">
        <v>7426808</v>
      </c>
      <c r="AP565" s="14">
        <v>46063</v>
      </c>
      <c r="AQ565" s="14">
        <v>46065</v>
      </c>
      <c r="AS565" s="2"/>
      <c r="AT565" s="44">
        <v>53253</v>
      </c>
      <c r="AV565" s="14">
        <v>46064</v>
      </c>
      <c r="AW565" s="14">
        <v>46064</v>
      </c>
      <c r="AY565" s="141">
        <v>7687898</v>
      </c>
      <c r="AZ565" s="168">
        <v>46076</v>
      </c>
      <c r="BA565" s="1">
        <v>7635052</v>
      </c>
      <c r="BB565" s="2">
        <v>1374309</v>
      </c>
      <c r="BC565" s="5">
        <v>46076</v>
      </c>
      <c r="BD565" s="5">
        <v>46076</v>
      </c>
      <c r="BF565" s="5">
        <v>46077</v>
      </c>
      <c r="BG565" s="5">
        <v>46077</v>
      </c>
      <c r="BH565" s="1" t="s">
        <v>3977</v>
      </c>
      <c r="BI565" s="1" t="s">
        <v>282</v>
      </c>
      <c r="BL565" s="32">
        <v>46077</v>
      </c>
      <c r="BQ565" s="14">
        <v>46064</v>
      </c>
      <c r="BR565" s="5">
        <v>46073</v>
      </c>
    </row>
    <row r="566" spans="1:70" ht="18" customHeight="1" x14ac:dyDescent="0.3">
      <c r="A566" s="2">
        <v>566</v>
      </c>
      <c r="B566" s="7">
        <v>7074341</v>
      </c>
      <c r="C566" s="111" t="s">
        <v>3548</v>
      </c>
      <c r="D566" s="2">
        <v>44541</v>
      </c>
      <c r="E566" s="2" t="s">
        <v>840</v>
      </c>
      <c r="F566" s="8" t="s">
        <v>3558</v>
      </c>
      <c r="G566" s="8" t="s">
        <v>3990</v>
      </c>
      <c r="H566" s="2">
        <v>2</v>
      </c>
      <c r="I566" s="83">
        <v>53011</v>
      </c>
      <c r="J566" s="2" t="s">
        <v>142</v>
      </c>
      <c r="K566" s="2" t="s">
        <v>126</v>
      </c>
      <c r="L566" s="2" t="s">
        <v>854</v>
      </c>
      <c r="M566" s="134">
        <v>46047</v>
      </c>
      <c r="N566" s="56" t="s">
        <v>3989</v>
      </c>
      <c r="O566" s="181">
        <v>7429.73</v>
      </c>
      <c r="Q566" s="67">
        <f t="shared" si="66"/>
        <v>6</v>
      </c>
      <c r="R566" s="29">
        <f t="shared" si="63"/>
        <v>27</v>
      </c>
      <c r="T566" s="1">
        <v>4816</v>
      </c>
      <c r="U566" s="1" t="s">
        <v>3555</v>
      </c>
      <c r="V566" s="2" t="s">
        <v>204</v>
      </c>
      <c r="W566" s="1" t="s">
        <v>203</v>
      </c>
      <c r="X566" s="2">
        <v>20265007902</v>
      </c>
      <c r="Y566" s="14">
        <v>46043</v>
      </c>
      <c r="Z566" s="14">
        <v>46051</v>
      </c>
      <c r="AA566" s="14">
        <v>46047</v>
      </c>
      <c r="AB566" s="14">
        <v>46047</v>
      </c>
      <c r="AC566" s="14">
        <v>46053</v>
      </c>
      <c r="AD566" s="2">
        <v>23215594784</v>
      </c>
      <c r="AE566" s="2" t="s">
        <v>3571</v>
      </c>
      <c r="AF566" s="2">
        <v>2</v>
      </c>
      <c r="AG566" s="2">
        <v>506.5</v>
      </c>
      <c r="AH566" s="2"/>
      <c r="AI566" s="2" t="s">
        <v>629</v>
      </c>
      <c r="AJ566" s="2"/>
      <c r="AK566" s="14">
        <v>46048.677083333336</v>
      </c>
      <c r="AL566" s="14">
        <v>46049</v>
      </c>
      <c r="AM566" s="14">
        <v>46049</v>
      </c>
      <c r="AN566" s="2"/>
      <c r="AO566" s="2">
        <v>7146547</v>
      </c>
      <c r="AP566" s="14">
        <v>46049</v>
      </c>
      <c r="AQ566" s="14">
        <v>46053</v>
      </c>
      <c r="AR566" s="121" t="s">
        <v>3829</v>
      </c>
      <c r="AS566" s="2"/>
      <c r="AT566" s="44">
        <v>53183</v>
      </c>
      <c r="AV566" s="14">
        <v>46058</v>
      </c>
      <c r="AW566" s="14">
        <v>46058</v>
      </c>
      <c r="AY566" s="2">
        <v>7422201</v>
      </c>
      <c r="AZ566" s="5">
        <v>46063</v>
      </c>
      <c r="BA566" s="1">
        <v>4068820</v>
      </c>
      <c r="BB566" s="2">
        <v>732388</v>
      </c>
      <c r="BC566" s="5">
        <v>46063</v>
      </c>
      <c r="BD566" s="14">
        <v>46079</v>
      </c>
      <c r="BF566" s="5">
        <v>46079</v>
      </c>
      <c r="BG566" s="5">
        <v>46080</v>
      </c>
      <c r="BH566" s="1" t="s">
        <v>1082</v>
      </c>
      <c r="BI566" s="1" t="s">
        <v>273</v>
      </c>
      <c r="BQ566" s="14">
        <v>46058</v>
      </c>
      <c r="BR566" s="1"/>
    </row>
    <row r="567" spans="1:70" ht="18" customHeight="1" x14ac:dyDescent="0.3">
      <c r="A567" s="2">
        <v>567</v>
      </c>
      <c r="B567" s="7">
        <v>6993069</v>
      </c>
      <c r="C567" s="111" t="s">
        <v>3591</v>
      </c>
      <c r="D567" s="2">
        <v>2327</v>
      </c>
      <c r="E567" s="2" t="s">
        <v>840</v>
      </c>
      <c r="F567" s="8" t="s">
        <v>3592</v>
      </c>
      <c r="G567" s="8" t="s">
        <v>3593</v>
      </c>
      <c r="H567" s="8" t="s">
        <v>615</v>
      </c>
      <c r="I567" s="83">
        <v>53029</v>
      </c>
      <c r="J567" s="2" t="s">
        <v>142</v>
      </c>
      <c r="K567" s="2" t="s">
        <v>126</v>
      </c>
      <c r="L567" s="2" t="s">
        <v>854</v>
      </c>
      <c r="M567" s="134">
        <v>46047</v>
      </c>
      <c r="N567" s="56" t="s">
        <v>4007</v>
      </c>
      <c r="Q567" s="67">
        <f t="shared" si="66"/>
        <v>5</v>
      </c>
      <c r="R567" s="29">
        <f t="shared" si="63"/>
        <v>31</v>
      </c>
      <c r="T567" s="1"/>
      <c r="U567" s="1" t="s">
        <v>3594</v>
      </c>
      <c r="V567" s="2" t="s">
        <v>239</v>
      </c>
      <c r="W567" s="2" t="s">
        <v>454</v>
      </c>
      <c r="X567" s="2">
        <v>20265008453</v>
      </c>
      <c r="Y567" s="14">
        <v>46044</v>
      </c>
      <c r="Z567" s="14">
        <v>46050</v>
      </c>
      <c r="AA567" s="14">
        <v>46047</v>
      </c>
      <c r="AB567" s="14">
        <v>46047</v>
      </c>
      <c r="AC567" s="14">
        <v>46052</v>
      </c>
      <c r="AD567" s="2">
        <v>21707128435</v>
      </c>
      <c r="AE567" s="2" t="s">
        <v>3595</v>
      </c>
      <c r="AF567" s="2">
        <v>1</v>
      </c>
      <c r="AG567" s="2">
        <v>31</v>
      </c>
      <c r="AH567" s="2"/>
      <c r="AI567" s="2" t="s">
        <v>180</v>
      </c>
      <c r="AJ567" s="2"/>
      <c r="AK567" s="14">
        <v>46046.918055555558</v>
      </c>
      <c r="AL567" s="14">
        <v>46049</v>
      </c>
      <c r="AM567" s="14">
        <v>46049</v>
      </c>
      <c r="AN567" s="2"/>
      <c r="AO567" s="2">
        <v>7147026</v>
      </c>
      <c r="AP567" s="14">
        <v>46049</v>
      </c>
      <c r="AQ567" s="14">
        <v>46052</v>
      </c>
      <c r="AS567" s="2"/>
      <c r="AT567" s="44">
        <v>53146</v>
      </c>
      <c r="AV567" s="14">
        <v>46056</v>
      </c>
      <c r="AW567" s="14">
        <v>46057</v>
      </c>
      <c r="AY567" s="2">
        <v>7318749</v>
      </c>
      <c r="AZ567" s="5">
        <v>46058</v>
      </c>
      <c r="BA567" s="1">
        <v>212222</v>
      </c>
      <c r="BB567" s="2">
        <v>38200</v>
      </c>
      <c r="BC567" s="5">
        <v>46058</v>
      </c>
      <c r="BD567" s="14">
        <v>46058</v>
      </c>
      <c r="BF567" s="5">
        <v>46059</v>
      </c>
      <c r="BG567" s="5">
        <v>46083</v>
      </c>
      <c r="BH567" s="1" t="s">
        <v>4006</v>
      </c>
      <c r="BI567" s="1" t="s">
        <v>282</v>
      </c>
      <c r="BQ567" s="14">
        <v>46057</v>
      </c>
      <c r="BR567" s="14">
        <v>46057</v>
      </c>
    </row>
    <row r="568" spans="1:70" ht="18" customHeight="1" x14ac:dyDescent="0.3">
      <c r="A568" s="2">
        <v>568</v>
      </c>
      <c r="B568" s="8" t="s">
        <v>3711</v>
      </c>
      <c r="C568" s="111">
        <v>45993</v>
      </c>
      <c r="D568" s="75" t="s">
        <v>3601</v>
      </c>
      <c r="E568" s="2" t="s">
        <v>840</v>
      </c>
      <c r="F568" s="8" t="s">
        <v>3602</v>
      </c>
      <c r="G568" s="8" t="s">
        <v>3603</v>
      </c>
      <c r="H568" s="8" t="s">
        <v>3850</v>
      </c>
      <c r="I568" s="83">
        <v>53030</v>
      </c>
      <c r="J568" s="2" t="s">
        <v>142</v>
      </c>
      <c r="K568" s="2" t="s">
        <v>126</v>
      </c>
      <c r="L568" s="2" t="s">
        <v>854</v>
      </c>
      <c r="M568" s="134">
        <v>46047</v>
      </c>
      <c r="N568" s="56" t="s">
        <v>4008</v>
      </c>
      <c r="Q568" s="67">
        <f t="shared" si="66"/>
        <v>6</v>
      </c>
      <c r="R568" s="29">
        <f t="shared" si="63"/>
        <v>30</v>
      </c>
      <c r="T568" s="1"/>
      <c r="U568" s="1" t="s">
        <v>3604</v>
      </c>
      <c r="V568" s="2" t="s">
        <v>239</v>
      </c>
      <c r="W568" s="2" t="s">
        <v>454</v>
      </c>
      <c r="X568" s="2">
        <v>20265008456</v>
      </c>
      <c r="Y568" s="14">
        <v>46044</v>
      </c>
      <c r="Z568" s="14">
        <v>46050</v>
      </c>
      <c r="AA568" s="14">
        <v>46047</v>
      </c>
      <c r="AB568" s="14">
        <v>46047</v>
      </c>
      <c r="AC568" s="14">
        <v>46053</v>
      </c>
      <c r="AD568" s="2">
        <v>21707128435</v>
      </c>
      <c r="AE568" s="2" t="s">
        <v>3605</v>
      </c>
      <c r="AF568" s="2">
        <v>4</v>
      </c>
      <c r="AG568" s="2">
        <v>164</v>
      </c>
      <c r="AH568" s="2"/>
      <c r="AI568" s="2" t="s">
        <v>180</v>
      </c>
      <c r="AJ568" s="2"/>
      <c r="AK568" s="14">
        <v>46046.924305555556</v>
      </c>
      <c r="AL568" s="14">
        <v>46049</v>
      </c>
      <c r="AM568" s="14">
        <v>46050</v>
      </c>
      <c r="AN568" s="2"/>
      <c r="AO568" s="2">
        <v>7164891</v>
      </c>
      <c r="AP568" s="14">
        <v>46050</v>
      </c>
      <c r="AQ568" s="14">
        <v>46053</v>
      </c>
      <c r="AR568" s="15" t="s">
        <v>3913</v>
      </c>
      <c r="AS568" s="2"/>
      <c r="AT568" s="44">
        <v>53147</v>
      </c>
      <c r="AV568" s="14">
        <v>46056</v>
      </c>
      <c r="AW568" s="14">
        <v>46057</v>
      </c>
      <c r="AY568" s="2">
        <v>7318750</v>
      </c>
      <c r="AZ568" s="5">
        <v>46058</v>
      </c>
      <c r="BA568" s="1">
        <v>1515379</v>
      </c>
      <c r="BB568" s="2">
        <v>272768</v>
      </c>
      <c r="BC568" s="5">
        <v>46058</v>
      </c>
      <c r="BD568" s="14">
        <v>46058</v>
      </c>
      <c r="BF568" s="5">
        <v>46059</v>
      </c>
      <c r="BG568" s="5">
        <v>46083</v>
      </c>
      <c r="BH568" s="1" t="s">
        <v>4006</v>
      </c>
      <c r="BI568" s="1" t="s">
        <v>282</v>
      </c>
      <c r="BQ568" s="14">
        <v>46057</v>
      </c>
      <c r="BR568" s="14">
        <v>46057</v>
      </c>
    </row>
    <row r="569" spans="1:70" ht="18" customHeight="1" x14ac:dyDescent="0.3">
      <c r="A569" s="2">
        <v>569</v>
      </c>
      <c r="B569" s="7">
        <v>6993068</v>
      </c>
      <c r="C569" s="111" t="s">
        <v>3591</v>
      </c>
      <c r="D569" s="2">
        <v>4654</v>
      </c>
      <c r="E569" s="2" t="s">
        <v>840</v>
      </c>
      <c r="F569" s="8" t="s">
        <v>3621</v>
      </c>
      <c r="G569" s="7" t="s">
        <v>3622</v>
      </c>
      <c r="H569" s="8" t="s">
        <v>3195</v>
      </c>
      <c r="I569" s="83">
        <v>53040</v>
      </c>
      <c r="J569" s="2" t="s">
        <v>142</v>
      </c>
      <c r="K569" s="2" t="s">
        <v>126</v>
      </c>
      <c r="L569" s="2" t="s">
        <v>854</v>
      </c>
      <c r="M569" s="134">
        <v>46047</v>
      </c>
      <c r="N569" s="56" t="s">
        <v>4009</v>
      </c>
      <c r="Q569" s="67">
        <f t="shared" si="66"/>
        <v>6</v>
      </c>
      <c r="R569" s="29">
        <f t="shared" si="63"/>
        <v>30</v>
      </c>
      <c r="T569" s="1"/>
      <c r="U569" s="1" t="s">
        <v>3623</v>
      </c>
      <c r="V569" s="2" t="s">
        <v>239</v>
      </c>
      <c r="W569" s="2" t="s">
        <v>454</v>
      </c>
      <c r="X569" s="2">
        <v>20265008464</v>
      </c>
      <c r="Y569" s="14">
        <v>46044</v>
      </c>
      <c r="Z569" s="14">
        <v>46050</v>
      </c>
      <c r="AA569" s="14">
        <v>46047</v>
      </c>
      <c r="AB569" s="14">
        <v>46047</v>
      </c>
      <c r="AC569" s="14">
        <v>46053</v>
      </c>
      <c r="AD569" s="2">
        <v>21707657300</v>
      </c>
      <c r="AE569" s="2" t="s">
        <v>3624</v>
      </c>
      <c r="AF569" s="2">
        <v>4</v>
      </c>
      <c r="AG569" s="2">
        <v>46</v>
      </c>
      <c r="AH569" s="2"/>
      <c r="AI569" s="2" t="s">
        <v>180</v>
      </c>
      <c r="AJ569" s="2"/>
      <c r="AK569" s="14">
        <v>46046.92083333333</v>
      </c>
      <c r="AL569" s="14">
        <v>46049</v>
      </c>
      <c r="AM569" s="14">
        <v>46050</v>
      </c>
      <c r="AN569" s="2"/>
      <c r="AO569" s="2">
        <v>7156986</v>
      </c>
      <c r="AP569" s="14">
        <v>46050</v>
      </c>
      <c r="AQ569" s="14">
        <v>46053</v>
      </c>
      <c r="AR569" s="15" t="s">
        <v>3914</v>
      </c>
      <c r="AS569" s="2"/>
      <c r="AT569" s="44">
        <v>53172</v>
      </c>
      <c r="AV569" s="14">
        <v>46057</v>
      </c>
      <c r="AW569" s="14">
        <v>46058</v>
      </c>
      <c r="AY569" s="141">
        <v>7344032</v>
      </c>
      <c r="AZ569" s="80">
        <v>46059</v>
      </c>
      <c r="BA569" s="1">
        <v>425143</v>
      </c>
      <c r="BB569" s="2">
        <v>76526</v>
      </c>
      <c r="BC569" s="5">
        <v>46059</v>
      </c>
      <c r="BD569" s="14">
        <v>46059</v>
      </c>
      <c r="BF569" s="5">
        <v>46060</v>
      </c>
      <c r="BG569" s="5">
        <v>46083</v>
      </c>
      <c r="BH569" s="1" t="s">
        <v>4006</v>
      </c>
      <c r="BI569" s="1" t="s">
        <v>282</v>
      </c>
      <c r="BQ569" s="14">
        <v>46058</v>
      </c>
      <c r="BR569" s="14">
        <v>46058</v>
      </c>
    </row>
    <row r="570" spans="1:70" ht="18" customHeight="1" x14ac:dyDescent="0.3">
      <c r="A570" s="2">
        <v>570</v>
      </c>
      <c r="B570" s="7">
        <v>7074523</v>
      </c>
      <c r="C570" s="111">
        <v>46020</v>
      </c>
      <c r="D570" s="2">
        <v>4154</v>
      </c>
      <c r="E570" s="2" t="s">
        <v>840</v>
      </c>
      <c r="F570" s="8" t="s">
        <v>3625</v>
      </c>
      <c r="G570" s="8" t="s">
        <v>3609</v>
      </c>
      <c r="H570" s="8" t="s">
        <v>3195</v>
      </c>
      <c r="I570" s="83">
        <v>53041</v>
      </c>
      <c r="J570" s="2" t="s">
        <v>142</v>
      </c>
      <c r="K570" s="2" t="s">
        <v>126</v>
      </c>
      <c r="L570" s="2" t="s">
        <v>854</v>
      </c>
      <c r="M570" s="134">
        <v>46047</v>
      </c>
      <c r="N570" s="56" t="s">
        <v>4010</v>
      </c>
      <c r="Q570" s="67">
        <f t="shared" si="66"/>
        <v>6</v>
      </c>
      <c r="R570" s="29">
        <f t="shared" si="63"/>
        <v>30</v>
      </c>
      <c r="T570" s="1"/>
      <c r="U570" s="1" t="s">
        <v>3626</v>
      </c>
      <c r="V570" s="2" t="s">
        <v>239</v>
      </c>
      <c r="W570" s="2" t="s">
        <v>454</v>
      </c>
      <c r="X570" s="2">
        <v>20265008458</v>
      </c>
      <c r="Y570" s="14">
        <v>46044</v>
      </c>
      <c r="Z570" s="14">
        <v>46050</v>
      </c>
      <c r="AA570" s="14">
        <v>46047</v>
      </c>
      <c r="AB570" s="14">
        <v>46047</v>
      </c>
      <c r="AC570" s="14">
        <v>46053</v>
      </c>
      <c r="AD570" s="2">
        <v>21707657300</v>
      </c>
      <c r="AE570" s="2" t="s">
        <v>3627</v>
      </c>
      <c r="AF570" s="2">
        <v>1</v>
      </c>
      <c r="AG570" s="2">
        <v>95</v>
      </c>
      <c r="AH570" s="2"/>
      <c r="AI570" s="2" t="s">
        <v>180</v>
      </c>
      <c r="AJ570" s="2"/>
      <c r="AK570" s="14">
        <v>46046.927083333336</v>
      </c>
      <c r="AL570" s="14">
        <v>46049</v>
      </c>
      <c r="AM570" s="14">
        <v>46050</v>
      </c>
      <c r="AN570" s="2"/>
      <c r="AO570" s="2">
        <v>7165502</v>
      </c>
      <c r="AP570" s="14">
        <v>46050</v>
      </c>
      <c r="AQ570" s="14">
        <v>46053</v>
      </c>
      <c r="AR570" s="15" t="s">
        <v>3915</v>
      </c>
      <c r="AS570" s="2"/>
      <c r="AT570" s="44">
        <v>53180</v>
      </c>
      <c r="AV570" s="14">
        <v>46057</v>
      </c>
      <c r="AW570" s="14">
        <v>46058</v>
      </c>
      <c r="AY570" s="2">
        <v>7344028</v>
      </c>
      <c r="AZ570" s="80">
        <v>46059</v>
      </c>
      <c r="BA570" s="1">
        <v>379468</v>
      </c>
      <c r="BB570" s="2">
        <v>68304</v>
      </c>
      <c r="BC570" s="5">
        <v>46059</v>
      </c>
      <c r="BD570" s="14">
        <v>46059</v>
      </c>
      <c r="BF570" s="5">
        <v>46060</v>
      </c>
      <c r="BG570" s="5">
        <v>46083</v>
      </c>
      <c r="BH570" s="1" t="s">
        <v>4006</v>
      </c>
      <c r="BI570" s="1" t="s">
        <v>282</v>
      </c>
      <c r="BQ570" s="14">
        <v>46058</v>
      </c>
      <c r="BR570" s="14">
        <v>46058</v>
      </c>
    </row>
    <row r="571" spans="1:70" ht="18" customHeight="1" x14ac:dyDescent="0.3">
      <c r="A571" s="2">
        <v>571</v>
      </c>
      <c r="B571" s="7">
        <v>7074520</v>
      </c>
      <c r="C571" s="111">
        <v>46021</v>
      </c>
      <c r="D571" s="2">
        <v>2077</v>
      </c>
      <c r="E571" s="2" t="s">
        <v>840</v>
      </c>
      <c r="F571" s="2" t="s">
        <v>3632</v>
      </c>
      <c r="G571" s="7" t="s">
        <v>3550</v>
      </c>
      <c r="H571" s="2">
        <v>2</v>
      </c>
      <c r="I571" s="83">
        <v>53050</v>
      </c>
      <c r="J571" s="2" t="s">
        <v>142</v>
      </c>
      <c r="K571" s="2" t="s">
        <v>126</v>
      </c>
      <c r="L571" s="2" t="s">
        <v>854</v>
      </c>
      <c r="M571" s="134">
        <v>46048</v>
      </c>
      <c r="N571" s="56" t="s">
        <v>4011</v>
      </c>
      <c r="Q571" s="67">
        <f t="shared" si="66"/>
        <v>5</v>
      </c>
      <c r="R571" s="29">
        <f t="shared" si="63"/>
        <v>30</v>
      </c>
      <c r="T571" s="1"/>
      <c r="U571" s="1" t="s">
        <v>3633</v>
      </c>
      <c r="V571" s="2" t="s">
        <v>239</v>
      </c>
      <c r="W571" s="2" t="s">
        <v>454</v>
      </c>
      <c r="X571" s="2">
        <v>20265008457</v>
      </c>
      <c r="Y571" s="14">
        <v>46044</v>
      </c>
      <c r="Z571" s="14">
        <v>46050</v>
      </c>
      <c r="AA571" s="14">
        <v>46048</v>
      </c>
      <c r="AB571" s="14">
        <v>46048</v>
      </c>
      <c r="AC571" s="14">
        <v>46053</v>
      </c>
      <c r="AD571" s="2">
        <v>21707657296</v>
      </c>
      <c r="AE571" s="2" t="s">
        <v>3634</v>
      </c>
      <c r="AF571" s="2">
        <v>2</v>
      </c>
      <c r="AG571" s="2">
        <v>18</v>
      </c>
      <c r="AH571" s="2"/>
      <c r="AI571" s="2" t="s">
        <v>180</v>
      </c>
      <c r="AJ571" s="2"/>
      <c r="AK571" s="14">
        <v>46046.929166666669</v>
      </c>
      <c r="AL571" s="14">
        <v>46049</v>
      </c>
      <c r="AM571" s="14">
        <v>46050</v>
      </c>
      <c r="AN571" s="2"/>
      <c r="AO571" s="2">
        <v>7170544</v>
      </c>
      <c r="AP571" s="14">
        <v>46050</v>
      </c>
      <c r="AQ571" s="14">
        <v>46053</v>
      </c>
      <c r="AS571" s="2"/>
      <c r="AT571" s="44">
        <v>53170</v>
      </c>
      <c r="AV571" s="14">
        <v>46057</v>
      </c>
      <c r="AW571" s="14">
        <v>46057</v>
      </c>
      <c r="AY571" s="2">
        <v>7422196</v>
      </c>
      <c r="AZ571" s="5">
        <v>46063</v>
      </c>
      <c r="BA571" s="1">
        <v>189734</v>
      </c>
      <c r="BB571" s="2">
        <v>34152</v>
      </c>
      <c r="BC571" s="5">
        <v>46063</v>
      </c>
      <c r="BD571" s="5">
        <v>46063</v>
      </c>
      <c r="BF571" s="5">
        <v>46064</v>
      </c>
      <c r="BG571" s="5">
        <v>46083</v>
      </c>
      <c r="BH571" s="1" t="s">
        <v>4006</v>
      </c>
      <c r="BI571" s="1" t="s">
        <v>282</v>
      </c>
      <c r="BQ571" s="14">
        <v>46057</v>
      </c>
      <c r="BR571" s="1"/>
    </row>
    <row r="572" spans="1:70" ht="18" customHeight="1" x14ac:dyDescent="0.3">
      <c r="A572" s="2">
        <v>572</v>
      </c>
      <c r="B572" s="7">
        <v>7054302</v>
      </c>
      <c r="C572" s="111">
        <v>45992</v>
      </c>
      <c r="D572" s="2">
        <v>23270</v>
      </c>
      <c r="E572" s="2" t="s">
        <v>840</v>
      </c>
      <c r="F572" s="8" t="s">
        <v>224</v>
      </c>
      <c r="G572" s="8" t="s">
        <v>2754</v>
      </c>
      <c r="H572" s="8" t="s">
        <v>770</v>
      </c>
      <c r="I572" s="83">
        <v>52528</v>
      </c>
      <c r="J572" s="2" t="s">
        <v>1631</v>
      </c>
      <c r="K572" s="2" t="s">
        <v>126</v>
      </c>
      <c r="L572" s="2" t="s">
        <v>1632</v>
      </c>
      <c r="M572" s="134">
        <v>46013</v>
      </c>
      <c r="N572" s="56" t="s">
        <v>4034</v>
      </c>
      <c r="Q572" s="67">
        <f t="shared" ref="Q572:Q577" si="67">AQ572-AB572</f>
        <v>9</v>
      </c>
      <c r="R572" s="29">
        <f t="shared" si="63"/>
        <v>64</v>
      </c>
      <c r="T572" s="1"/>
      <c r="U572" s="1" t="s">
        <v>2755</v>
      </c>
      <c r="V572" s="1" t="s">
        <v>844</v>
      </c>
      <c r="W572" s="2" t="s">
        <v>380</v>
      </c>
      <c r="X572" s="2">
        <v>20255148293</v>
      </c>
      <c r="Y572" s="14">
        <v>46007</v>
      </c>
      <c r="Z572" s="14">
        <v>46015</v>
      </c>
      <c r="AA572" s="14">
        <v>45997</v>
      </c>
      <c r="AB572" s="14">
        <v>46013</v>
      </c>
      <c r="AC572" s="14">
        <v>46022</v>
      </c>
      <c r="AD572" s="2" t="s">
        <v>2965</v>
      </c>
      <c r="AE572" s="2" t="s">
        <v>2967</v>
      </c>
      <c r="AF572" s="2">
        <v>1</v>
      </c>
      <c r="AG572" s="2">
        <v>1.24</v>
      </c>
      <c r="AH572" s="2"/>
      <c r="AI572" s="2" t="s">
        <v>180</v>
      </c>
      <c r="AJ572" s="2"/>
      <c r="AK572" s="14">
        <v>46012</v>
      </c>
      <c r="AL572" s="14">
        <v>46013</v>
      </c>
      <c r="AM572" s="14">
        <v>46013</v>
      </c>
      <c r="AN572" s="2"/>
      <c r="AO572" s="2">
        <v>6480150</v>
      </c>
      <c r="AP572" s="14">
        <v>46014</v>
      </c>
      <c r="AQ572" s="14">
        <v>46022</v>
      </c>
      <c r="AR572" s="15" t="s">
        <v>3784</v>
      </c>
      <c r="AS572" s="2"/>
      <c r="AT572" s="44">
        <v>52779</v>
      </c>
      <c r="AV572" s="14">
        <v>46031</v>
      </c>
      <c r="AW572" s="14">
        <v>46031</v>
      </c>
      <c r="AY572" s="2">
        <v>7422181</v>
      </c>
      <c r="AZ572" s="5">
        <v>46063</v>
      </c>
      <c r="BA572" s="1">
        <v>2125715</v>
      </c>
      <c r="BB572" s="2">
        <v>382629</v>
      </c>
      <c r="BC572" s="5">
        <v>46063</v>
      </c>
      <c r="BD572" s="5">
        <v>46063</v>
      </c>
      <c r="BF572" s="5">
        <v>46064</v>
      </c>
      <c r="BG572" s="5">
        <v>46086</v>
      </c>
      <c r="BH572" s="1" t="s">
        <v>4033</v>
      </c>
      <c r="BI572" s="1" t="s">
        <v>4033</v>
      </c>
      <c r="BQ572" s="14">
        <v>46031</v>
      </c>
      <c r="BR572" s="5">
        <v>46062</v>
      </c>
    </row>
    <row r="573" spans="1:70" ht="18" customHeight="1" x14ac:dyDescent="0.3">
      <c r="A573" s="2">
        <v>573</v>
      </c>
      <c r="B573" s="8" t="s">
        <v>3062</v>
      </c>
      <c r="C573" s="8" t="s">
        <v>3063</v>
      </c>
      <c r="D573" s="8" t="s">
        <v>3064</v>
      </c>
      <c r="E573" s="2" t="s">
        <v>840</v>
      </c>
      <c r="F573" s="8" t="s">
        <v>225</v>
      </c>
      <c r="G573" s="8" t="s">
        <v>3050</v>
      </c>
      <c r="H573" s="8" t="s">
        <v>3065</v>
      </c>
      <c r="I573" s="83">
        <v>52583</v>
      </c>
      <c r="J573" s="2" t="s">
        <v>142</v>
      </c>
      <c r="K573" s="2" t="s">
        <v>126</v>
      </c>
      <c r="L573" s="2" t="s">
        <v>854</v>
      </c>
      <c r="M573" s="134">
        <v>46017</v>
      </c>
      <c r="N573" s="56" t="s">
        <v>4035</v>
      </c>
      <c r="Q573" s="67">
        <f t="shared" si="67"/>
        <v>4</v>
      </c>
      <c r="R573" s="29">
        <f t="shared" si="63"/>
        <v>65</v>
      </c>
      <c r="T573" s="1"/>
      <c r="U573" s="8" t="s">
        <v>3066</v>
      </c>
      <c r="V573" s="1" t="s">
        <v>844</v>
      </c>
      <c r="W573" s="2" t="s">
        <v>380</v>
      </c>
      <c r="X573" s="2">
        <v>20255150625</v>
      </c>
      <c r="Y573" s="14">
        <v>46013</v>
      </c>
      <c r="Z573" s="14">
        <v>46020</v>
      </c>
      <c r="AA573" s="14">
        <v>46017</v>
      </c>
      <c r="AB573" s="14">
        <v>46017</v>
      </c>
      <c r="AC573" s="14">
        <v>46021</v>
      </c>
      <c r="AD573" s="2">
        <v>61850669194</v>
      </c>
      <c r="AE573" s="2" t="s">
        <v>3067</v>
      </c>
      <c r="AF573" s="2">
        <v>4</v>
      </c>
      <c r="AG573" s="2">
        <v>1083</v>
      </c>
      <c r="AH573" s="2"/>
      <c r="AI573" s="2" t="s">
        <v>180</v>
      </c>
      <c r="AJ573" s="2"/>
      <c r="AK573" s="14">
        <v>46015</v>
      </c>
      <c r="AL573" s="14">
        <v>46015</v>
      </c>
      <c r="AM573" s="14">
        <v>46017</v>
      </c>
      <c r="AN573" s="2"/>
      <c r="AO573" s="2">
        <v>6563342</v>
      </c>
      <c r="AP573" s="14">
        <v>46018</v>
      </c>
      <c r="AQ573" s="14">
        <v>46021</v>
      </c>
      <c r="AR573" s="15" t="s">
        <v>3768</v>
      </c>
      <c r="AS573" s="2"/>
      <c r="AT573" s="44">
        <v>52648</v>
      </c>
      <c r="AV573" s="14">
        <v>46022</v>
      </c>
      <c r="AW573" s="14">
        <v>46024</v>
      </c>
      <c r="AY573" s="2">
        <v>7750503</v>
      </c>
      <c r="AZ573" s="5">
        <v>46079</v>
      </c>
      <c r="BA573" s="1">
        <v>10307320</v>
      </c>
      <c r="BB573" s="2">
        <v>1855318</v>
      </c>
      <c r="BC573" s="5">
        <v>46079</v>
      </c>
      <c r="BD573" s="14">
        <v>46079</v>
      </c>
      <c r="BF573" s="5">
        <v>46080</v>
      </c>
      <c r="BG573" s="5">
        <v>46086</v>
      </c>
      <c r="BH573" s="1" t="s">
        <v>4033</v>
      </c>
      <c r="BI573" s="1" t="s">
        <v>4033</v>
      </c>
      <c r="BQ573" s="14">
        <v>46024</v>
      </c>
      <c r="BR573" s="5">
        <v>46078</v>
      </c>
    </row>
    <row r="574" spans="1:70" ht="18" customHeight="1" x14ac:dyDescent="0.3">
      <c r="A574" s="2">
        <v>574</v>
      </c>
      <c r="B574" s="7">
        <v>7067089</v>
      </c>
      <c r="C574" s="111">
        <v>46009</v>
      </c>
      <c r="D574" s="2">
        <v>46540</v>
      </c>
      <c r="E574" s="2" t="s">
        <v>840</v>
      </c>
      <c r="F574" s="8" t="s">
        <v>224</v>
      </c>
      <c r="G574" s="8" t="s">
        <v>3079</v>
      </c>
      <c r="H574" s="8" t="s">
        <v>201</v>
      </c>
      <c r="I574" s="83">
        <v>52585</v>
      </c>
      <c r="J574" s="2" t="s">
        <v>142</v>
      </c>
      <c r="K574" s="2" t="s">
        <v>126</v>
      </c>
      <c r="L574" s="2" t="s">
        <v>854</v>
      </c>
      <c r="M574" s="134">
        <v>46026</v>
      </c>
      <c r="N574" s="126" t="s">
        <v>4036</v>
      </c>
      <c r="O574" s="1">
        <v>928.86</v>
      </c>
      <c r="Q574" s="67">
        <f t="shared" si="67"/>
        <v>5</v>
      </c>
      <c r="R574" s="29">
        <f t="shared" si="63"/>
        <v>55</v>
      </c>
      <c r="T574" s="1">
        <v>1266</v>
      </c>
      <c r="U574" s="1" t="s">
        <v>3080</v>
      </c>
      <c r="V574" s="1" t="s">
        <v>844</v>
      </c>
      <c r="W574" s="2" t="s">
        <v>380</v>
      </c>
      <c r="X574" s="2">
        <v>20255150636</v>
      </c>
      <c r="Y574" s="14">
        <v>46013</v>
      </c>
      <c r="Z574" s="14">
        <v>46020</v>
      </c>
      <c r="AA574" s="14">
        <v>46026</v>
      </c>
      <c r="AB574" s="14">
        <v>46026</v>
      </c>
      <c r="AC574" s="14">
        <v>46031</v>
      </c>
      <c r="AD574" s="2">
        <v>23210616270</v>
      </c>
      <c r="AE574" s="2" t="s">
        <v>3081</v>
      </c>
      <c r="AF574" s="2">
        <v>2</v>
      </c>
      <c r="AG574" s="2">
        <v>411</v>
      </c>
      <c r="AH574" s="2"/>
      <c r="AI574" s="2" t="s">
        <v>180</v>
      </c>
      <c r="AJ574" s="2"/>
      <c r="AK574" s="14">
        <v>46017</v>
      </c>
      <c r="AL574" s="14">
        <v>46017</v>
      </c>
      <c r="AM574" s="14">
        <v>46017</v>
      </c>
      <c r="AN574" s="2"/>
      <c r="AO574" s="2">
        <v>6709952</v>
      </c>
      <c r="AP574" s="14">
        <v>46027</v>
      </c>
      <c r="AQ574" s="14">
        <v>46031</v>
      </c>
      <c r="AR574" s="15" t="s">
        <v>3811</v>
      </c>
      <c r="AS574" s="2"/>
      <c r="AT574" s="44">
        <v>52782</v>
      </c>
      <c r="AV574" s="14">
        <v>46031</v>
      </c>
      <c r="AW574" s="14">
        <v>46031</v>
      </c>
      <c r="AY574" s="142">
        <v>7750502</v>
      </c>
      <c r="AZ574" s="130">
        <v>46079</v>
      </c>
      <c r="BA574" s="1">
        <v>4277026</v>
      </c>
      <c r="BB574" s="2">
        <v>769865</v>
      </c>
      <c r="BC574" s="5">
        <v>46079</v>
      </c>
      <c r="BD574" s="14">
        <v>46083</v>
      </c>
      <c r="BF574" s="5">
        <v>46085</v>
      </c>
      <c r="BG574" s="5">
        <v>46086</v>
      </c>
      <c r="BH574" s="1" t="s">
        <v>4033</v>
      </c>
      <c r="BI574" s="1" t="s">
        <v>4033</v>
      </c>
      <c r="BQ574" s="14">
        <v>46031</v>
      </c>
      <c r="BR574" s="5">
        <v>46078</v>
      </c>
    </row>
    <row r="575" spans="1:70" ht="18" customHeight="1" x14ac:dyDescent="0.3">
      <c r="A575" s="2">
        <v>575</v>
      </c>
      <c r="B575" s="7">
        <v>7009699</v>
      </c>
      <c r="C575" s="111">
        <v>45929</v>
      </c>
      <c r="D575" s="2">
        <v>91020</v>
      </c>
      <c r="E575" s="2" t="s">
        <v>840</v>
      </c>
      <c r="F575" s="8" t="s">
        <v>2525</v>
      </c>
      <c r="G575" s="8" t="s">
        <v>3241</v>
      </c>
      <c r="H575" s="8" t="s">
        <v>451</v>
      </c>
      <c r="I575" s="83">
        <v>52914</v>
      </c>
      <c r="J575" s="2" t="s">
        <v>142</v>
      </c>
      <c r="K575" s="2" t="s">
        <v>126</v>
      </c>
      <c r="L575" s="2" t="s">
        <v>854</v>
      </c>
      <c r="M575" s="134">
        <v>46040</v>
      </c>
      <c r="N575" s="56" t="s">
        <v>4037</v>
      </c>
      <c r="Q575" s="67">
        <f t="shared" si="67"/>
        <v>4</v>
      </c>
      <c r="R575" s="29">
        <f t="shared" si="63"/>
        <v>42</v>
      </c>
      <c r="T575" s="1"/>
      <c r="U575" s="1" t="s">
        <v>3421</v>
      </c>
      <c r="V575" s="1" t="s">
        <v>844</v>
      </c>
      <c r="W575" s="2" t="s">
        <v>380</v>
      </c>
      <c r="X575" s="2" t="s">
        <v>3422</v>
      </c>
      <c r="Y575" s="14">
        <v>46036</v>
      </c>
      <c r="Z575" s="14">
        <v>46043</v>
      </c>
      <c r="AA575" s="14">
        <v>46040</v>
      </c>
      <c r="AB575" s="14">
        <v>46040</v>
      </c>
      <c r="AC575" s="14">
        <v>46044</v>
      </c>
      <c r="AD575" s="2">
        <v>17615752671</v>
      </c>
      <c r="AE575" s="2" t="s">
        <v>3423</v>
      </c>
      <c r="AF575" s="2">
        <v>1</v>
      </c>
      <c r="AG575" s="2">
        <v>229</v>
      </c>
      <c r="AH575" s="2"/>
      <c r="AI575" s="2" t="s">
        <v>629</v>
      </c>
      <c r="AJ575" s="2"/>
      <c r="AK575" s="14">
        <v>46040</v>
      </c>
      <c r="AL575" s="14">
        <v>46041</v>
      </c>
      <c r="AM575" s="14">
        <v>46041</v>
      </c>
      <c r="AN575" s="2"/>
      <c r="AO575" s="2">
        <v>6992807</v>
      </c>
      <c r="AP575" s="14">
        <v>46042</v>
      </c>
      <c r="AQ575" s="14">
        <v>46044</v>
      </c>
      <c r="AR575" s="15" t="s">
        <v>3912</v>
      </c>
      <c r="AS575" s="2"/>
      <c r="AT575" s="44">
        <v>53073</v>
      </c>
      <c r="AV575" s="14">
        <v>46051</v>
      </c>
      <c r="AW575" s="14">
        <v>46052</v>
      </c>
      <c r="AY575" s="2">
        <v>7422183</v>
      </c>
      <c r="AZ575" s="5">
        <v>46063</v>
      </c>
      <c r="BA575" s="1">
        <v>8314677</v>
      </c>
      <c r="BB575" s="2">
        <v>1496642</v>
      </c>
      <c r="BC575" s="5">
        <v>46063</v>
      </c>
      <c r="BD575" s="5">
        <v>46063</v>
      </c>
      <c r="BF575" s="5">
        <v>46066</v>
      </c>
      <c r="BG575" s="5">
        <v>46086</v>
      </c>
      <c r="BH575" s="1" t="s">
        <v>4033</v>
      </c>
      <c r="BI575" s="1" t="s">
        <v>4033</v>
      </c>
      <c r="BQ575" s="14">
        <v>46052</v>
      </c>
      <c r="BR575" s="5">
        <v>46062</v>
      </c>
    </row>
    <row r="576" spans="1:70" ht="18" customHeight="1" x14ac:dyDescent="0.3">
      <c r="A576" s="2">
        <v>576</v>
      </c>
      <c r="B576" s="8" t="s">
        <v>3725</v>
      </c>
      <c r="C576" s="75" t="s">
        <v>3726</v>
      </c>
      <c r="D576" s="8" t="s">
        <v>3727</v>
      </c>
      <c r="E576" s="2" t="s">
        <v>840</v>
      </c>
      <c r="F576" s="8" t="s">
        <v>3728</v>
      </c>
      <c r="G576" s="8" t="s">
        <v>3729</v>
      </c>
      <c r="H576" s="8" t="s">
        <v>1719</v>
      </c>
      <c r="I576" s="83">
        <v>53161</v>
      </c>
      <c r="J576" s="2" t="s">
        <v>142</v>
      </c>
      <c r="K576" s="2" t="s">
        <v>126</v>
      </c>
      <c r="L576" s="2" t="s">
        <v>854</v>
      </c>
      <c r="M576" s="134">
        <v>46058</v>
      </c>
      <c r="N576" s="56" t="s">
        <v>4047</v>
      </c>
      <c r="Q576" s="67">
        <f t="shared" si="67"/>
        <v>3</v>
      </c>
      <c r="R576" s="29">
        <f t="shared" si="63"/>
        <v>28</v>
      </c>
      <c r="T576" s="1"/>
      <c r="U576" s="8" t="s">
        <v>3730</v>
      </c>
      <c r="V576" s="1" t="s">
        <v>384</v>
      </c>
      <c r="W576" s="1" t="s">
        <v>421</v>
      </c>
      <c r="X576" s="2">
        <v>20265012963</v>
      </c>
      <c r="Y576" s="14">
        <v>46055</v>
      </c>
      <c r="Z576" s="14">
        <v>46059</v>
      </c>
      <c r="AA576" s="14">
        <v>46057</v>
      </c>
      <c r="AB576" s="14">
        <v>46057</v>
      </c>
      <c r="AC576" s="14">
        <v>46060</v>
      </c>
      <c r="AD576" s="2">
        <v>17622274674</v>
      </c>
      <c r="AE576" s="2" t="s">
        <v>3731</v>
      </c>
      <c r="AF576" s="2">
        <v>6</v>
      </c>
      <c r="AG576" s="2">
        <v>1680.5</v>
      </c>
      <c r="AH576" s="2"/>
      <c r="AI576" s="2" t="s">
        <v>180</v>
      </c>
      <c r="AJ576" s="2"/>
      <c r="AK576" s="14">
        <v>46056</v>
      </c>
      <c r="AL576" s="14">
        <v>46057</v>
      </c>
      <c r="AM576" s="14">
        <v>46057</v>
      </c>
      <c r="AN576" s="2"/>
      <c r="AO576" s="2">
        <v>7334321</v>
      </c>
      <c r="AP576" s="14">
        <v>46058</v>
      </c>
      <c r="AQ576" s="14">
        <v>46060</v>
      </c>
      <c r="AS576" s="2"/>
      <c r="AT576" s="44">
        <v>53219</v>
      </c>
      <c r="AV576" s="14">
        <v>46060</v>
      </c>
      <c r="AW576" s="14">
        <v>46063</v>
      </c>
      <c r="AY576" s="2">
        <v>7594170</v>
      </c>
      <c r="AZ576" s="5">
        <v>46071</v>
      </c>
      <c r="BA576" s="1">
        <v>16127386</v>
      </c>
      <c r="BB576" s="2">
        <v>2902929</v>
      </c>
      <c r="BC576" s="5">
        <v>46071</v>
      </c>
      <c r="BD576" s="14">
        <v>46071</v>
      </c>
      <c r="BF576" s="5">
        <v>46072</v>
      </c>
      <c r="BG576" s="5">
        <v>46088</v>
      </c>
      <c r="BH576" s="1" t="s">
        <v>4046</v>
      </c>
      <c r="BI576" s="1" t="s">
        <v>273</v>
      </c>
      <c r="BQ576" s="14">
        <v>46063</v>
      </c>
      <c r="BR576" s="1"/>
    </row>
    <row r="577" spans="1:70" ht="18" customHeight="1" x14ac:dyDescent="0.3">
      <c r="A577" s="2">
        <v>577</v>
      </c>
      <c r="B577" s="8" t="s">
        <v>3894</v>
      </c>
      <c r="C577" s="75" t="s">
        <v>3895</v>
      </c>
      <c r="D577" s="8" t="s">
        <v>3896</v>
      </c>
      <c r="E577" s="2" t="s">
        <v>840</v>
      </c>
      <c r="F577" s="8" t="s">
        <v>3890</v>
      </c>
      <c r="G577" s="8" t="s">
        <v>3891</v>
      </c>
      <c r="H577" s="8" t="s">
        <v>3897</v>
      </c>
      <c r="I577" s="83">
        <v>53307</v>
      </c>
      <c r="J577" s="2" t="s">
        <v>1631</v>
      </c>
      <c r="K577" s="2" t="s">
        <v>126</v>
      </c>
      <c r="L577" s="2" t="s">
        <v>854</v>
      </c>
      <c r="M577" s="134">
        <v>46069</v>
      </c>
      <c r="N577" s="56" t="s">
        <v>4049</v>
      </c>
      <c r="Q577" s="67">
        <f t="shared" si="67"/>
        <v>16</v>
      </c>
      <c r="R577" s="29">
        <f t="shared" si="63"/>
        <v>3</v>
      </c>
      <c r="T577" s="1"/>
      <c r="U577" s="8" t="s">
        <v>3898</v>
      </c>
      <c r="V577" s="2" t="s">
        <v>2975</v>
      </c>
      <c r="W577" s="2" t="s">
        <v>2976</v>
      </c>
      <c r="X577" s="2">
        <v>20265017081</v>
      </c>
      <c r="Y577" s="14">
        <v>46064</v>
      </c>
      <c r="Z577" s="14">
        <v>46071</v>
      </c>
      <c r="AA577" s="14">
        <v>46055</v>
      </c>
      <c r="AB577" s="14">
        <v>46069</v>
      </c>
      <c r="AC577" s="14">
        <v>46085</v>
      </c>
      <c r="AD577" s="2" t="s">
        <v>3899</v>
      </c>
      <c r="AE577" s="2">
        <v>76030165538</v>
      </c>
      <c r="AF577" s="2">
        <v>13</v>
      </c>
      <c r="AG577" s="2">
        <v>20.43</v>
      </c>
      <c r="AH577" s="2"/>
      <c r="AI577" s="2" t="s">
        <v>629</v>
      </c>
      <c r="AJ577" s="2"/>
      <c r="AK577" s="14">
        <v>46066</v>
      </c>
      <c r="AL577" s="14">
        <v>46067</v>
      </c>
      <c r="AM577" s="14">
        <v>46067</v>
      </c>
      <c r="AN577" s="2"/>
      <c r="AO577" s="2">
        <v>7608841</v>
      </c>
      <c r="AP577" s="14">
        <v>46071</v>
      </c>
      <c r="AQ577" s="14">
        <v>46085</v>
      </c>
      <c r="AR577" s="15" t="s">
        <v>4032</v>
      </c>
      <c r="AS577" s="2"/>
      <c r="AT577" s="44">
        <v>53387</v>
      </c>
      <c r="AV577" s="14">
        <v>46074</v>
      </c>
      <c r="AW577" s="14">
        <v>46075</v>
      </c>
      <c r="AY577" s="2">
        <v>7875963</v>
      </c>
      <c r="AZ577" s="5">
        <v>46086</v>
      </c>
      <c r="BA577" s="1">
        <v>32258095</v>
      </c>
      <c r="BB577" s="2">
        <v>5806457</v>
      </c>
      <c r="BC577" s="5">
        <v>46086</v>
      </c>
      <c r="BD577" s="14">
        <v>46086</v>
      </c>
      <c r="BF577" s="5">
        <v>46087</v>
      </c>
      <c r="BG577" s="5">
        <v>46088</v>
      </c>
      <c r="BH577" s="8" t="s">
        <v>4048</v>
      </c>
      <c r="BI577" s="1" t="s">
        <v>273</v>
      </c>
      <c r="BQ577" s="14">
        <v>46076</v>
      </c>
      <c r="BR577" s="5">
        <v>46076</v>
      </c>
    </row>
    <row r="578" spans="1:70" ht="18" customHeight="1" x14ac:dyDescent="0.3">
      <c r="A578" s="2">
        <v>578</v>
      </c>
      <c r="B578" s="8" t="s">
        <v>3864</v>
      </c>
      <c r="C578" s="75" t="s">
        <v>3865</v>
      </c>
      <c r="D578" s="8" t="s">
        <v>3866</v>
      </c>
      <c r="E578" s="2" t="s">
        <v>840</v>
      </c>
      <c r="F578" s="8" t="s">
        <v>3867</v>
      </c>
      <c r="G578" s="8" t="s">
        <v>3868</v>
      </c>
      <c r="H578" s="8" t="s">
        <v>3869</v>
      </c>
      <c r="I578" s="83">
        <v>53298</v>
      </c>
      <c r="J578" s="2" t="s">
        <v>1631</v>
      </c>
      <c r="K578" s="2" t="s">
        <v>126</v>
      </c>
      <c r="L578" s="2" t="s">
        <v>854</v>
      </c>
      <c r="M578" s="134">
        <v>46069</v>
      </c>
      <c r="N578" s="56" t="s">
        <v>4075</v>
      </c>
      <c r="Q578" s="67">
        <f t="shared" ref="Q578:Q585" si="68">AQ578-AB578</f>
        <v>16</v>
      </c>
      <c r="R578" s="29">
        <f t="shared" si="63"/>
        <v>5</v>
      </c>
      <c r="T578" s="1">
        <v>1553</v>
      </c>
      <c r="U578" s="8" t="s">
        <v>3870</v>
      </c>
      <c r="V578" s="2" t="s">
        <v>2970</v>
      </c>
      <c r="W578" s="2" t="s">
        <v>2971</v>
      </c>
      <c r="X578" s="2">
        <v>20265017086</v>
      </c>
      <c r="Y578" s="14">
        <v>46064</v>
      </c>
      <c r="Z578" s="14">
        <v>46071</v>
      </c>
      <c r="AA578" s="14">
        <v>46055</v>
      </c>
      <c r="AB578" s="14">
        <v>46069</v>
      </c>
      <c r="AC578" s="14">
        <v>46085</v>
      </c>
      <c r="AD578" s="2" t="s">
        <v>3899</v>
      </c>
      <c r="AE578" s="2">
        <v>76030165545</v>
      </c>
      <c r="AF578" s="2">
        <v>8</v>
      </c>
      <c r="AG578" s="2">
        <v>13.12</v>
      </c>
      <c r="AH578" s="2"/>
      <c r="AI578" s="2" t="s">
        <v>629</v>
      </c>
      <c r="AJ578" s="2"/>
      <c r="AK578" s="14">
        <v>46066</v>
      </c>
      <c r="AL578" s="14">
        <v>46067</v>
      </c>
      <c r="AM578" s="14">
        <v>46067</v>
      </c>
      <c r="AN578" s="2"/>
      <c r="AO578" s="2">
        <v>7559357</v>
      </c>
      <c r="AP578" s="14">
        <v>46069</v>
      </c>
      <c r="AQ578" s="14">
        <v>46085</v>
      </c>
      <c r="AS578" s="2"/>
      <c r="AT578" s="44">
        <v>53368</v>
      </c>
      <c r="AV578" s="14">
        <v>46074</v>
      </c>
      <c r="AW578" s="14">
        <v>46075</v>
      </c>
      <c r="AY578" s="2">
        <v>7875960</v>
      </c>
      <c r="AZ578" s="5">
        <v>46086</v>
      </c>
      <c r="BA578" s="1">
        <v>20996393</v>
      </c>
      <c r="BB578" s="2">
        <v>3779351</v>
      </c>
      <c r="BC578" s="5">
        <v>46086</v>
      </c>
      <c r="BD578" s="14">
        <v>46087</v>
      </c>
      <c r="BF578" s="5">
        <v>46088</v>
      </c>
      <c r="BG578" s="5">
        <v>46090</v>
      </c>
      <c r="BH578" s="1" t="s">
        <v>4074</v>
      </c>
      <c r="BI578" s="1" t="s">
        <v>273</v>
      </c>
      <c r="BQ578" s="2"/>
      <c r="BR578" s="1"/>
    </row>
    <row r="579" spans="1:70" ht="18" customHeight="1" x14ac:dyDescent="0.3">
      <c r="A579" s="2">
        <v>579</v>
      </c>
      <c r="B579" s="7">
        <v>7095288</v>
      </c>
      <c r="C579" s="111">
        <v>46056</v>
      </c>
      <c r="D579" s="2">
        <v>6231</v>
      </c>
      <c r="E579" s="2" t="s">
        <v>840</v>
      </c>
      <c r="F579" s="8" t="s">
        <v>573</v>
      </c>
      <c r="G579" s="8" t="s">
        <v>3871</v>
      </c>
      <c r="H579" s="8" t="s">
        <v>1336</v>
      </c>
      <c r="I579" s="83">
        <v>53300</v>
      </c>
      <c r="J579" s="2" t="s">
        <v>1631</v>
      </c>
      <c r="K579" s="2" t="s">
        <v>126</v>
      </c>
      <c r="L579" s="2" t="s">
        <v>854</v>
      </c>
      <c r="M579" s="134">
        <v>46069</v>
      </c>
      <c r="N579" s="56" t="s">
        <v>4076</v>
      </c>
      <c r="Q579" s="67">
        <f t="shared" si="68"/>
        <v>16</v>
      </c>
      <c r="R579" s="29">
        <f t="shared" si="63"/>
        <v>5</v>
      </c>
      <c r="T579" s="1">
        <v>42</v>
      </c>
      <c r="U579" s="1" t="s">
        <v>3872</v>
      </c>
      <c r="V579" s="2" t="s">
        <v>2970</v>
      </c>
      <c r="W579" s="2" t="s">
        <v>2971</v>
      </c>
      <c r="X579" s="2">
        <v>20265017078</v>
      </c>
      <c r="Y579" s="14">
        <v>46064</v>
      </c>
      <c r="Z579" s="14">
        <v>46071</v>
      </c>
      <c r="AA579" s="14">
        <v>46055</v>
      </c>
      <c r="AB579" s="14">
        <v>46069</v>
      </c>
      <c r="AC579" s="14">
        <v>46085</v>
      </c>
      <c r="AD579" s="2" t="s">
        <v>3899</v>
      </c>
      <c r="AE579" s="2">
        <v>76030165541</v>
      </c>
      <c r="AF579" s="2">
        <v>1</v>
      </c>
      <c r="AG579" s="2">
        <v>37</v>
      </c>
      <c r="AH579" s="2"/>
      <c r="AI579" s="2" t="s">
        <v>629</v>
      </c>
      <c r="AJ579" s="2"/>
      <c r="AK579" s="14">
        <v>46066</v>
      </c>
      <c r="AL579" s="14">
        <v>46067</v>
      </c>
      <c r="AM579" s="14">
        <v>46067</v>
      </c>
      <c r="AN579" s="2"/>
      <c r="AO579" s="2">
        <v>7559680</v>
      </c>
      <c r="AP579" s="14">
        <v>46069</v>
      </c>
      <c r="AQ579" s="14">
        <v>46085</v>
      </c>
      <c r="AS579" s="2"/>
      <c r="AT579" s="44">
        <v>53369</v>
      </c>
      <c r="AV579" s="14">
        <v>46074</v>
      </c>
      <c r="AW579" s="14">
        <v>46075</v>
      </c>
      <c r="AY579" s="2">
        <v>7875959</v>
      </c>
      <c r="AZ579" s="5">
        <v>46086</v>
      </c>
      <c r="BA579" s="1">
        <v>572629</v>
      </c>
      <c r="BB579" s="2">
        <v>103073</v>
      </c>
      <c r="BC579" s="5">
        <v>46086</v>
      </c>
      <c r="BD579" s="14">
        <v>46087</v>
      </c>
      <c r="BF579" s="5">
        <v>46088</v>
      </c>
      <c r="BG579" s="5">
        <v>46090</v>
      </c>
      <c r="BH579" s="1" t="s">
        <v>4074</v>
      </c>
      <c r="BI579" s="1" t="s">
        <v>273</v>
      </c>
      <c r="BQ579" s="2"/>
      <c r="BR579" s="1"/>
    </row>
    <row r="580" spans="1:70" ht="18" customHeight="1" thickBot="1" x14ac:dyDescent="0.35">
      <c r="A580" s="2">
        <v>580</v>
      </c>
      <c r="B580" s="7">
        <v>7095294</v>
      </c>
      <c r="C580" s="111">
        <v>46055</v>
      </c>
      <c r="D580" s="2">
        <v>87234</v>
      </c>
      <c r="E580" s="2" t="s">
        <v>840</v>
      </c>
      <c r="F580" s="8" t="s">
        <v>219</v>
      </c>
      <c r="G580" s="8" t="s">
        <v>3995</v>
      </c>
      <c r="H580" s="8" t="s">
        <v>1155</v>
      </c>
      <c r="I580" s="83">
        <v>53303</v>
      </c>
      <c r="J580" s="2" t="s">
        <v>1631</v>
      </c>
      <c r="K580" s="2" t="s">
        <v>126</v>
      </c>
      <c r="L580" s="2" t="s">
        <v>854</v>
      </c>
      <c r="M580" s="134">
        <v>46069</v>
      </c>
      <c r="N580" s="56" t="s">
        <v>4085</v>
      </c>
      <c r="Q580" s="67">
        <f t="shared" si="68"/>
        <v>16</v>
      </c>
      <c r="R580" s="29">
        <f t="shared" si="63"/>
        <v>7</v>
      </c>
      <c r="T580" s="1"/>
      <c r="U580" s="1" t="s">
        <v>3875</v>
      </c>
      <c r="V580" s="1" t="s">
        <v>2087</v>
      </c>
      <c r="W580" s="79" t="s">
        <v>948</v>
      </c>
      <c r="X580" s="2">
        <v>20265017075</v>
      </c>
      <c r="Y580" s="14">
        <v>46064</v>
      </c>
      <c r="Z580" s="14">
        <v>46071</v>
      </c>
      <c r="AA580" s="14">
        <v>46055</v>
      </c>
      <c r="AB580" s="14">
        <v>46069</v>
      </c>
      <c r="AC580" s="14">
        <v>46085</v>
      </c>
      <c r="AD580" s="2" t="s">
        <v>3899</v>
      </c>
      <c r="AE580" s="2">
        <v>76030165547</v>
      </c>
      <c r="AF580" s="2">
        <v>3</v>
      </c>
      <c r="AG580" s="2">
        <v>5.3</v>
      </c>
      <c r="AH580" s="2"/>
      <c r="AI580" s="2" t="s">
        <v>629</v>
      </c>
      <c r="AJ580" s="2"/>
      <c r="AK580" s="14">
        <v>46066</v>
      </c>
      <c r="AL580" s="14">
        <v>46067</v>
      </c>
      <c r="AM580" s="14">
        <v>46067</v>
      </c>
      <c r="AN580" s="2"/>
      <c r="AO580" s="2">
        <v>7605866</v>
      </c>
      <c r="AP580" s="14">
        <v>46071</v>
      </c>
      <c r="AQ580" s="14">
        <v>46085</v>
      </c>
      <c r="AR580" s="15" t="s">
        <v>4012</v>
      </c>
      <c r="AS580" s="2"/>
      <c r="AT580" s="44">
        <v>53375</v>
      </c>
      <c r="AV580" s="14">
        <v>46074</v>
      </c>
      <c r="AW580" s="14">
        <v>46075</v>
      </c>
      <c r="AY580" s="108">
        <v>7951132</v>
      </c>
      <c r="AZ580" s="5">
        <v>46090</v>
      </c>
      <c r="BA580" s="1">
        <v>8069145</v>
      </c>
      <c r="BB580" s="2">
        <v>1452446</v>
      </c>
      <c r="BC580" s="5">
        <v>46090</v>
      </c>
      <c r="BD580" s="14">
        <v>46091</v>
      </c>
      <c r="BF580" s="5">
        <v>46091</v>
      </c>
      <c r="BG580" s="5">
        <v>46092</v>
      </c>
      <c r="BH580" s="1" t="s">
        <v>280</v>
      </c>
      <c r="BI580" s="1" t="s">
        <v>280</v>
      </c>
      <c r="BQ580" s="14">
        <v>46075</v>
      </c>
      <c r="BR580" s="5">
        <v>46086</v>
      </c>
    </row>
    <row r="581" spans="1:70" ht="18" customHeight="1" x14ac:dyDescent="0.3">
      <c r="A581" s="2">
        <v>581</v>
      </c>
      <c r="B581" s="8" t="s">
        <v>3876</v>
      </c>
      <c r="C581" s="75" t="s">
        <v>3877</v>
      </c>
      <c r="D581" s="8" t="s">
        <v>3878</v>
      </c>
      <c r="E581" s="2" t="s">
        <v>840</v>
      </c>
      <c r="F581" s="8" t="s">
        <v>225</v>
      </c>
      <c r="G581" s="8" t="s">
        <v>3862</v>
      </c>
      <c r="H581" s="8" t="s">
        <v>3879</v>
      </c>
      <c r="I581" s="83">
        <v>53304</v>
      </c>
      <c r="J581" s="2" t="s">
        <v>1631</v>
      </c>
      <c r="K581" s="2" t="s">
        <v>126</v>
      </c>
      <c r="L581" s="2" t="s">
        <v>854</v>
      </c>
      <c r="M581" s="134">
        <v>46069</v>
      </c>
      <c r="N581" s="56" t="s">
        <v>4086</v>
      </c>
      <c r="Q581" s="67">
        <f t="shared" si="68"/>
        <v>16</v>
      </c>
      <c r="R581" s="29">
        <f t="shared" si="63"/>
        <v>7</v>
      </c>
      <c r="T581" s="1"/>
      <c r="U581" s="8" t="s">
        <v>3880</v>
      </c>
      <c r="V581" s="1" t="s">
        <v>2087</v>
      </c>
      <c r="W581" s="79" t="s">
        <v>948</v>
      </c>
      <c r="X581" s="2">
        <v>20265017077</v>
      </c>
      <c r="Y581" s="14">
        <v>46064</v>
      </c>
      <c r="Z581" s="14">
        <v>46071</v>
      </c>
      <c r="AA581" s="14">
        <v>46055</v>
      </c>
      <c r="AB581" s="14">
        <v>46069</v>
      </c>
      <c r="AC581" s="14">
        <v>46085</v>
      </c>
      <c r="AD581" s="2" t="s">
        <v>3899</v>
      </c>
      <c r="AE581" s="2">
        <v>76030165542</v>
      </c>
      <c r="AF581" s="2">
        <v>9</v>
      </c>
      <c r="AG581" s="2">
        <v>15.91</v>
      </c>
      <c r="AH581" s="2"/>
      <c r="AI581" s="2" t="s">
        <v>629</v>
      </c>
      <c r="AJ581" s="2"/>
      <c r="AK581" s="14">
        <v>46066</v>
      </c>
      <c r="AL581" s="14">
        <v>46067</v>
      </c>
      <c r="AM581" s="14">
        <v>46067</v>
      </c>
      <c r="AN581" s="2"/>
      <c r="AO581" s="2">
        <v>7606652</v>
      </c>
      <c r="AP581" s="14">
        <v>46071</v>
      </c>
      <c r="AQ581" s="14">
        <v>46085</v>
      </c>
      <c r="AR581" s="15" t="s">
        <v>4013</v>
      </c>
      <c r="AS581" s="2"/>
      <c r="AT581" s="44">
        <v>53377</v>
      </c>
      <c r="AV581" s="14">
        <v>46074</v>
      </c>
      <c r="AW581" s="14">
        <v>46075</v>
      </c>
      <c r="AY581" s="2">
        <v>7950404</v>
      </c>
      <c r="AZ581" s="5">
        <v>46090</v>
      </c>
      <c r="BA581" s="1">
        <v>25360170</v>
      </c>
      <c r="BB581" s="2">
        <v>4564831</v>
      </c>
      <c r="BC581" s="5">
        <v>46090</v>
      </c>
      <c r="BD581" s="14">
        <v>46090</v>
      </c>
      <c r="BF581" s="5">
        <v>46091</v>
      </c>
      <c r="BG581" s="5">
        <v>46092</v>
      </c>
      <c r="BH581" s="1" t="s">
        <v>280</v>
      </c>
      <c r="BI581" s="1" t="s">
        <v>280</v>
      </c>
      <c r="BQ581" s="5">
        <v>46075</v>
      </c>
      <c r="BR581" s="14">
        <v>46086</v>
      </c>
    </row>
    <row r="582" spans="1:70" ht="18" customHeight="1" x14ac:dyDescent="0.3">
      <c r="A582" s="2">
        <v>582</v>
      </c>
      <c r="B582" s="8" t="s">
        <v>3057</v>
      </c>
      <c r="C582" s="8" t="s">
        <v>3058</v>
      </c>
      <c r="D582" s="8" t="s">
        <v>1623</v>
      </c>
      <c r="E582" s="2" t="s">
        <v>840</v>
      </c>
      <c r="F582" s="8" t="s">
        <v>1432</v>
      </c>
      <c r="G582" s="8" t="s">
        <v>3059</v>
      </c>
      <c r="H582" s="8" t="s">
        <v>1626</v>
      </c>
      <c r="I582" s="83">
        <v>52581</v>
      </c>
      <c r="J582" s="2" t="s">
        <v>142</v>
      </c>
      <c r="K582" s="2" t="s">
        <v>126</v>
      </c>
      <c r="L582" s="2" t="s">
        <v>854</v>
      </c>
      <c r="M582" s="134">
        <v>46020</v>
      </c>
      <c r="N582" s="56" t="s">
        <v>4087</v>
      </c>
      <c r="Q582" s="67">
        <f t="shared" si="68"/>
        <v>2</v>
      </c>
      <c r="R582" s="29">
        <f t="shared" si="63"/>
        <v>70</v>
      </c>
      <c r="T582" s="1"/>
      <c r="U582" s="8" t="s">
        <v>3060</v>
      </c>
      <c r="V582" s="1" t="s">
        <v>844</v>
      </c>
      <c r="W582" s="2" t="s">
        <v>380</v>
      </c>
      <c r="X582" s="2">
        <v>20255150638</v>
      </c>
      <c r="Y582" s="14">
        <v>46013</v>
      </c>
      <c r="Z582" s="14">
        <v>46020</v>
      </c>
      <c r="AA582" s="14">
        <v>46020</v>
      </c>
      <c r="AB582" s="14">
        <v>46020</v>
      </c>
      <c r="AC582" s="14">
        <v>46022</v>
      </c>
      <c r="AD582" s="2">
        <v>61850669205</v>
      </c>
      <c r="AE582" s="2" t="s">
        <v>3061</v>
      </c>
      <c r="AF582" s="2">
        <v>4</v>
      </c>
      <c r="AG582" s="2">
        <v>996</v>
      </c>
      <c r="AH582" s="2"/>
      <c r="AI582" s="2" t="s">
        <v>180</v>
      </c>
      <c r="AJ582" s="2"/>
      <c r="AK582" s="14">
        <v>46015</v>
      </c>
      <c r="AL582" s="14">
        <v>46015</v>
      </c>
      <c r="AM582" s="2"/>
      <c r="AN582" s="2"/>
      <c r="AO582" s="2">
        <v>6602331</v>
      </c>
      <c r="AP582" s="14">
        <v>46020</v>
      </c>
      <c r="AQ582" s="14">
        <v>46022</v>
      </c>
      <c r="AR582" s="15" t="s">
        <v>3809</v>
      </c>
      <c r="AS582" s="2"/>
      <c r="AT582" s="44">
        <v>52674</v>
      </c>
      <c r="AV582" s="14">
        <v>45658</v>
      </c>
      <c r="AW582" s="14">
        <v>46027</v>
      </c>
      <c r="AY582" s="2">
        <v>7950433</v>
      </c>
      <c r="AZ582" s="5">
        <v>46090</v>
      </c>
      <c r="BA582" s="1">
        <v>10762375</v>
      </c>
      <c r="BB582" s="2">
        <v>1937228</v>
      </c>
      <c r="BC582" s="5">
        <v>46090</v>
      </c>
      <c r="BD582" s="14">
        <v>46090</v>
      </c>
      <c r="BF582" s="5">
        <v>46091</v>
      </c>
      <c r="BG582" s="5">
        <v>46092</v>
      </c>
      <c r="BH582" s="1" t="s">
        <v>280</v>
      </c>
      <c r="BI582" s="1" t="s">
        <v>280</v>
      </c>
      <c r="BQ582" s="14">
        <v>46027</v>
      </c>
      <c r="BR582" s="5">
        <v>46088</v>
      </c>
    </row>
    <row r="583" spans="1:70" ht="18" customHeight="1" x14ac:dyDescent="0.3">
      <c r="A583" s="2">
        <v>583</v>
      </c>
      <c r="B583" s="8" t="s">
        <v>3860</v>
      </c>
      <c r="C583" s="75" t="s">
        <v>3861</v>
      </c>
      <c r="D583" s="8" t="s">
        <v>1732</v>
      </c>
      <c r="E583" s="2" t="s">
        <v>840</v>
      </c>
      <c r="F583" s="8" t="s">
        <v>225</v>
      </c>
      <c r="G583" s="8" t="s">
        <v>3862</v>
      </c>
      <c r="H583" s="8" t="s">
        <v>1734</v>
      </c>
      <c r="I583" s="83">
        <v>53297</v>
      </c>
      <c r="J583" s="2" t="s">
        <v>1631</v>
      </c>
      <c r="K583" s="2" t="s">
        <v>126</v>
      </c>
      <c r="L583" s="2" t="s">
        <v>854</v>
      </c>
      <c r="M583" s="134">
        <v>46069</v>
      </c>
      <c r="N583" s="56" t="s">
        <v>4088</v>
      </c>
      <c r="Q583" s="67">
        <f t="shared" si="68"/>
        <v>16</v>
      </c>
      <c r="R583" s="29">
        <f t="shared" si="63"/>
        <v>7</v>
      </c>
      <c r="T583" s="1"/>
      <c r="U583" s="8" t="s">
        <v>3863</v>
      </c>
      <c r="V583" s="1" t="s">
        <v>844</v>
      </c>
      <c r="W583" s="2" t="s">
        <v>380</v>
      </c>
      <c r="X583" s="2">
        <v>20265017080</v>
      </c>
      <c r="Y583" s="14">
        <v>46064</v>
      </c>
      <c r="Z583" s="14">
        <v>46071</v>
      </c>
      <c r="AA583" s="14">
        <v>46055</v>
      </c>
      <c r="AB583" s="14">
        <v>46069</v>
      </c>
      <c r="AC583" s="14">
        <v>46085</v>
      </c>
      <c r="AD583" s="2" t="s">
        <v>3899</v>
      </c>
      <c r="AE583" s="2">
        <v>76030165539</v>
      </c>
      <c r="AF583" s="2">
        <v>10</v>
      </c>
      <c r="AG583" s="2">
        <v>17.68</v>
      </c>
      <c r="AH583" s="2"/>
      <c r="AI583" s="2" t="s">
        <v>629</v>
      </c>
      <c r="AJ583" s="2"/>
      <c r="AK583" s="14">
        <v>46066</v>
      </c>
      <c r="AL583" s="14">
        <v>46067</v>
      </c>
      <c r="AM583" s="14">
        <v>46067</v>
      </c>
      <c r="AN583" s="2"/>
      <c r="AO583" s="2">
        <v>7558760</v>
      </c>
      <c r="AP583" s="14">
        <v>46069</v>
      </c>
      <c r="AQ583" s="14">
        <v>46085</v>
      </c>
      <c r="AS583" s="2"/>
      <c r="AT583" s="44">
        <v>53367</v>
      </c>
      <c r="AV583" s="14">
        <v>46074</v>
      </c>
      <c r="AW583" s="14">
        <v>46075</v>
      </c>
      <c r="AY583" s="2">
        <v>7951196</v>
      </c>
      <c r="AZ583" s="5">
        <v>46090</v>
      </c>
      <c r="BA583" s="1">
        <v>28818375</v>
      </c>
      <c r="BB583" s="2">
        <v>5187308</v>
      </c>
      <c r="BC583" s="5">
        <v>46090</v>
      </c>
      <c r="BD583" s="14">
        <v>46090</v>
      </c>
      <c r="BF583" s="5">
        <v>46091</v>
      </c>
      <c r="BG583" s="5">
        <v>46092</v>
      </c>
      <c r="BH583" s="1" t="s">
        <v>280</v>
      </c>
      <c r="BI583" s="1" t="s">
        <v>280</v>
      </c>
      <c r="BQ583" s="14">
        <v>46075</v>
      </c>
      <c r="BR583" s="5">
        <v>46087</v>
      </c>
    </row>
    <row r="584" spans="1:70" ht="18" customHeight="1" x14ac:dyDescent="0.3">
      <c r="A584" s="2">
        <v>584</v>
      </c>
      <c r="B584" s="7" t="s">
        <v>3978</v>
      </c>
      <c r="C584" s="111">
        <v>46051</v>
      </c>
      <c r="D584" s="2">
        <v>116480</v>
      </c>
      <c r="E584" s="2" t="s">
        <v>677</v>
      </c>
      <c r="F584" s="2" t="s">
        <v>345</v>
      </c>
      <c r="G584" s="2" t="s">
        <v>346</v>
      </c>
      <c r="H584" s="2">
        <v>256</v>
      </c>
      <c r="I584" s="83">
        <v>53447</v>
      </c>
      <c r="J584" s="2" t="s">
        <v>142</v>
      </c>
      <c r="K584" s="2" t="s">
        <v>126</v>
      </c>
      <c r="L584" s="2" t="s">
        <v>854</v>
      </c>
      <c r="M584" s="134">
        <v>46079</v>
      </c>
      <c r="N584" s="56" t="s">
        <v>4094</v>
      </c>
      <c r="Q584" s="67">
        <f t="shared" si="68"/>
        <v>2</v>
      </c>
      <c r="R584" s="29">
        <f t="shared" si="63"/>
        <v>12</v>
      </c>
      <c r="T584" s="1"/>
      <c r="U584" s="1" t="s">
        <v>3979</v>
      </c>
      <c r="V584" s="2" t="s">
        <v>335</v>
      </c>
      <c r="W584" s="1" t="s">
        <v>163</v>
      </c>
      <c r="X584" s="2" t="s">
        <v>3993</v>
      </c>
      <c r="Y584" s="14">
        <v>46079</v>
      </c>
      <c r="Z584" s="14">
        <v>46088</v>
      </c>
      <c r="AA584" s="14">
        <v>46079</v>
      </c>
      <c r="AB584" s="14">
        <v>46079</v>
      </c>
      <c r="AC584" s="14">
        <v>46081</v>
      </c>
      <c r="AD584" s="2">
        <v>15760031484</v>
      </c>
      <c r="AE584" s="2">
        <v>412659157</v>
      </c>
      <c r="AF584" s="2">
        <v>2</v>
      </c>
      <c r="AG584" s="2">
        <v>28</v>
      </c>
      <c r="AH584" s="2"/>
      <c r="AI584" s="2" t="s">
        <v>179</v>
      </c>
      <c r="AJ584" s="2"/>
      <c r="AK584" s="14">
        <v>46078</v>
      </c>
      <c r="AL584" s="14">
        <v>46078</v>
      </c>
      <c r="AM584" s="14">
        <v>46078</v>
      </c>
      <c r="AN584" s="2"/>
      <c r="AO584" s="2">
        <v>7777709</v>
      </c>
      <c r="AP584" s="14">
        <v>46080</v>
      </c>
      <c r="AQ584" s="14">
        <v>46081</v>
      </c>
      <c r="AR584" s="15" t="s">
        <v>4092</v>
      </c>
      <c r="AS584" s="2"/>
      <c r="AT584" s="44">
        <v>53484</v>
      </c>
      <c r="AV584" s="14">
        <v>46081</v>
      </c>
      <c r="AW584" s="14">
        <v>46083</v>
      </c>
      <c r="AY584" s="2">
        <v>7950398</v>
      </c>
      <c r="AZ584" s="5">
        <v>46090</v>
      </c>
      <c r="BA584" s="1">
        <v>10774400</v>
      </c>
      <c r="BB584" s="2">
        <v>1939392</v>
      </c>
      <c r="BC584" s="5">
        <v>46090</v>
      </c>
      <c r="BD584" s="14">
        <v>46090</v>
      </c>
      <c r="BF584" s="5">
        <v>46092</v>
      </c>
      <c r="BG584" s="5">
        <v>46093</v>
      </c>
      <c r="BH584" s="1" t="s">
        <v>4091</v>
      </c>
      <c r="BI584" s="1" t="s">
        <v>273</v>
      </c>
      <c r="BQ584" s="14">
        <v>46086</v>
      </c>
      <c r="BR584" s="5">
        <v>46086</v>
      </c>
    </row>
    <row r="585" spans="1:70" ht="18" customHeight="1" thickBot="1" x14ac:dyDescent="0.35">
      <c r="A585" s="2">
        <v>585</v>
      </c>
      <c r="B585" s="7" t="s">
        <v>3980</v>
      </c>
      <c r="C585" s="111">
        <v>46051</v>
      </c>
      <c r="D585" s="2">
        <v>18200</v>
      </c>
      <c r="E585" s="2" t="s">
        <v>677</v>
      </c>
      <c r="F585" s="2" t="s">
        <v>345</v>
      </c>
      <c r="G585" s="2" t="s">
        <v>346</v>
      </c>
      <c r="H585" s="2">
        <v>40</v>
      </c>
      <c r="I585" s="83">
        <v>53449</v>
      </c>
      <c r="J585" s="2" t="s">
        <v>142</v>
      </c>
      <c r="K585" s="2" t="s">
        <v>126</v>
      </c>
      <c r="L585" s="2" t="s">
        <v>854</v>
      </c>
      <c r="M585" s="134">
        <v>46079</v>
      </c>
      <c r="N585" s="56" t="s">
        <v>4095</v>
      </c>
      <c r="Q585" s="67">
        <f t="shared" si="68"/>
        <v>2</v>
      </c>
      <c r="R585" s="29">
        <f t="shared" si="63"/>
        <v>12</v>
      </c>
      <c r="T585" s="1"/>
      <c r="U585" s="1" t="s">
        <v>3981</v>
      </c>
      <c r="V585" s="2" t="s">
        <v>335</v>
      </c>
      <c r="W585" s="1" t="s">
        <v>163</v>
      </c>
      <c r="X585" s="2" t="s">
        <v>3994</v>
      </c>
      <c r="Y585" s="14">
        <v>46079</v>
      </c>
      <c r="Z585" s="14">
        <v>46088</v>
      </c>
      <c r="AA585" s="14">
        <v>46079</v>
      </c>
      <c r="AB585" s="14">
        <v>46079</v>
      </c>
      <c r="AC585" s="14">
        <v>46081</v>
      </c>
      <c r="AD585" s="2">
        <v>15760031484</v>
      </c>
      <c r="AE585" s="2">
        <v>412659158</v>
      </c>
      <c r="AF585" s="2">
        <v>1</v>
      </c>
      <c r="AG585" s="2">
        <v>6</v>
      </c>
      <c r="AH585" s="2"/>
      <c r="AI585" s="2" t="s">
        <v>179</v>
      </c>
      <c r="AJ585" s="2"/>
      <c r="AK585" s="14">
        <v>46078</v>
      </c>
      <c r="AL585" s="14">
        <v>46078</v>
      </c>
      <c r="AM585" s="14">
        <v>46078</v>
      </c>
      <c r="AN585" s="2"/>
      <c r="AO585" s="108">
        <v>7778127</v>
      </c>
      <c r="AP585" s="14">
        <v>46080</v>
      </c>
      <c r="AQ585" s="14">
        <v>46081</v>
      </c>
      <c r="AR585" s="15" t="s">
        <v>4093</v>
      </c>
      <c r="AS585" s="2"/>
      <c r="AT585" s="44">
        <v>53487</v>
      </c>
      <c r="AV585" s="14">
        <v>46081</v>
      </c>
      <c r="AW585" s="14">
        <v>46083</v>
      </c>
      <c r="AY585" s="2">
        <v>7950401</v>
      </c>
      <c r="AZ585" s="5">
        <v>46090</v>
      </c>
      <c r="BA585" s="1">
        <v>1683500</v>
      </c>
      <c r="BB585" s="2">
        <v>303030</v>
      </c>
      <c r="BC585" s="5">
        <v>46090</v>
      </c>
      <c r="BD585" s="14">
        <v>46090</v>
      </c>
      <c r="BF585" s="5">
        <v>46092</v>
      </c>
      <c r="BG585" s="5">
        <v>46093</v>
      </c>
      <c r="BH585" s="1" t="s">
        <v>4091</v>
      </c>
      <c r="BI585" s="1" t="s">
        <v>273</v>
      </c>
      <c r="BQ585" s="14">
        <v>46086</v>
      </c>
      <c r="BR585" s="5">
        <v>46086</v>
      </c>
    </row>
    <row r="586" spans="1:70" ht="18" customHeight="1" x14ac:dyDescent="0.3">
      <c r="A586" s="2">
        <v>586</v>
      </c>
      <c r="B586" s="7">
        <v>260206675</v>
      </c>
      <c r="C586" s="111">
        <v>46078</v>
      </c>
      <c r="D586" s="2">
        <v>129887.4</v>
      </c>
      <c r="E586" s="2" t="s">
        <v>677</v>
      </c>
      <c r="F586" s="2" t="s">
        <v>136</v>
      </c>
      <c r="G586" s="2" t="s">
        <v>946</v>
      </c>
      <c r="H586" s="2">
        <v>4</v>
      </c>
      <c r="I586" s="83">
        <v>53499</v>
      </c>
      <c r="J586" s="2" t="s">
        <v>142</v>
      </c>
      <c r="K586" s="2" t="s">
        <v>126</v>
      </c>
      <c r="L586" s="2" t="s">
        <v>854</v>
      </c>
      <c r="M586" s="134">
        <v>46087</v>
      </c>
      <c r="N586" s="56" t="s">
        <v>4096</v>
      </c>
      <c r="Q586" s="67">
        <f t="shared" ref="Q586:Q593" si="69">AQ586-AB586</f>
        <v>3</v>
      </c>
      <c r="R586" s="29">
        <f t="shared" si="63"/>
        <v>4</v>
      </c>
      <c r="T586" s="1"/>
      <c r="U586" s="1" t="s">
        <v>4001</v>
      </c>
      <c r="V586" s="2" t="s">
        <v>204</v>
      </c>
      <c r="W586" s="1" t="s">
        <v>203</v>
      </c>
      <c r="X586" s="2" t="s">
        <v>4002</v>
      </c>
      <c r="Y586" s="14">
        <v>46079</v>
      </c>
      <c r="Z586" s="14">
        <v>46083</v>
      </c>
      <c r="AA586" s="14">
        <v>46087</v>
      </c>
      <c r="AB586" s="14">
        <v>46087</v>
      </c>
      <c r="AC586" s="14">
        <v>46090</v>
      </c>
      <c r="AD586" s="50" t="s">
        <v>4019</v>
      </c>
      <c r="AE586" s="2">
        <v>4840760044</v>
      </c>
      <c r="AF586" s="2">
        <v>4</v>
      </c>
      <c r="AG586" s="2">
        <v>15</v>
      </c>
      <c r="AH586" s="2"/>
      <c r="AI586" s="2" t="s">
        <v>179</v>
      </c>
      <c r="AJ586" s="2"/>
      <c r="AK586" s="14">
        <v>46083</v>
      </c>
      <c r="AL586" s="14">
        <v>46083</v>
      </c>
      <c r="AM586" s="14">
        <v>46084</v>
      </c>
      <c r="AN586" s="2"/>
      <c r="AO586" s="2">
        <v>7924842</v>
      </c>
      <c r="AP586" s="14">
        <v>46088</v>
      </c>
      <c r="AQ586" s="14">
        <v>46090</v>
      </c>
      <c r="AS586" s="2"/>
      <c r="AT586" s="44">
        <v>53582</v>
      </c>
      <c r="AV586" s="14">
        <v>46090</v>
      </c>
      <c r="AW586" s="14">
        <v>46091</v>
      </c>
      <c r="AY586" s="2">
        <v>7995392</v>
      </c>
      <c r="AZ586" s="5">
        <v>46092</v>
      </c>
      <c r="BA586" s="1">
        <v>12014585</v>
      </c>
      <c r="BB586" s="2">
        <v>2162625</v>
      </c>
      <c r="BC586" s="5">
        <v>46092</v>
      </c>
      <c r="BD586" s="5">
        <v>46092</v>
      </c>
      <c r="BF586" s="5">
        <v>46093</v>
      </c>
      <c r="BG586" s="5">
        <v>46094</v>
      </c>
      <c r="BH586" s="1" t="s">
        <v>1082</v>
      </c>
      <c r="BI586" s="1" t="s">
        <v>273</v>
      </c>
      <c r="BQ586" s="14">
        <v>46091</v>
      </c>
      <c r="BR586" s="14">
        <v>46091</v>
      </c>
    </row>
    <row r="587" spans="1:70" ht="18" customHeight="1" x14ac:dyDescent="0.3">
      <c r="A587" s="2">
        <v>587</v>
      </c>
      <c r="B587" s="8" t="s">
        <v>3881</v>
      </c>
      <c r="C587" s="75" t="s">
        <v>3861</v>
      </c>
      <c r="D587" s="8" t="s">
        <v>3882</v>
      </c>
      <c r="E587" s="2" t="s">
        <v>840</v>
      </c>
      <c r="F587" s="8" t="s">
        <v>3883</v>
      </c>
      <c r="G587" s="8" t="s">
        <v>3884</v>
      </c>
      <c r="H587" s="8" t="s">
        <v>3885</v>
      </c>
      <c r="I587" s="83">
        <v>53305</v>
      </c>
      <c r="J587" s="2" t="s">
        <v>1631</v>
      </c>
      <c r="K587" s="2" t="s">
        <v>126</v>
      </c>
      <c r="L587" s="2" t="s">
        <v>854</v>
      </c>
      <c r="M587" s="134">
        <v>46069</v>
      </c>
      <c r="N587" s="56" t="s">
        <v>4149</v>
      </c>
      <c r="Q587" s="67">
        <f t="shared" si="69"/>
        <v>16</v>
      </c>
      <c r="R587" s="29">
        <f t="shared" si="63"/>
        <v>9</v>
      </c>
      <c r="T587" s="1">
        <v>339</v>
      </c>
      <c r="U587" s="8" t="s">
        <v>3886</v>
      </c>
      <c r="V587" s="1" t="s">
        <v>645</v>
      </c>
      <c r="W587" s="79" t="s">
        <v>426</v>
      </c>
      <c r="X587" s="2">
        <v>20265017074</v>
      </c>
      <c r="Y587" s="14">
        <v>46064</v>
      </c>
      <c r="Z587" s="14">
        <v>46071</v>
      </c>
      <c r="AA587" s="14">
        <v>46055</v>
      </c>
      <c r="AB587" s="14">
        <v>46069</v>
      </c>
      <c r="AC587" s="14">
        <v>46085</v>
      </c>
      <c r="AD587" s="2" t="s">
        <v>3899</v>
      </c>
      <c r="AE587" s="2">
        <v>76030165548</v>
      </c>
      <c r="AF587" s="2">
        <v>2</v>
      </c>
      <c r="AG587" s="2">
        <v>0.75</v>
      </c>
      <c r="AH587" s="2"/>
      <c r="AI587" s="2" t="s">
        <v>629</v>
      </c>
      <c r="AJ587" s="2"/>
      <c r="AK587" s="14">
        <v>46066</v>
      </c>
      <c r="AL587" s="14">
        <v>46067</v>
      </c>
      <c r="AM587" s="14">
        <v>46067</v>
      </c>
      <c r="AN587" s="2"/>
      <c r="AO587" s="2">
        <v>7607443</v>
      </c>
      <c r="AP587" s="14">
        <v>46071</v>
      </c>
      <c r="AQ587" s="14">
        <v>46085</v>
      </c>
      <c r="AS587" s="2"/>
      <c r="AT587" s="44">
        <v>53385</v>
      </c>
      <c r="AV587" s="14">
        <v>46074</v>
      </c>
      <c r="AW587" s="14">
        <v>46075</v>
      </c>
      <c r="AY587" s="2">
        <v>7875961</v>
      </c>
      <c r="AZ587" s="5">
        <v>46086</v>
      </c>
      <c r="BA587" s="1">
        <v>1145258</v>
      </c>
      <c r="BB587" s="2">
        <v>206146</v>
      </c>
      <c r="BC587" s="5">
        <v>46086</v>
      </c>
      <c r="BD587" s="14">
        <v>46090</v>
      </c>
      <c r="BF587" s="5">
        <v>46091</v>
      </c>
      <c r="BG587" s="5">
        <v>46094</v>
      </c>
      <c r="BH587" s="1" t="s">
        <v>280</v>
      </c>
      <c r="BI587" s="1" t="s">
        <v>280</v>
      </c>
      <c r="BQ587" s="14">
        <v>46076</v>
      </c>
      <c r="BR587" s="5">
        <v>46076</v>
      </c>
    </row>
    <row r="588" spans="1:70" ht="18" customHeight="1" x14ac:dyDescent="0.3">
      <c r="A588" s="2">
        <v>588</v>
      </c>
      <c r="B588" s="8" t="s">
        <v>3887</v>
      </c>
      <c r="C588" s="75" t="s">
        <v>3888</v>
      </c>
      <c r="D588" s="8" t="s">
        <v>3889</v>
      </c>
      <c r="E588" s="2" t="s">
        <v>840</v>
      </c>
      <c r="F588" s="8" t="s">
        <v>3890</v>
      </c>
      <c r="G588" s="8" t="s">
        <v>3891</v>
      </c>
      <c r="H588" s="8" t="s">
        <v>3892</v>
      </c>
      <c r="I588" s="83">
        <v>53306</v>
      </c>
      <c r="J588" s="2" t="s">
        <v>1631</v>
      </c>
      <c r="K588" s="2" t="s">
        <v>126</v>
      </c>
      <c r="L588" s="2" t="s">
        <v>854</v>
      </c>
      <c r="M588" s="134">
        <v>46069</v>
      </c>
      <c r="N588" s="56" t="s">
        <v>4150</v>
      </c>
      <c r="Q588" s="67">
        <f t="shared" si="69"/>
        <v>16</v>
      </c>
      <c r="R588" s="29">
        <f t="shared" si="63"/>
        <v>9</v>
      </c>
      <c r="T588" s="1">
        <v>16689</v>
      </c>
      <c r="U588" s="8" t="s">
        <v>3893</v>
      </c>
      <c r="V588" s="1" t="s">
        <v>645</v>
      </c>
      <c r="W588" s="79" t="s">
        <v>426</v>
      </c>
      <c r="X588" s="2">
        <v>20265017076</v>
      </c>
      <c r="Y588" s="14">
        <v>46064</v>
      </c>
      <c r="Z588" s="14">
        <v>46071</v>
      </c>
      <c r="AA588" s="14">
        <v>46055</v>
      </c>
      <c r="AB588" s="14">
        <v>46069</v>
      </c>
      <c r="AC588" s="14">
        <v>46085</v>
      </c>
      <c r="AD588" s="2" t="s">
        <v>3899</v>
      </c>
      <c r="AE588" s="2">
        <v>76030165546</v>
      </c>
      <c r="AF588" s="2">
        <v>14</v>
      </c>
      <c r="AG588" s="2">
        <v>23.88</v>
      </c>
      <c r="AH588" s="2"/>
      <c r="AI588" s="2" t="s">
        <v>629</v>
      </c>
      <c r="AJ588" s="2"/>
      <c r="AK588" s="14">
        <v>46066</v>
      </c>
      <c r="AL588" s="14">
        <v>46067</v>
      </c>
      <c r="AM588" s="14">
        <v>46067</v>
      </c>
      <c r="AN588" s="2"/>
      <c r="AO588" s="2">
        <v>7608106</v>
      </c>
      <c r="AP588" s="14">
        <v>46071</v>
      </c>
      <c r="AQ588" s="14">
        <v>46085</v>
      </c>
      <c r="AS588" s="2"/>
      <c r="AT588" s="44">
        <v>53386</v>
      </c>
      <c r="AV588" s="14">
        <v>46074</v>
      </c>
      <c r="AW588" s="14">
        <v>46075</v>
      </c>
      <c r="AY588" s="2">
        <v>7875962</v>
      </c>
      <c r="AZ588" s="5">
        <v>46086</v>
      </c>
      <c r="BA588" s="1">
        <v>37602631</v>
      </c>
      <c r="BB588" s="2">
        <v>6768474</v>
      </c>
      <c r="BC588" s="5">
        <v>46086</v>
      </c>
      <c r="BD588" s="14">
        <v>46092</v>
      </c>
      <c r="BF588" s="5">
        <v>46093</v>
      </c>
      <c r="BG588" s="5">
        <v>46094</v>
      </c>
      <c r="BH588" s="1" t="s">
        <v>280</v>
      </c>
      <c r="BI588" s="1" t="s">
        <v>280</v>
      </c>
      <c r="BQ588" s="14">
        <v>46076</v>
      </c>
      <c r="BR588" s="5">
        <v>46076</v>
      </c>
    </row>
    <row r="589" spans="1:70" ht="18" customHeight="1" x14ac:dyDescent="0.3">
      <c r="A589" s="2">
        <v>589</v>
      </c>
      <c r="B589" s="7">
        <v>260206673</v>
      </c>
      <c r="C589" s="111">
        <v>46071</v>
      </c>
      <c r="D589" s="2">
        <v>27376.81</v>
      </c>
      <c r="E589" s="2" t="s">
        <v>677</v>
      </c>
      <c r="F589" s="2" t="s">
        <v>1346</v>
      </c>
      <c r="G589" s="2" t="s">
        <v>946</v>
      </c>
      <c r="H589" s="2">
        <v>1</v>
      </c>
      <c r="I589" s="83">
        <v>53414</v>
      </c>
      <c r="J589" s="2" t="s">
        <v>142</v>
      </c>
      <c r="K589" s="2" t="s">
        <v>126</v>
      </c>
      <c r="L589" s="2" t="s">
        <v>854</v>
      </c>
      <c r="M589" s="134">
        <v>45713</v>
      </c>
      <c r="N589" s="56" t="s">
        <v>4152</v>
      </c>
      <c r="Q589" s="67">
        <f t="shared" si="69"/>
        <v>1</v>
      </c>
      <c r="R589" s="29">
        <f t="shared" si="63"/>
        <v>15</v>
      </c>
      <c r="T589" s="1"/>
      <c r="U589" s="1" t="s">
        <v>3478</v>
      </c>
      <c r="V589" s="2" t="s">
        <v>755</v>
      </c>
      <c r="W589" s="1" t="s">
        <v>827</v>
      </c>
      <c r="X589" s="2" t="s">
        <v>3966</v>
      </c>
      <c r="Y589" s="14">
        <v>46073</v>
      </c>
      <c r="Z589" s="14">
        <v>46078</v>
      </c>
      <c r="AA589" s="14">
        <v>46078</v>
      </c>
      <c r="AB589" s="14">
        <v>46078</v>
      </c>
      <c r="AC589" s="14">
        <v>46079</v>
      </c>
      <c r="AD589" s="2">
        <v>60752655573</v>
      </c>
      <c r="AE589" s="2">
        <v>4840759078</v>
      </c>
      <c r="AF589" s="2">
        <v>1</v>
      </c>
      <c r="AG589" s="2">
        <v>3</v>
      </c>
      <c r="AH589" s="2"/>
      <c r="AI589" s="2" t="s">
        <v>179</v>
      </c>
      <c r="AJ589" s="2"/>
      <c r="AK589" s="14">
        <v>46076</v>
      </c>
      <c r="AL589" s="14">
        <v>46076</v>
      </c>
      <c r="AM589" s="14">
        <v>46076</v>
      </c>
      <c r="AN589" s="2"/>
      <c r="AO589" s="141">
        <v>7734951</v>
      </c>
      <c r="AP589" s="14">
        <v>46078</v>
      </c>
      <c r="AQ589" s="14">
        <v>46079</v>
      </c>
      <c r="AS589" s="2"/>
      <c r="AT589" s="44">
        <v>53463</v>
      </c>
      <c r="AV589" s="14">
        <v>46079</v>
      </c>
      <c r="AW589" s="14">
        <v>46083</v>
      </c>
      <c r="AY589" s="2">
        <v>7950400</v>
      </c>
      <c r="AZ589" s="5">
        <v>46090</v>
      </c>
      <c r="BA589" s="1">
        <v>2532355</v>
      </c>
      <c r="BB589" s="2">
        <v>455824</v>
      </c>
      <c r="BC589" s="5">
        <v>46090</v>
      </c>
      <c r="BD589" s="14">
        <v>46090</v>
      </c>
      <c r="BF589" s="5">
        <v>45727</v>
      </c>
      <c r="BG589" s="5">
        <v>46094</v>
      </c>
      <c r="BH589" s="1" t="s">
        <v>4151</v>
      </c>
      <c r="BI589" s="1" t="s">
        <v>273</v>
      </c>
      <c r="BQ589" s="14">
        <v>46086</v>
      </c>
      <c r="BR589" s="5">
        <v>46087</v>
      </c>
    </row>
    <row r="590" spans="1:70" ht="18" customHeight="1" x14ac:dyDescent="0.3">
      <c r="A590" s="2">
        <v>590</v>
      </c>
      <c r="B590" s="7">
        <v>260208798</v>
      </c>
      <c r="C590" s="111">
        <v>46071</v>
      </c>
      <c r="D590" s="2">
        <v>46902.720000000001</v>
      </c>
      <c r="E590" s="2" t="s">
        <v>677</v>
      </c>
      <c r="F590" s="2" t="s">
        <v>1816</v>
      </c>
      <c r="G590" s="9" t="s">
        <v>1815</v>
      </c>
      <c r="H590" s="2">
        <v>1</v>
      </c>
      <c r="I590" s="83">
        <v>53415</v>
      </c>
      <c r="J590" s="2" t="s">
        <v>142</v>
      </c>
      <c r="K590" s="2" t="s">
        <v>126</v>
      </c>
      <c r="L590" s="2" t="s">
        <v>854</v>
      </c>
      <c r="M590" s="134">
        <v>45713</v>
      </c>
      <c r="N590" s="56" t="s">
        <v>4153</v>
      </c>
      <c r="Q590" s="67">
        <f t="shared" si="69"/>
        <v>1</v>
      </c>
      <c r="R590" s="29">
        <f t="shared" si="63"/>
        <v>15</v>
      </c>
      <c r="T590" s="1"/>
      <c r="U590" s="1" t="s">
        <v>2253</v>
      </c>
      <c r="V590" s="2" t="s">
        <v>755</v>
      </c>
      <c r="W590" s="1" t="s">
        <v>827</v>
      </c>
      <c r="X590" s="2" t="s">
        <v>3967</v>
      </c>
      <c r="Y590" s="14">
        <v>46073</v>
      </c>
      <c r="Z590" s="14">
        <v>46078</v>
      </c>
      <c r="AA590" s="14">
        <v>46078</v>
      </c>
      <c r="AB590" s="14">
        <v>46078</v>
      </c>
      <c r="AC590" s="14">
        <v>46079</v>
      </c>
      <c r="AD590" s="2">
        <v>60752655573</v>
      </c>
      <c r="AE590" s="2">
        <v>4840759079</v>
      </c>
      <c r="AF590" s="2">
        <v>1</v>
      </c>
      <c r="AG590" s="2">
        <v>3</v>
      </c>
      <c r="AH590" s="2"/>
      <c r="AI590" s="2" t="s">
        <v>179</v>
      </c>
      <c r="AJ590" s="2"/>
      <c r="AK590" s="14">
        <v>46076</v>
      </c>
      <c r="AL590" s="14">
        <v>46076</v>
      </c>
      <c r="AM590" s="14">
        <v>46076</v>
      </c>
      <c r="AN590" s="2"/>
      <c r="AO590" s="141">
        <v>7734952</v>
      </c>
      <c r="AP590" s="14">
        <v>46078</v>
      </c>
      <c r="AQ590" s="14">
        <v>46079</v>
      </c>
      <c r="AS590" s="2"/>
      <c r="AT590" s="44">
        <v>53464</v>
      </c>
      <c r="AV590" s="14">
        <v>46079</v>
      </c>
      <c r="AW590" s="14">
        <v>46083</v>
      </c>
      <c r="AY590" s="2">
        <v>7950402</v>
      </c>
      <c r="AZ590" s="5">
        <v>46090</v>
      </c>
      <c r="BA590" s="1">
        <v>4338502</v>
      </c>
      <c r="BB590" s="2">
        <v>780930</v>
      </c>
      <c r="BC590" s="5">
        <v>46090</v>
      </c>
      <c r="BD590" s="14">
        <v>46090</v>
      </c>
      <c r="BF590" s="5">
        <v>46092</v>
      </c>
      <c r="BG590" s="5">
        <v>46094</v>
      </c>
      <c r="BH590" s="1" t="s">
        <v>4151</v>
      </c>
      <c r="BI590" s="1" t="s">
        <v>273</v>
      </c>
      <c r="BQ590" s="14">
        <v>46086</v>
      </c>
      <c r="BR590" s="5">
        <v>46087</v>
      </c>
    </row>
    <row r="591" spans="1:70" ht="18" customHeight="1" x14ac:dyDescent="0.3">
      <c r="A591" s="2">
        <v>591</v>
      </c>
      <c r="B591" s="7">
        <v>260208800</v>
      </c>
      <c r="C591" s="111">
        <v>46071</v>
      </c>
      <c r="D591" s="2">
        <v>54367.82</v>
      </c>
      <c r="E591" s="2" t="s">
        <v>677</v>
      </c>
      <c r="F591" s="2" t="s">
        <v>1198</v>
      </c>
      <c r="G591" s="9" t="s">
        <v>1884</v>
      </c>
      <c r="H591" s="2">
        <v>1</v>
      </c>
      <c r="I591" s="83">
        <v>53416</v>
      </c>
      <c r="J591" s="2" t="s">
        <v>142</v>
      </c>
      <c r="K591" s="2" t="s">
        <v>126</v>
      </c>
      <c r="L591" s="2" t="s">
        <v>854</v>
      </c>
      <c r="M591" s="134">
        <v>45713</v>
      </c>
      <c r="N591" s="56" t="s">
        <v>4154</v>
      </c>
      <c r="Q591" s="67">
        <f t="shared" si="69"/>
        <v>1</v>
      </c>
      <c r="R591" s="29">
        <f t="shared" si="63"/>
        <v>15</v>
      </c>
      <c r="T591" s="1"/>
      <c r="U591" s="1" t="s">
        <v>3968</v>
      </c>
      <c r="V591" s="2" t="s">
        <v>755</v>
      </c>
      <c r="W591" s="1" t="s">
        <v>827</v>
      </c>
      <c r="X591" s="2" t="s">
        <v>3969</v>
      </c>
      <c r="Y591" s="14">
        <v>46073</v>
      </c>
      <c r="Z591" s="14">
        <v>46078</v>
      </c>
      <c r="AA591" s="14">
        <v>46078</v>
      </c>
      <c r="AB591" s="14">
        <v>46078</v>
      </c>
      <c r="AC591" s="14">
        <v>46079</v>
      </c>
      <c r="AD591" s="2">
        <v>60752655573</v>
      </c>
      <c r="AE591" s="2">
        <v>4840759076</v>
      </c>
      <c r="AF591" s="2">
        <v>1</v>
      </c>
      <c r="AG591" s="2">
        <v>3</v>
      </c>
      <c r="AH591" s="2"/>
      <c r="AI591" s="2" t="s">
        <v>179</v>
      </c>
      <c r="AJ591" s="2"/>
      <c r="AK591" s="14">
        <v>46076</v>
      </c>
      <c r="AL591" s="14">
        <v>46076</v>
      </c>
      <c r="AM591" s="14">
        <v>46076</v>
      </c>
      <c r="AN591" s="2"/>
      <c r="AO591" s="141">
        <v>7734953</v>
      </c>
      <c r="AP591" s="14">
        <v>46078</v>
      </c>
      <c r="AQ591" s="14">
        <v>46079</v>
      </c>
      <c r="AS591" s="2"/>
      <c r="AT591" s="44">
        <v>53465</v>
      </c>
      <c r="AV591" s="14">
        <v>46079</v>
      </c>
      <c r="AW591" s="14">
        <v>46084</v>
      </c>
      <c r="AY591" s="2">
        <v>7950399</v>
      </c>
      <c r="AZ591" s="5">
        <v>46090</v>
      </c>
      <c r="BA591" s="1">
        <v>5029023</v>
      </c>
      <c r="BB591" s="2">
        <v>905224</v>
      </c>
      <c r="BC591" s="5">
        <v>46090</v>
      </c>
      <c r="BD591" s="14">
        <v>46090</v>
      </c>
      <c r="BF591" s="5">
        <v>46092</v>
      </c>
      <c r="BG591" s="5">
        <v>46094</v>
      </c>
      <c r="BH591" s="1" t="s">
        <v>4151</v>
      </c>
      <c r="BI591" s="1" t="s">
        <v>273</v>
      </c>
      <c r="BQ591" s="14">
        <v>46086</v>
      </c>
      <c r="BR591" s="5">
        <v>46087</v>
      </c>
    </row>
    <row r="592" spans="1:70" ht="18" customHeight="1" thickBot="1" x14ac:dyDescent="0.35">
      <c r="A592" s="2">
        <v>592</v>
      </c>
      <c r="B592" s="7" t="s">
        <v>3991</v>
      </c>
      <c r="C592" s="111">
        <v>46058</v>
      </c>
      <c r="D592" s="2">
        <v>22750</v>
      </c>
      <c r="E592" s="2" t="s">
        <v>677</v>
      </c>
      <c r="F592" s="2" t="s">
        <v>345</v>
      </c>
      <c r="G592" s="2" t="s">
        <v>346</v>
      </c>
      <c r="H592" s="2">
        <v>50</v>
      </c>
      <c r="I592" s="83">
        <v>53450</v>
      </c>
      <c r="J592" s="2" t="s">
        <v>142</v>
      </c>
      <c r="K592" s="2" t="s">
        <v>126</v>
      </c>
      <c r="L592" s="2" t="s">
        <v>854</v>
      </c>
      <c r="M592" s="134">
        <v>46079</v>
      </c>
      <c r="N592" s="56" t="s">
        <v>4155</v>
      </c>
      <c r="Q592" s="67">
        <f t="shared" si="69"/>
        <v>2</v>
      </c>
      <c r="R592" s="29">
        <f t="shared" si="63"/>
        <v>13</v>
      </c>
      <c r="T592" s="1"/>
      <c r="U592" s="1" t="s">
        <v>3982</v>
      </c>
      <c r="V592" s="2" t="s">
        <v>755</v>
      </c>
      <c r="W592" s="1" t="s">
        <v>827</v>
      </c>
      <c r="X592" s="2" t="s">
        <v>3992</v>
      </c>
      <c r="Y592" s="14">
        <v>46079</v>
      </c>
      <c r="Z592" s="14">
        <v>46088</v>
      </c>
      <c r="AA592" s="14">
        <v>46079</v>
      </c>
      <c r="AB592" s="14">
        <v>46079</v>
      </c>
      <c r="AC592" s="14">
        <v>46081</v>
      </c>
      <c r="AD592" s="2">
        <v>15760031484</v>
      </c>
      <c r="AE592" s="2">
        <v>412659249</v>
      </c>
      <c r="AF592" s="2">
        <v>1</v>
      </c>
      <c r="AG592" s="2">
        <v>6</v>
      </c>
      <c r="AH592" s="2"/>
      <c r="AI592" s="2" t="s">
        <v>179</v>
      </c>
      <c r="AJ592" s="2"/>
      <c r="AK592" s="14">
        <v>46078</v>
      </c>
      <c r="AL592" s="14">
        <v>46078</v>
      </c>
      <c r="AM592" s="14">
        <v>46078</v>
      </c>
      <c r="AN592" s="2"/>
      <c r="AO592" s="108">
        <v>7778125</v>
      </c>
      <c r="AP592" s="14">
        <v>46080</v>
      </c>
      <c r="AQ592" s="14">
        <v>46081</v>
      </c>
      <c r="AS592" s="2"/>
      <c r="AT592" s="44">
        <v>53490</v>
      </c>
      <c r="AV592" s="14">
        <v>46081</v>
      </c>
      <c r="AW592" s="14">
        <v>46083</v>
      </c>
      <c r="AY592" s="2">
        <v>7950982</v>
      </c>
      <c r="AZ592" s="5">
        <v>46090</v>
      </c>
      <c r="BA592" s="1">
        <v>2104375</v>
      </c>
      <c r="BB592" s="2">
        <v>378788</v>
      </c>
      <c r="BC592" s="5">
        <v>46090</v>
      </c>
      <c r="BD592" s="14">
        <v>46090</v>
      </c>
      <c r="BF592" s="5">
        <v>46092</v>
      </c>
      <c r="BG592" s="5">
        <v>46094</v>
      </c>
      <c r="BH592" s="1" t="s">
        <v>4151</v>
      </c>
      <c r="BI592" s="1" t="s">
        <v>273</v>
      </c>
      <c r="BQ592" s="14">
        <v>46086</v>
      </c>
      <c r="BR592" s="5">
        <v>46087</v>
      </c>
    </row>
    <row r="593" spans="1:70" ht="18" customHeight="1" x14ac:dyDescent="0.3">
      <c r="A593" s="2">
        <v>593</v>
      </c>
      <c r="B593" s="7">
        <v>1039991</v>
      </c>
      <c r="C593" s="111">
        <v>46071</v>
      </c>
      <c r="D593" s="2">
        <v>126105</v>
      </c>
      <c r="E593" s="2" t="s">
        <v>681</v>
      </c>
      <c r="F593" s="2" t="s">
        <v>133</v>
      </c>
      <c r="G593" s="2" t="s">
        <v>3306</v>
      </c>
      <c r="H593" s="2">
        <v>7</v>
      </c>
      <c r="I593" s="83">
        <v>53498</v>
      </c>
      <c r="J593" s="2" t="s">
        <v>142</v>
      </c>
      <c r="K593" s="2" t="s">
        <v>126</v>
      </c>
      <c r="L593" s="2" t="s">
        <v>854</v>
      </c>
      <c r="M593" s="134">
        <v>46085</v>
      </c>
      <c r="N593" s="56" t="s">
        <v>4156</v>
      </c>
      <c r="Q593" s="67">
        <f t="shared" si="69"/>
        <v>2</v>
      </c>
      <c r="R593" s="29">
        <f t="shared" si="63"/>
        <v>7</v>
      </c>
      <c r="T593" s="1"/>
      <c r="U593" s="1" t="s">
        <v>3577</v>
      </c>
      <c r="V593" s="2" t="s">
        <v>755</v>
      </c>
      <c r="W593" s="1" t="s">
        <v>827</v>
      </c>
      <c r="X593" s="2" t="s">
        <v>3996</v>
      </c>
      <c r="Y593" s="14">
        <v>46080</v>
      </c>
      <c r="Z593" s="14">
        <v>46083</v>
      </c>
      <c r="AA593" s="14">
        <v>46085</v>
      </c>
      <c r="AB593" s="14">
        <v>46085</v>
      </c>
      <c r="AC593" s="14">
        <v>46087</v>
      </c>
      <c r="AD593" s="2">
        <v>31293122750</v>
      </c>
      <c r="AE593" s="2" t="s">
        <v>3997</v>
      </c>
      <c r="AF593" s="2">
        <v>3</v>
      </c>
      <c r="AG593" s="2">
        <v>29</v>
      </c>
      <c r="AH593" s="2"/>
      <c r="AI593" s="2" t="s">
        <v>3116</v>
      </c>
      <c r="AJ593" s="2"/>
      <c r="AK593" s="14">
        <v>46083</v>
      </c>
      <c r="AL593" s="14">
        <v>46083</v>
      </c>
      <c r="AM593" s="14">
        <v>46083</v>
      </c>
      <c r="AN593" s="2"/>
      <c r="AO593" s="1">
        <v>7867064</v>
      </c>
      <c r="AP593" s="14">
        <v>46085</v>
      </c>
      <c r="AQ593" s="14">
        <v>46087</v>
      </c>
      <c r="AS593" s="2"/>
      <c r="AT593" s="44">
        <v>53541</v>
      </c>
      <c r="AV593" s="14">
        <v>46087</v>
      </c>
      <c r="AW593" s="14">
        <v>46087</v>
      </c>
      <c r="AY593" s="2">
        <v>7950403</v>
      </c>
      <c r="AZ593" s="5">
        <v>46090</v>
      </c>
      <c r="BA593" s="1">
        <v>11664713</v>
      </c>
      <c r="BB593" s="2">
        <v>2099648</v>
      </c>
      <c r="BC593" s="5">
        <v>46090</v>
      </c>
      <c r="BD593" s="14">
        <v>46090</v>
      </c>
      <c r="BF593" s="5">
        <v>46092</v>
      </c>
      <c r="BG593" s="5">
        <v>46094</v>
      </c>
      <c r="BH593" s="1" t="s">
        <v>4151</v>
      </c>
      <c r="BI593" s="1" t="s">
        <v>273</v>
      </c>
      <c r="BQ593" s="14">
        <v>46087</v>
      </c>
      <c r="BR593" s="14">
        <v>46087</v>
      </c>
    </row>
    <row r="594" spans="1:70" ht="18" customHeight="1" x14ac:dyDescent="0.3">
      <c r="A594" s="2">
        <v>594</v>
      </c>
      <c r="B594" s="7">
        <v>7103248</v>
      </c>
      <c r="C594" s="111">
        <v>46081</v>
      </c>
      <c r="D594" s="2">
        <v>155775</v>
      </c>
      <c r="E594" s="2" t="s">
        <v>840</v>
      </c>
      <c r="F594" s="8" t="s">
        <v>642</v>
      </c>
      <c r="G594" s="8" t="s">
        <v>1798</v>
      </c>
      <c r="H594" s="8" t="s">
        <v>525</v>
      </c>
      <c r="I594" s="83">
        <v>53538</v>
      </c>
      <c r="J594" s="2" t="s">
        <v>142</v>
      </c>
      <c r="K594" s="2" t="s">
        <v>126</v>
      </c>
      <c r="L594" s="2" t="s">
        <v>854</v>
      </c>
      <c r="M594" s="134">
        <v>46090</v>
      </c>
      <c r="N594" s="56" t="s">
        <v>4185</v>
      </c>
      <c r="Q594" s="67">
        <f t="shared" ref="Q594:Q605" si="70">AQ594-AB594</f>
        <v>2</v>
      </c>
      <c r="R594" s="29">
        <f t="shared" si="63"/>
        <v>5</v>
      </c>
      <c r="T594" s="1"/>
      <c r="U594" s="2" t="s">
        <v>4042</v>
      </c>
      <c r="V594" s="1" t="s">
        <v>645</v>
      </c>
      <c r="W594" s="79" t="s">
        <v>426</v>
      </c>
      <c r="X594" s="2">
        <v>20265025198</v>
      </c>
      <c r="Y594" s="14">
        <v>46085</v>
      </c>
      <c r="Z594" s="14">
        <v>46090</v>
      </c>
      <c r="AA594" s="14">
        <v>46090</v>
      </c>
      <c r="AB594" s="14">
        <v>46090</v>
      </c>
      <c r="AC594" s="14">
        <v>46092</v>
      </c>
      <c r="AD594" s="2" t="s">
        <v>4043</v>
      </c>
      <c r="AE594" s="2" t="s">
        <v>4044</v>
      </c>
      <c r="AF594" s="2">
        <v>5</v>
      </c>
      <c r="AG594" s="2">
        <v>1483</v>
      </c>
      <c r="AH594" s="2"/>
      <c r="AI594" s="2" t="s">
        <v>180</v>
      </c>
      <c r="AJ594" s="2"/>
      <c r="AK594" s="14">
        <v>46086</v>
      </c>
      <c r="AL594" s="14">
        <v>46087</v>
      </c>
      <c r="AM594" s="14">
        <v>46087</v>
      </c>
      <c r="AN594" s="2"/>
      <c r="AO594" s="2">
        <v>7973798</v>
      </c>
      <c r="AP594" s="14">
        <v>46091</v>
      </c>
      <c r="AQ594" s="14">
        <v>46092</v>
      </c>
      <c r="AS594" s="2"/>
      <c r="AT594" s="44">
        <v>53603</v>
      </c>
      <c r="AV594" s="14">
        <v>46091</v>
      </c>
      <c r="AW594" s="14">
        <v>46091</v>
      </c>
      <c r="AY594" s="2">
        <v>8019293</v>
      </c>
      <c r="AZ594" s="5">
        <v>46093</v>
      </c>
      <c r="BA594" s="1">
        <v>14409188</v>
      </c>
      <c r="BB594" s="2">
        <v>2593654</v>
      </c>
      <c r="BC594" s="5">
        <v>46093</v>
      </c>
      <c r="BD594" s="5">
        <v>46093</v>
      </c>
      <c r="BF594" s="14">
        <v>46094</v>
      </c>
      <c r="BG594" s="5">
        <v>46097</v>
      </c>
      <c r="BH594" s="1" t="s">
        <v>280</v>
      </c>
      <c r="BI594" s="1" t="s">
        <v>280</v>
      </c>
      <c r="BQ594" s="14">
        <v>46091</v>
      </c>
      <c r="BR594" s="14">
        <v>46092</v>
      </c>
    </row>
    <row r="595" spans="1:70" ht="18" customHeight="1" x14ac:dyDescent="0.3">
      <c r="A595" s="2">
        <v>595</v>
      </c>
      <c r="B595" s="7">
        <v>1038119</v>
      </c>
      <c r="C595" s="111">
        <v>46070</v>
      </c>
      <c r="D595" s="2">
        <v>207146</v>
      </c>
      <c r="E595" s="2" t="s">
        <v>681</v>
      </c>
      <c r="F595" s="2" t="s">
        <v>3014</v>
      </c>
      <c r="G595" s="2" t="s">
        <v>3082</v>
      </c>
      <c r="H595" s="2">
        <v>100</v>
      </c>
      <c r="I595" s="83">
        <v>53557</v>
      </c>
      <c r="J595" s="2" t="s">
        <v>142</v>
      </c>
      <c r="K595" s="2" t="s">
        <v>126</v>
      </c>
      <c r="L595" s="2" t="s">
        <v>854</v>
      </c>
      <c r="M595" s="134">
        <v>46091</v>
      </c>
      <c r="N595" s="56" t="s">
        <v>4199</v>
      </c>
      <c r="Q595" s="67">
        <f t="shared" si="70"/>
        <v>2</v>
      </c>
      <c r="R595" s="29">
        <f t="shared" si="63"/>
        <v>6</v>
      </c>
      <c r="S595" s="15">
        <f t="shared" ref="S595:S605" si="71">AF595*45*R595</f>
        <v>810</v>
      </c>
      <c r="T595" s="1"/>
      <c r="U595" s="1" t="s">
        <v>4050</v>
      </c>
      <c r="V595" s="2" t="s">
        <v>755</v>
      </c>
      <c r="W595" s="1" t="s">
        <v>827</v>
      </c>
      <c r="X595" s="2" t="s">
        <v>4064</v>
      </c>
      <c r="Y595" s="14">
        <v>46091</v>
      </c>
      <c r="Z595" s="14">
        <v>46093</v>
      </c>
      <c r="AA595" s="14">
        <v>46091</v>
      </c>
      <c r="AB595" s="14">
        <v>46091</v>
      </c>
      <c r="AC595" s="14">
        <v>46093</v>
      </c>
      <c r="AD595" s="2">
        <v>21708525134</v>
      </c>
      <c r="AE595" s="2" t="s">
        <v>4065</v>
      </c>
      <c r="AF595" s="2">
        <v>3</v>
      </c>
      <c r="AG595" s="2">
        <v>722</v>
      </c>
      <c r="AH595" s="2"/>
      <c r="AI595" s="2" t="s">
        <v>3116</v>
      </c>
      <c r="AJ595" s="2"/>
      <c r="AK595" s="14">
        <v>46091</v>
      </c>
      <c r="AL595" s="14">
        <v>46091</v>
      </c>
      <c r="AM595" s="14">
        <v>46091</v>
      </c>
      <c r="AN595" s="2"/>
      <c r="AO595" s="2">
        <v>8000383</v>
      </c>
      <c r="AP595" s="14">
        <v>46092</v>
      </c>
      <c r="AQ595" s="14">
        <v>46093</v>
      </c>
      <c r="AS595" s="2"/>
      <c r="AT595" s="44">
        <v>53629</v>
      </c>
      <c r="AV595" s="14">
        <v>46092</v>
      </c>
      <c r="AW595" s="14">
        <v>46093</v>
      </c>
      <c r="AY595" s="2">
        <v>8093429</v>
      </c>
      <c r="AZ595" s="5">
        <v>46097</v>
      </c>
      <c r="BA595" s="1">
        <v>19161005</v>
      </c>
      <c r="BB595" s="2">
        <v>3448981</v>
      </c>
      <c r="BC595" s="5">
        <v>46097</v>
      </c>
      <c r="BD595" s="5">
        <v>46097</v>
      </c>
      <c r="BF595" s="5">
        <v>46098</v>
      </c>
      <c r="BG595" s="5">
        <v>46099</v>
      </c>
      <c r="BH595" s="1" t="s">
        <v>4197</v>
      </c>
      <c r="BI595" s="1" t="s">
        <v>273</v>
      </c>
      <c r="BQ595" s="14">
        <v>46093</v>
      </c>
      <c r="BR595" s="1" t="s">
        <v>4157</v>
      </c>
    </row>
    <row r="596" spans="1:70" ht="18" customHeight="1" x14ac:dyDescent="0.3">
      <c r="A596" s="2">
        <v>596</v>
      </c>
      <c r="B596" s="7">
        <v>1038120</v>
      </c>
      <c r="C596" s="111">
        <v>46077</v>
      </c>
      <c r="D596" s="2">
        <v>207146</v>
      </c>
      <c r="E596" s="2" t="s">
        <v>681</v>
      </c>
      <c r="F596" s="2" t="s">
        <v>3014</v>
      </c>
      <c r="G596" s="2" t="s">
        <v>3082</v>
      </c>
      <c r="H596" s="2">
        <v>100</v>
      </c>
      <c r="I596" s="83">
        <v>53558</v>
      </c>
      <c r="J596" s="2" t="s">
        <v>142</v>
      </c>
      <c r="K596" s="2" t="s">
        <v>126</v>
      </c>
      <c r="L596" s="2" t="s">
        <v>854</v>
      </c>
      <c r="M596" s="134">
        <v>46091</v>
      </c>
      <c r="N596" s="56" t="s">
        <v>4199</v>
      </c>
      <c r="Q596" s="67">
        <f t="shared" si="70"/>
        <v>2</v>
      </c>
      <c r="R596" s="29">
        <f t="shared" si="63"/>
        <v>6</v>
      </c>
      <c r="S596" s="15">
        <f t="shared" si="71"/>
        <v>810</v>
      </c>
      <c r="T596" s="1"/>
      <c r="U596" s="1" t="s">
        <v>4050</v>
      </c>
      <c r="V596" s="2" t="s">
        <v>755</v>
      </c>
      <c r="W596" s="1" t="s">
        <v>827</v>
      </c>
      <c r="X596" s="2" t="s">
        <v>4066</v>
      </c>
      <c r="Y596" s="14">
        <v>46091</v>
      </c>
      <c r="Z596" s="14">
        <v>46093</v>
      </c>
      <c r="AA596" s="14">
        <v>46091</v>
      </c>
      <c r="AB596" s="14">
        <v>46091</v>
      </c>
      <c r="AC596" s="14">
        <v>46093</v>
      </c>
      <c r="AD596" s="2">
        <v>21708525156</v>
      </c>
      <c r="AE596" s="2" t="s">
        <v>4067</v>
      </c>
      <c r="AF596" s="2">
        <v>3</v>
      </c>
      <c r="AG596" s="2">
        <v>722</v>
      </c>
      <c r="AH596" s="2"/>
      <c r="AI596" s="2" t="s">
        <v>3116</v>
      </c>
      <c r="AJ596" s="2"/>
      <c r="AK596" s="14">
        <v>46091</v>
      </c>
      <c r="AL596" s="14">
        <v>46091</v>
      </c>
      <c r="AM596" s="14">
        <v>46091</v>
      </c>
      <c r="AN596" s="2"/>
      <c r="AO596" s="2">
        <v>8000384</v>
      </c>
      <c r="AP596" s="14">
        <v>46092</v>
      </c>
      <c r="AQ596" s="14">
        <v>46093</v>
      </c>
      <c r="AS596" s="2"/>
      <c r="AT596" s="44">
        <v>53630</v>
      </c>
      <c r="AV596" s="14">
        <v>46092</v>
      </c>
      <c r="AW596" s="14">
        <v>46093</v>
      </c>
      <c r="AY596" s="2">
        <v>8093428</v>
      </c>
      <c r="AZ596" s="5">
        <v>46097</v>
      </c>
      <c r="BA596" s="1">
        <v>19161005</v>
      </c>
      <c r="BB596" s="2">
        <v>3448981</v>
      </c>
      <c r="BC596" s="5">
        <v>46097</v>
      </c>
      <c r="BD596" s="5">
        <v>46097</v>
      </c>
      <c r="BF596" s="5">
        <v>46098</v>
      </c>
      <c r="BG596" s="5">
        <v>46099</v>
      </c>
      <c r="BH596" s="1" t="s">
        <v>4197</v>
      </c>
      <c r="BI596" s="1" t="s">
        <v>273</v>
      </c>
      <c r="BQ596" s="14">
        <v>46093</v>
      </c>
      <c r="BR596" s="1" t="s">
        <v>4157</v>
      </c>
    </row>
    <row r="597" spans="1:70" ht="18" customHeight="1" x14ac:dyDescent="0.3">
      <c r="A597" s="2">
        <v>597</v>
      </c>
      <c r="B597" s="7">
        <v>1038113</v>
      </c>
      <c r="C597" s="111">
        <v>46057</v>
      </c>
      <c r="D597" s="2">
        <v>207146</v>
      </c>
      <c r="E597" s="2" t="s">
        <v>681</v>
      </c>
      <c r="F597" s="2" t="s">
        <v>3014</v>
      </c>
      <c r="G597" s="2" t="s">
        <v>3082</v>
      </c>
      <c r="H597" s="2">
        <v>100</v>
      </c>
      <c r="I597" s="83">
        <v>53573</v>
      </c>
      <c r="J597" s="2" t="s">
        <v>142</v>
      </c>
      <c r="K597" s="2" t="s">
        <v>126</v>
      </c>
      <c r="L597" s="2" t="s">
        <v>854</v>
      </c>
      <c r="M597" s="134">
        <v>46091</v>
      </c>
      <c r="N597" s="56" t="s">
        <v>4200</v>
      </c>
      <c r="Q597" s="67">
        <f t="shared" si="70"/>
        <v>3</v>
      </c>
      <c r="R597" s="29">
        <f t="shared" si="63"/>
        <v>5</v>
      </c>
      <c r="S597" s="15">
        <f t="shared" si="71"/>
        <v>675</v>
      </c>
      <c r="T597" s="1"/>
      <c r="U597" s="1" t="s">
        <v>4050</v>
      </c>
      <c r="V597" s="2" t="s">
        <v>755</v>
      </c>
      <c r="W597" s="1" t="s">
        <v>827</v>
      </c>
      <c r="X597" s="2" t="s">
        <v>4068</v>
      </c>
      <c r="Y597" s="14">
        <v>46091</v>
      </c>
      <c r="Z597" s="14">
        <v>46093</v>
      </c>
      <c r="AA597" s="14">
        <v>46091</v>
      </c>
      <c r="AB597" s="14">
        <v>46091</v>
      </c>
      <c r="AC597" s="14">
        <v>46094</v>
      </c>
      <c r="AD597" s="2">
        <v>21708525075</v>
      </c>
      <c r="AE597" s="2" t="s">
        <v>4069</v>
      </c>
      <c r="AF597" s="2">
        <v>3</v>
      </c>
      <c r="AG597" s="2">
        <v>722</v>
      </c>
      <c r="AH597" s="2"/>
      <c r="AI597" s="2" t="s">
        <v>3116</v>
      </c>
      <c r="AJ597" s="2"/>
      <c r="AK597" s="14">
        <v>46091</v>
      </c>
      <c r="AL597" s="14">
        <v>46091</v>
      </c>
      <c r="AM597" s="14">
        <v>46091</v>
      </c>
      <c r="AN597" s="2"/>
      <c r="AO597" s="2">
        <v>8001524</v>
      </c>
      <c r="AP597" s="14">
        <v>46092</v>
      </c>
      <c r="AQ597" s="14">
        <v>46094</v>
      </c>
      <c r="AS597" s="2"/>
      <c r="AT597" s="44">
        <v>53631</v>
      </c>
      <c r="AV597" s="14">
        <v>46092</v>
      </c>
      <c r="AW597" s="14">
        <v>46093</v>
      </c>
      <c r="AY597" s="2">
        <v>8093427</v>
      </c>
      <c r="AZ597" s="5">
        <v>46097</v>
      </c>
      <c r="BA597" s="1">
        <v>19161005</v>
      </c>
      <c r="BB597" s="2">
        <v>3448981</v>
      </c>
      <c r="BC597" s="5">
        <v>46097</v>
      </c>
      <c r="BD597" s="5">
        <v>46097</v>
      </c>
      <c r="BF597" s="5">
        <v>46098</v>
      </c>
      <c r="BG597" s="5">
        <v>46099</v>
      </c>
      <c r="BH597" s="1" t="s">
        <v>4197</v>
      </c>
      <c r="BI597" s="1" t="s">
        <v>273</v>
      </c>
      <c r="BQ597" s="14">
        <v>46093</v>
      </c>
      <c r="BR597" s="5">
        <v>46094</v>
      </c>
    </row>
    <row r="598" spans="1:70" ht="18" customHeight="1" x14ac:dyDescent="0.3">
      <c r="A598" s="2">
        <v>598</v>
      </c>
      <c r="B598" s="7">
        <v>1038117</v>
      </c>
      <c r="C598" s="111">
        <v>46061</v>
      </c>
      <c r="D598" s="2">
        <v>207146</v>
      </c>
      <c r="E598" s="2" t="s">
        <v>681</v>
      </c>
      <c r="F598" s="2" t="s">
        <v>3014</v>
      </c>
      <c r="G598" s="2" t="s">
        <v>3082</v>
      </c>
      <c r="H598" s="2">
        <v>100</v>
      </c>
      <c r="I598" s="83">
        <v>53556</v>
      </c>
      <c r="J598" s="2" t="s">
        <v>142</v>
      </c>
      <c r="K598" s="2" t="s">
        <v>126</v>
      </c>
      <c r="L598" s="2" t="s">
        <v>854</v>
      </c>
      <c r="M598" s="134">
        <v>46090</v>
      </c>
      <c r="N598" s="56" t="s">
        <v>4198</v>
      </c>
      <c r="Q598" s="67">
        <f t="shared" si="70"/>
        <v>2</v>
      </c>
      <c r="R598" s="29">
        <f t="shared" si="63"/>
        <v>7</v>
      </c>
      <c r="S598" s="15">
        <f t="shared" si="71"/>
        <v>945</v>
      </c>
      <c r="T598" s="1"/>
      <c r="U598" s="1" t="s">
        <v>4050</v>
      </c>
      <c r="V598" s="2" t="s">
        <v>755</v>
      </c>
      <c r="W598" s="1" t="s">
        <v>827</v>
      </c>
      <c r="X598" s="2" t="s">
        <v>4073</v>
      </c>
      <c r="Y598" s="14">
        <v>46091</v>
      </c>
      <c r="Z598" s="14">
        <v>46093</v>
      </c>
      <c r="AA598" s="14">
        <v>46090</v>
      </c>
      <c r="AB598" s="14">
        <v>46090</v>
      </c>
      <c r="AC598" s="14">
        <v>46092</v>
      </c>
      <c r="AD598" s="2">
        <v>21708525112</v>
      </c>
      <c r="AE598" s="2" t="s">
        <v>4053</v>
      </c>
      <c r="AF598" s="2">
        <v>3</v>
      </c>
      <c r="AG598" s="2">
        <v>728</v>
      </c>
      <c r="AH598" s="2"/>
      <c r="AI598" s="2" t="s">
        <v>3116</v>
      </c>
      <c r="AJ598" s="2"/>
      <c r="AK598" s="14">
        <v>46090</v>
      </c>
      <c r="AL598" s="14">
        <v>46090</v>
      </c>
      <c r="AM598" s="14">
        <v>46091</v>
      </c>
      <c r="AN598" s="2"/>
      <c r="AO598" s="2">
        <v>7974114</v>
      </c>
      <c r="AP598" s="14">
        <v>46091</v>
      </c>
      <c r="AQ598" s="14">
        <v>46092</v>
      </c>
      <c r="AS598" s="2"/>
      <c r="AT598" s="44">
        <v>53612</v>
      </c>
      <c r="AV598" s="14">
        <v>46091</v>
      </c>
      <c r="AW598" s="14">
        <v>46091</v>
      </c>
      <c r="AY598" s="2">
        <v>8020342</v>
      </c>
      <c r="AZ598" s="5">
        <v>46093</v>
      </c>
      <c r="BA598" s="1">
        <v>19161005</v>
      </c>
      <c r="BB598" s="2">
        <v>3448981</v>
      </c>
      <c r="BC598" s="5">
        <v>46093</v>
      </c>
      <c r="BD598" s="5">
        <v>46093</v>
      </c>
      <c r="BF598" s="14">
        <v>46094</v>
      </c>
      <c r="BG598" s="5">
        <v>46099</v>
      </c>
      <c r="BH598" s="1" t="s">
        <v>4197</v>
      </c>
      <c r="BI598" s="1" t="s">
        <v>273</v>
      </c>
      <c r="BQ598" s="14">
        <v>46091</v>
      </c>
      <c r="BR598" s="5">
        <v>46091</v>
      </c>
    </row>
    <row r="599" spans="1:70" ht="18" customHeight="1" x14ac:dyDescent="0.3">
      <c r="A599" s="2">
        <v>599</v>
      </c>
      <c r="B599" s="7">
        <v>260213935</v>
      </c>
      <c r="C599" s="111">
        <v>46080</v>
      </c>
      <c r="D599" s="2">
        <v>656638.07999999996</v>
      </c>
      <c r="E599" s="2" t="s">
        <v>677</v>
      </c>
      <c r="F599" s="2" t="s">
        <v>1816</v>
      </c>
      <c r="G599" s="2" t="s">
        <v>1815</v>
      </c>
      <c r="H599" s="2">
        <v>14</v>
      </c>
      <c r="I599" s="83">
        <v>53500</v>
      </c>
      <c r="J599" s="2" t="s">
        <v>142</v>
      </c>
      <c r="K599" s="2" t="s">
        <v>126</v>
      </c>
      <c r="L599" s="2" t="s">
        <v>854</v>
      </c>
      <c r="M599" s="134">
        <v>46087</v>
      </c>
      <c r="N599" s="56" t="s">
        <v>4202</v>
      </c>
      <c r="Q599" s="67">
        <f t="shared" si="70"/>
        <v>3</v>
      </c>
      <c r="R599" s="29">
        <f t="shared" si="63"/>
        <v>9</v>
      </c>
      <c r="S599" s="15">
        <f t="shared" si="71"/>
        <v>405</v>
      </c>
      <c r="T599" s="1"/>
      <c r="U599" s="1" t="s">
        <v>4003</v>
      </c>
      <c r="V599" s="2" t="s">
        <v>755</v>
      </c>
      <c r="W599" s="1" t="s">
        <v>827</v>
      </c>
      <c r="X599" s="2" t="s">
        <v>4039</v>
      </c>
      <c r="Y599" s="14">
        <v>46086</v>
      </c>
      <c r="Z599" s="14">
        <v>46090</v>
      </c>
      <c r="AA599" s="14">
        <v>46087</v>
      </c>
      <c r="AB599" s="14">
        <v>46087</v>
      </c>
      <c r="AC599" s="14">
        <v>46090</v>
      </c>
      <c r="AD599" s="50" t="s">
        <v>4019</v>
      </c>
      <c r="AE599" s="2">
        <v>4840760556</v>
      </c>
      <c r="AF599" s="2">
        <v>1</v>
      </c>
      <c r="AG599" s="2">
        <v>74.5</v>
      </c>
      <c r="AH599" s="2"/>
      <c r="AI599" s="2" t="s">
        <v>179</v>
      </c>
      <c r="AJ599" s="2"/>
      <c r="AK599" s="14">
        <v>46083</v>
      </c>
      <c r="AL599" s="14">
        <v>46083</v>
      </c>
      <c r="AM599" s="14">
        <v>46086</v>
      </c>
      <c r="AN599" s="2"/>
      <c r="AO599" s="2">
        <v>7923726</v>
      </c>
      <c r="AP599" s="14">
        <v>46088</v>
      </c>
      <c r="AQ599" s="14">
        <v>46090</v>
      </c>
      <c r="AS599" s="2"/>
      <c r="AT599" s="44">
        <v>53584</v>
      </c>
      <c r="AV599" s="14">
        <v>46090</v>
      </c>
      <c r="AW599" s="14">
        <v>46091</v>
      </c>
      <c r="AY599" s="2">
        <v>7995395</v>
      </c>
      <c r="AZ599" s="5">
        <v>46092</v>
      </c>
      <c r="BA599" s="1">
        <v>60739022</v>
      </c>
      <c r="BB599" s="2">
        <v>10933024</v>
      </c>
      <c r="BC599" s="5">
        <v>46092</v>
      </c>
      <c r="BD599" s="5">
        <v>46092</v>
      </c>
      <c r="BF599" s="5">
        <v>46093</v>
      </c>
      <c r="BG599" s="5">
        <v>46099</v>
      </c>
      <c r="BH599" s="1" t="s">
        <v>4201</v>
      </c>
      <c r="BI599" s="1" t="s">
        <v>273</v>
      </c>
      <c r="BQ599" s="14">
        <v>46091</v>
      </c>
      <c r="BR599" s="14">
        <v>46091</v>
      </c>
    </row>
    <row r="600" spans="1:70" ht="18" customHeight="1" x14ac:dyDescent="0.3">
      <c r="A600" s="2">
        <v>600</v>
      </c>
      <c r="B600" s="7">
        <v>260213755</v>
      </c>
      <c r="C600" s="111">
        <v>46080</v>
      </c>
      <c r="D600" s="2">
        <v>305701.5</v>
      </c>
      <c r="E600" s="2" t="s">
        <v>677</v>
      </c>
      <c r="F600" s="2" t="s">
        <v>1832</v>
      </c>
      <c r="G600" s="2" t="s">
        <v>1833</v>
      </c>
      <c r="H600" s="2">
        <v>6</v>
      </c>
      <c r="I600" s="83">
        <v>53502</v>
      </c>
      <c r="J600" s="2" t="s">
        <v>142</v>
      </c>
      <c r="K600" s="2" t="s">
        <v>126</v>
      </c>
      <c r="L600" s="2" t="s">
        <v>854</v>
      </c>
      <c r="M600" s="134">
        <v>46087</v>
      </c>
      <c r="N600" s="56" t="s">
        <v>4203</v>
      </c>
      <c r="Q600" s="67">
        <f t="shared" si="70"/>
        <v>3</v>
      </c>
      <c r="R600" s="29">
        <f t="shared" si="63"/>
        <v>9</v>
      </c>
      <c r="S600" s="15">
        <f t="shared" si="71"/>
        <v>2430</v>
      </c>
      <c r="T600" s="1"/>
      <c r="U600" s="1" t="s">
        <v>4003</v>
      </c>
      <c r="V600" s="2" t="s">
        <v>755</v>
      </c>
      <c r="W600" s="1" t="s">
        <v>827</v>
      </c>
      <c r="X600" s="2" t="s">
        <v>4041</v>
      </c>
      <c r="Y600" s="14">
        <v>46086</v>
      </c>
      <c r="Z600" s="14">
        <v>46090</v>
      </c>
      <c r="AA600" s="14">
        <v>46087</v>
      </c>
      <c r="AB600" s="14">
        <v>46087</v>
      </c>
      <c r="AC600" s="14">
        <v>46090</v>
      </c>
      <c r="AD600" s="50" t="s">
        <v>4019</v>
      </c>
      <c r="AE600" s="2">
        <v>4840760557</v>
      </c>
      <c r="AF600" s="2">
        <v>6</v>
      </c>
      <c r="AG600" s="2">
        <v>21</v>
      </c>
      <c r="AH600" s="2"/>
      <c r="AI600" s="2" t="s">
        <v>179</v>
      </c>
      <c r="AJ600" s="2"/>
      <c r="AK600" s="14">
        <v>46083</v>
      </c>
      <c r="AL600" s="14">
        <v>46083</v>
      </c>
      <c r="AM600" s="14">
        <v>46083</v>
      </c>
      <c r="AN600" s="2"/>
      <c r="AO600" s="2">
        <v>7924845</v>
      </c>
      <c r="AP600" s="14">
        <v>46088</v>
      </c>
      <c r="AQ600" s="14">
        <v>46090</v>
      </c>
      <c r="AS600" s="2"/>
      <c r="AT600" s="44">
        <v>53585</v>
      </c>
      <c r="AV600" s="14">
        <v>46090</v>
      </c>
      <c r="AW600" s="14">
        <v>46091</v>
      </c>
      <c r="AY600" s="2">
        <v>7995393</v>
      </c>
      <c r="AZ600" s="5">
        <v>46092</v>
      </c>
      <c r="BA600" s="1">
        <v>28277389</v>
      </c>
      <c r="BB600" s="2">
        <v>5089930</v>
      </c>
      <c r="BC600" s="5">
        <v>46092</v>
      </c>
      <c r="BD600" s="5">
        <v>46092</v>
      </c>
      <c r="BF600" s="5">
        <v>46093</v>
      </c>
      <c r="BG600" s="5">
        <v>46099</v>
      </c>
      <c r="BH600" s="1" t="s">
        <v>4201</v>
      </c>
      <c r="BI600" s="1" t="s">
        <v>273</v>
      </c>
      <c r="BQ600" s="14">
        <v>46091</v>
      </c>
      <c r="BR600" s="14">
        <v>46091</v>
      </c>
    </row>
    <row r="601" spans="1:70" ht="18" customHeight="1" x14ac:dyDescent="0.3">
      <c r="A601" s="2">
        <v>601</v>
      </c>
      <c r="B601" s="7">
        <v>260213753</v>
      </c>
      <c r="C601" s="111">
        <v>46080</v>
      </c>
      <c r="D601" s="2">
        <v>36345.72</v>
      </c>
      <c r="E601" s="2" t="s">
        <v>677</v>
      </c>
      <c r="F601" s="2" t="s">
        <v>1483</v>
      </c>
      <c r="G601" s="2" t="s">
        <v>417</v>
      </c>
      <c r="H601" s="2">
        <v>2</v>
      </c>
      <c r="I601" s="83">
        <v>53503</v>
      </c>
      <c r="J601" s="2" t="s">
        <v>142</v>
      </c>
      <c r="K601" s="2" t="s">
        <v>126</v>
      </c>
      <c r="L601" s="2" t="s">
        <v>854</v>
      </c>
      <c r="M601" s="134">
        <v>46087</v>
      </c>
      <c r="N601" s="56" t="s">
        <v>4204</v>
      </c>
      <c r="Q601" s="67">
        <f t="shared" si="70"/>
        <v>3</v>
      </c>
      <c r="R601" s="29">
        <f t="shared" si="63"/>
        <v>9</v>
      </c>
      <c r="S601" s="15">
        <f t="shared" si="71"/>
        <v>810</v>
      </c>
      <c r="T601" s="1"/>
      <c r="U601" s="1" t="s">
        <v>4004</v>
      </c>
      <c r="V601" s="2" t="s">
        <v>755</v>
      </c>
      <c r="W601" s="1" t="s">
        <v>827</v>
      </c>
      <c r="X601" s="2" t="s">
        <v>4040</v>
      </c>
      <c r="Y601" s="14">
        <v>46086</v>
      </c>
      <c r="Z601" s="14">
        <v>46090</v>
      </c>
      <c r="AA601" s="14">
        <v>46087</v>
      </c>
      <c r="AB601" s="14">
        <v>46087</v>
      </c>
      <c r="AC601" s="14">
        <v>46090</v>
      </c>
      <c r="AD601" s="50" t="s">
        <v>4019</v>
      </c>
      <c r="AE601" s="2">
        <v>4840760558</v>
      </c>
      <c r="AF601" s="2">
        <v>2</v>
      </c>
      <c r="AG601" s="2">
        <v>11</v>
      </c>
      <c r="AH601" s="2"/>
      <c r="AI601" s="2" t="s">
        <v>179</v>
      </c>
      <c r="AJ601" s="2"/>
      <c r="AK601" s="14">
        <v>46083</v>
      </c>
      <c r="AL601" s="14">
        <v>46083</v>
      </c>
      <c r="AM601" s="14">
        <v>46083</v>
      </c>
      <c r="AN601" s="2"/>
      <c r="AO601" s="2">
        <v>7924844</v>
      </c>
      <c r="AP601" s="14">
        <v>46088</v>
      </c>
      <c r="AQ601" s="14">
        <v>46090</v>
      </c>
      <c r="AS601" s="2"/>
      <c r="AT601" s="44">
        <v>53587</v>
      </c>
      <c r="AV601" s="14">
        <v>46090</v>
      </c>
      <c r="AW601" s="14">
        <v>46091</v>
      </c>
      <c r="AY601" s="2">
        <v>7995396</v>
      </c>
      <c r="AZ601" s="5">
        <v>46092</v>
      </c>
      <c r="BA601" s="1">
        <v>3361979</v>
      </c>
      <c r="BB601" s="2">
        <v>605156</v>
      </c>
      <c r="BC601" s="5">
        <v>46092</v>
      </c>
      <c r="BD601" s="5">
        <v>46092</v>
      </c>
      <c r="BF601" s="5">
        <v>46093</v>
      </c>
      <c r="BG601" s="5">
        <v>46099</v>
      </c>
      <c r="BH601" s="1" t="s">
        <v>4201</v>
      </c>
      <c r="BI601" s="1" t="s">
        <v>273</v>
      </c>
      <c r="BQ601" s="14">
        <v>46091</v>
      </c>
      <c r="BR601" s="14">
        <v>46091</v>
      </c>
    </row>
    <row r="602" spans="1:70" ht="18" customHeight="1" x14ac:dyDescent="0.3">
      <c r="A602" s="2">
        <v>602</v>
      </c>
      <c r="B602" s="7">
        <v>260215541</v>
      </c>
      <c r="C602" s="111">
        <v>46080</v>
      </c>
      <c r="D602" s="2">
        <v>54367.82</v>
      </c>
      <c r="E602" s="2" t="s">
        <v>677</v>
      </c>
      <c r="F602" s="2" t="s">
        <v>1198</v>
      </c>
      <c r="G602" s="2" t="s">
        <v>3644</v>
      </c>
      <c r="H602" s="2">
        <v>1</v>
      </c>
      <c r="I602" s="83">
        <v>53504</v>
      </c>
      <c r="J602" s="2" t="s">
        <v>142</v>
      </c>
      <c r="K602" s="2" t="s">
        <v>126</v>
      </c>
      <c r="L602" s="2" t="s">
        <v>854</v>
      </c>
      <c r="M602" s="134">
        <v>46087</v>
      </c>
      <c r="N602" s="56" t="s">
        <v>4205</v>
      </c>
      <c r="Q602" s="67">
        <f t="shared" si="70"/>
        <v>3</v>
      </c>
      <c r="R602" s="29">
        <f t="shared" si="63"/>
        <v>9</v>
      </c>
      <c r="S602" s="15">
        <f t="shared" si="71"/>
        <v>405</v>
      </c>
      <c r="T602" s="1"/>
      <c r="U602" s="1" t="s">
        <v>4005</v>
      </c>
      <c r="V602" s="2" t="s">
        <v>755</v>
      </c>
      <c r="W602" s="1" t="s">
        <v>827</v>
      </c>
      <c r="X602" s="2" t="s">
        <v>4038</v>
      </c>
      <c r="Y602" s="14">
        <v>46086</v>
      </c>
      <c r="Z602" s="14">
        <v>46090</v>
      </c>
      <c r="AA602" s="14">
        <v>46087</v>
      </c>
      <c r="AB602" s="14">
        <v>46087</v>
      </c>
      <c r="AC602" s="14">
        <v>46090</v>
      </c>
      <c r="AD602" s="50" t="s">
        <v>4019</v>
      </c>
      <c r="AE602" s="2">
        <v>4840760559</v>
      </c>
      <c r="AF602" s="2">
        <v>1</v>
      </c>
      <c r="AG602" s="2">
        <v>3</v>
      </c>
      <c r="AH602" s="2"/>
      <c r="AI602" s="2" t="s">
        <v>179</v>
      </c>
      <c r="AJ602" s="2"/>
      <c r="AK602" s="14">
        <v>46083</v>
      </c>
      <c r="AL602" s="14">
        <v>46083</v>
      </c>
      <c r="AM602" s="14">
        <v>46083</v>
      </c>
      <c r="AN602" s="2"/>
      <c r="AO602" s="2">
        <v>7924847</v>
      </c>
      <c r="AP602" s="14">
        <v>46088</v>
      </c>
      <c r="AQ602" s="14">
        <v>46090</v>
      </c>
      <c r="AS602" s="2"/>
      <c r="AT602" s="44">
        <v>53588</v>
      </c>
      <c r="AV602" s="14">
        <v>46090</v>
      </c>
      <c r="AW602" s="14">
        <v>46091</v>
      </c>
      <c r="AY602" s="2">
        <v>7995391</v>
      </c>
      <c r="AZ602" s="5">
        <v>46092</v>
      </c>
      <c r="BA602" s="1">
        <v>5029023</v>
      </c>
      <c r="BB602" s="2">
        <v>905224</v>
      </c>
      <c r="BC602" s="5">
        <v>46092</v>
      </c>
      <c r="BD602" s="5">
        <v>46092</v>
      </c>
      <c r="BF602" s="5">
        <v>46093</v>
      </c>
      <c r="BG602" s="5">
        <v>46099</v>
      </c>
      <c r="BH602" s="1" t="s">
        <v>4201</v>
      </c>
      <c r="BI602" s="1" t="s">
        <v>273</v>
      </c>
      <c r="BQ602" s="14">
        <v>46091</v>
      </c>
      <c r="BR602" s="14">
        <v>46091</v>
      </c>
    </row>
    <row r="603" spans="1:70" ht="18" customHeight="1" x14ac:dyDescent="0.3">
      <c r="A603" s="2">
        <v>603</v>
      </c>
      <c r="B603" s="7">
        <v>1038118</v>
      </c>
      <c r="C603" s="111">
        <v>46061</v>
      </c>
      <c r="D603" s="2">
        <v>207146</v>
      </c>
      <c r="E603" s="2" t="s">
        <v>681</v>
      </c>
      <c r="F603" s="2" t="s">
        <v>3014</v>
      </c>
      <c r="G603" s="2" t="s">
        <v>3082</v>
      </c>
      <c r="H603" s="2">
        <v>100</v>
      </c>
      <c r="I603" s="83">
        <v>53552</v>
      </c>
      <c r="J603" s="2" t="s">
        <v>142</v>
      </c>
      <c r="K603" s="2" t="s">
        <v>126</v>
      </c>
      <c r="L603" s="2" t="s">
        <v>854</v>
      </c>
      <c r="M603" s="134">
        <v>46090</v>
      </c>
      <c r="N603" s="56" t="s">
        <v>4206</v>
      </c>
      <c r="Q603" s="67">
        <f t="shared" si="70"/>
        <v>2</v>
      </c>
      <c r="R603" s="29">
        <f t="shared" si="63"/>
        <v>7</v>
      </c>
      <c r="S603" s="15">
        <f t="shared" si="71"/>
        <v>945</v>
      </c>
      <c r="T603" s="1"/>
      <c r="U603" s="1" t="s">
        <v>4050</v>
      </c>
      <c r="V603" s="2" t="s">
        <v>755</v>
      </c>
      <c r="W603" s="1" t="s">
        <v>827</v>
      </c>
      <c r="X603" s="2" t="s">
        <v>4070</v>
      </c>
      <c r="Y603" s="14">
        <v>46091</v>
      </c>
      <c r="Z603" s="14">
        <v>46093</v>
      </c>
      <c r="AA603" s="14">
        <v>46090</v>
      </c>
      <c r="AB603" s="14">
        <v>46090</v>
      </c>
      <c r="AC603" s="14">
        <v>46092</v>
      </c>
      <c r="AD603" s="2">
        <v>21708525123</v>
      </c>
      <c r="AE603" s="2" t="s">
        <v>4051</v>
      </c>
      <c r="AF603" s="2">
        <v>3</v>
      </c>
      <c r="AG603" s="2">
        <v>720</v>
      </c>
      <c r="AH603" s="2"/>
      <c r="AI603" s="2" t="s">
        <v>3116</v>
      </c>
      <c r="AJ603" s="2"/>
      <c r="AK603" s="14">
        <v>46088</v>
      </c>
      <c r="AL603" s="14">
        <v>46090</v>
      </c>
      <c r="AM603" s="14">
        <v>46090</v>
      </c>
      <c r="AN603" s="2"/>
      <c r="AO603" s="2">
        <v>7974958</v>
      </c>
      <c r="AP603" s="14">
        <v>46091</v>
      </c>
      <c r="AQ603" s="14">
        <v>46092</v>
      </c>
      <c r="AR603" s="15" t="s">
        <v>4081</v>
      </c>
      <c r="AS603" s="2"/>
      <c r="AT603" s="44">
        <v>53607</v>
      </c>
      <c r="AV603" s="14">
        <v>46091</v>
      </c>
      <c r="AW603" s="14">
        <v>46091</v>
      </c>
      <c r="AY603" s="2">
        <v>8020128</v>
      </c>
      <c r="AZ603" s="5">
        <v>46093</v>
      </c>
      <c r="BA603" s="1">
        <v>19161005</v>
      </c>
      <c r="BB603" s="2">
        <v>3448981</v>
      </c>
      <c r="BC603" s="5">
        <v>46093</v>
      </c>
      <c r="BD603" s="5">
        <v>46093</v>
      </c>
      <c r="BF603" s="14">
        <v>46094</v>
      </c>
      <c r="BG603" s="5">
        <v>46099</v>
      </c>
      <c r="BH603" s="1" t="s">
        <v>4201</v>
      </c>
      <c r="BI603" s="1" t="s">
        <v>273</v>
      </c>
      <c r="BQ603" s="14">
        <v>46091</v>
      </c>
      <c r="BR603" s="5">
        <v>46091</v>
      </c>
    </row>
    <row r="604" spans="1:70" ht="18" customHeight="1" x14ac:dyDescent="0.3">
      <c r="A604" s="2">
        <v>604</v>
      </c>
      <c r="B604" s="7">
        <v>1038116</v>
      </c>
      <c r="C604" s="111">
        <v>46061</v>
      </c>
      <c r="D604" s="2">
        <v>207146</v>
      </c>
      <c r="E604" s="2" t="s">
        <v>681</v>
      </c>
      <c r="F604" s="2" t="s">
        <v>3014</v>
      </c>
      <c r="G604" s="2" t="s">
        <v>3082</v>
      </c>
      <c r="H604" s="2">
        <v>100</v>
      </c>
      <c r="I604" s="83">
        <v>53553</v>
      </c>
      <c r="J604" s="2" t="s">
        <v>142</v>
      </c>
      <c r="K604" s="2" t="s">
        <v>126</v>
      </c>
      <c r="L604" s="2" t="s">
        <v>854</v>
      </c>
      <c r="M604" s="134">
        <v>46089</v>
      </c>
      <c r="N604" s="56" t="s">
        <v>4206</v>
      </c>
      <c r="Q604" s="67">
        <f t="shared" si="70"/>
        <v>3</v>
      </c>
      <c r="R604" s="29">
        <f t="shared" si="63"/>
        <v>7</v>
      </c>
      <c r="S604" s="15">
        <f t="shared" si="71"/>
        <v>945</v>
      </c>
      <c r="T604" s="1"/>
      <c r="U604" s="1" t="s">
        <v>4050</v>
      </c>
      <c r="V604" s="2" t="s">
        <v>755</v>
      </c>
      <c r="W604" s="1" t="s">
        <v>827</v>
      </c>
      <c r="X604" s="2" t="s">
        <v>4071</v>
      </c>
      <c r="Y604" s="14">
        <v>46091</v>
      </c>
      <c r="Z604" s="14">
        <v>46093</v>
      </c>
      <c r="AA604" s="14">
        <v>46089</v>
      </c>
      <c r="AB604" s="14">
        <v>46089</v>
      </c>
      <c r="AC604" s="14">
        <v>46092</v>
      </c>
      <c r="AD604" s="2">
        <v>21708525101</v>
      </c>
      <c r="AE604" s="2" t="s">
        <v>4052</v>
      </c>
      <c r="AF604" s="2">
        <v>3</v>
      </c>
      <c r="AG604" s="2">
        <v>720</v>
      </c>
      <c r="AH604" s="2"/>
      <c r="AI604" s="2" t="s">
        <v>3116</v>
      </c>
      <c r="AJ604" s="2"/>
      <c r="AK604" s="14">
        <v>46088</v>
      </c>
      <c r="AL604" s="14">
        <v>46090</v>
      </c>
      <c r="AM604" s="14">
        <v>46090</v>
      </c>
      <c r="AN604" s="2"/>
      <c r="AO604" s="2">
        <v>7957483</v>
      </c>
      <c r="AP604" s="14">
        <v>46090</v>
      </c>
      <c r="AQ604" s="14">
        <v>46092</v>
      </c>
      <c r="AR604" s="15" t="s">
        <v>4082</v>
      </c>
      <c r="AS604" s="2"/>
      <c r="AT604" s="44">
        <v>53600</v>
      </c>
      <c r="AV604" s="14">
        <v>46091</v>
      </c>
      <c r="AW604" s="14">
        <v>46091</v>
      </c>
      <c r="AY604" s="2">
        <v>8019291</v>
      </c>
      <c r="AZ604" s="5">
        <v>46093</v>
      </c>
      <c r="BA604" s="1">
        <v>19161005</v>
      </c>
      <c r="BB604" s="2">
        <v>3448981</v>
      </c>
      <c r="BC604" s="5">
        <v>46093</v>
      </c>
      <c r="BD604" s="5">
        <v>46093</v>
      </c>
      <c r="BF604" s="14">
        <v>46094</v>
      </c>
      <c r="BG604" s="5">
        <v>46099</v>
      </c>
      <c r="BH604" s="1" t="s">
        <v>4201</v>
      </c>
      <c r="BI604" s="1" t="s">
        <v>273</v>
      </c>
      <c r="BQ604" s="14">
        <v>46091</v>
      </c>
      <c r="BR604" s="5">
        <v>46091</v>
      </c>
    </row>
    <row r="605" spans="1:70" ht="18" customHeight="1" x14ac:dyDescent="0.3">
      <c r="A605" s="2">
        <v>605</v>
      </c>
      <c r="B605" s="7">
        <v>1038121</v>
      </c>
      <c r="C605" s="111">
        <v>46077</v>
      </c>
      <c r="D605" s="2">
        <v>207146</v>
      </c>
      <c r="E605" s="2" t="s">
        <v>681</v>
      </c>
      <c r="F605" s="2" t="s">
        <v>3014</v>
      </c>
      <c r="G605" s="2" t="s">
        <v>3082</v>
      </c>
      <c r="H605" s="2">
        <v>100</v>
      </c>
      <c r="I605" s="83">
        <v>53554</v>
      </c>
      <c r="J605" s="2" t="s">
        <v>142</v>
      </c>
      <c r="K605" s="2" t="s">
        <v>126</v>
      </c>
      <c r="L605" s="2" t="s">
        <v>854</v>
      </c>
      <c r="M605" s="134">
        <v>46090</v>
      </c>
      <c r="N605" s="56" t="s">
        <v>4207</v>
      </c>
      <c r="Q605" s="67">
        <f t="shared" si="70"/>
        <v>2</v>
      </c>
      <c r="R605" s="29">
        <f t="shared" si="63"/>
        <v>7</v>
      </c>
      <c r="S605" s="15">
        <f t="shared" si="71"/>
        <v>945</v>
      </c>
      <c r="T605" s="1"/>
      <c r="U605" s="1" t="s">
        <v>4050</v>
      </c>
      <c r="V605" s="2" t="s">
        <v>755</v>
      </c>
      <c r="W605" s="1" t="s">
        <v>827</v>
      </c>
      <c r="X605" s="2" t="s">
        <v>4072</v>
      </c>
      <c r="Y605" s="14">
        <v>46091</v>
      </c>
      <c r="Z605" s="14">
        <v>46093</v>
      </c>
      <c r="AA605" s="14">
        <v>46090</v>
      </c>
      <c r="AB605" s="14">
        <v>46090</v>
      </c>
      <c r="AC605" s="14">
        <v>46092</v>
      </c>
      <c r="AD605" s="2">
        <v>21708525145</v>
      </c>
      <c r="AE605" s="2" t="s">
        <v>4053</v>
      </c>
      <c r="AF605" s="2">
        <v>3</v>
      </c>
      <c r="AG605" s="2">
        <v>728</v>
      </c>
      <c r="AH605" s="2"/>
      <c r="AI605" s="2" t="s">
        <v>3116</v>
      </c>
      <c r="AJ605" s="2"/>
      <c r="AK605" s="14">
        <v>46090</v>
      </c>
      <c r="AL605" s="14">
        <v>46090</v>
      </c>
      <c r="AM605" s="14">
        <v>46091</v>
      </c>
      <c r="AN605" s="2"/>
      <c r="AO605" s="2">
        <v>7974614</v>
      </c>
      <c r="AP605" s="14">
        <v>46091</v>
      </c>
      <c r="AQ605" s="14">
        <v>46092</v>
      </c>
      <c r="AS605" s="2"/>
      <c r="AT605" s="44">
        <v>53608</v>
      </c>
      <c r="AV605" s="14">
        <v>46091</v>
      </c>
      <c r="AW605" s="14">
        <v>46091</v>
      </c>
      <c r="AY605" s="2">
        <v>8020182</v>
      </c>
      <c r="AZ605" s="5">
        <v>46093</v>
      </c>
      <c r="BA605" s="1">
        <v>19161005</v>
      </c>
      <c r="BB605" s="2">
        <v>3448981</v>
      </c>
      <c r="BC605" s="5">
        <v>46093</v>
      </c>
      <c r="BD605" s="5">
        <v>46093</v>
      </c>
      <c r="BF605" s="14">
        <v>46094</v>
      </c>
      <c r="BG605" s="5">
        <v>46099</v>
      </c>
      <c r="BH605" s="1" t="s">
        <v>4201</v>
      </c>
      <c r="BI605" s="1" t="s">
        <v>273</v>
      </c>
      <c r="BQ605" s="14">
        <v>46091</v>
      </c>
      <c r="BR605" s="5">
        <v>46091</v>
      </c>
    </row>
    <row r="606" spans="1:70" ht="18" customHeight="1" x14ac:dyDescent="0.3">
      <c r="A606" s="2">
        <v>606</v>
      </c>
      <c r="B606" s="8" t="s">
        <v>4056</v>
      </c>
      <c r="C606" s="75" t="s">
        <v>4148</v>
      </c>
      <c r="D606" s="8" t="s">
        <v>4057</v>
      </c>
      <c r="E606" s="2" t="s">
        <v>840</v>
      </c>
      <c r="F606" s="8" t="s">
        <v>1802</v>
      </c>
      <c r="G606" s="8" t="s">
        <v>1803</v>
      </c>
      <c r="H606" s="8" t="s">
        <v>4058</v>
      </c>
      <c r="I606" s="83">
        <v>53583</v>
      </c>
      <c r="J606" s="2" t="s">
        <v>1631</v>
      </c>
      <c r="K606" s="2" t="s">
        <v>126</v>
      </c>
      <c r="L606" s="2" t="s">
        <v>854</v>
      </c>
      <c r="M606" s="134">
        <v>46090</v>
      </c>
      <c r="N606" s="56" t="s">
        <v>4218</v>
      </c>
      <c r="Q606" s="67">
        <f t="shared" ref="Q606:Q611" si="72">AQ606-AB606</f>
        <v>2</v>
      </c>
      <c r="R606" s="29">
        <f t="shared" si="63"/>
        <v>6</v>
      </c>
      <c r="S606" s="15">
        <f t="shared" ref="S606:S611" si="73">AF606*45*R606</f>
        <v>2430</v>
      </c>
      <c r="T606" s="1"/>
      <c r="U606" s="8" t="s">
        <v>4059</v>
      </c>
      <c r="V606" s="1" t="s">
        <v>645</v>
      </c>
      <c r="W606" s="79" t="s">
        <v>426</v>
      </c>
      <c r="X606" s="2">
        <v>20265024977</v>
      </c>
      <c r="Y606" s="14">
        <v>46085</v>
      </c>
      <c r="Z606" s="14">
        <v>46092</v>
      </c>
      <c r="AA606" s="14">
        <v>46066</v>
      </c>
      <c r="AB606" s="14">
        <v>46091</v>
      </c>
      <c r="AC606" s="14">
        <v>46093</v>
      </c>
      <c r="AD606" s="2" t="s">
        <v>4060</v>
      </c>
      <c r="AE606" s="2" t="s">
        <v>4061</v>
      </c>
      <c r="AF606" s="2">
        <v>9</v>
      </c>
      <c r="AG606" s="2">
        <v>15.5</v>
      </c>
      <c r="AH606" s="2"/>
      <c r="AI606" s="2" t="s">
        <v>180</v>
      </c>
      <c r="AJ606" s="2"/>
      <c r="AK606" s="14">
        <v>46089</v>
      </c>
      <c r="AL606" s="14">
        <v>46090</v>
      </c>
      <c r="AM606" s="14">
        <v>46091</v>
      </c>
      <c r="AN606" s="2"/>
      <c r="AO606" s="2">
        <v>7976008</v>
      </c>
      <c r="AP606" s="14">
        <v>46091</v>
      </c>
      <c r="AQ606" s="14">
        <v>46093</v>
      </c>
      <c r="AS606" s="2"/>
      <c r="AT606" s="44">
        <v>53613</v>
      </c>
      <c r="AV606" s="14">
        <v>46091</v>
      </c>
      <c r="AW606" s="14">
        <v>46092</v>
      </c>
      <c r="AY606" s="2">
        <v>8042728</v>
      </c>
      <c r="AZ606" s="5">
        <v>46094</v>
      </c>
      <c r="BA606" s="1">
        <v>24975925</v>
      </c>
      <c r="BB606" s="2">
        <v>4495667</v>
      </c>
      <c r="BC606" s="5">
        <v>46094</v>
      </c>
      <c r="BD606" s="14">
        <v>46094</v>
      </c>
      <c r="BF606" s="14">
        <v>46094</v>
      </c>
      <c r="BG606" s="5">
        <v>46099</v>
      </c>
      <c r="BH606" s="1" t="s">
        <v>4033</v>
      </c>
      <c r="BI606" s="1" t="s">
        <v>4033</v>
      </c>
      <c r="BQ606" s="14">
        <v>46092</v>
      </c>
      <c r="BR606" s="14">
        <v>46092</v>
      </c>
    </row>
    <row r="607" spans="1:70" ht="18" customHeight="1" x14ac:dyDescent="0.3">
      <c r="A607" s="2">
        <v>607</v>
      </c>
      <c r="B607" s="7">
        <v>7103249</v>
      </c>
      <c r="C607" s="111">
        <v>46081</v>
      </c>
      <c r="D607" s="2">
        <v>72695</v>
      </c>
      <c r="E607" s="2" t="s">
        <v>840</v>
      </c>
      <c r="F607" s="8" t="s">
        <v>642</v>
      </c>
      <c r="G607" s="8" t="s">
        <v>1798</v>
      </c>
      <c r="H607" s="8" t="s">
        <v>651</v>
      </c>
      <c r="I607" s="83">
        <v>53539</v>
      </c>
      <c r="J607" s="2" t="s">
        <v>142</v>
      </c>
      <c r="K607" s="2" t="s">
        <v>126</v>
      </c>
      <c r="L607" s="2" t="s">
        <v>854</v>
      </c>
      <c r="M607" s="134">
        <v>46092</v>
      </c>
      <c r="N607" s="56" t="s">
        <v>4311</v>
      </c>
      <c r="Q607" s="67">
        <f t="shared" si="72"/>
        <v>5</v>
      </c>
      <c r="R607" s="29">
        <f t="shared" si="63"/>
        <v>7</v>
      </c>
      <c r="S607" s="15">
        <f t="shared" si="73"/>
        <v>945</v>
      </c>
      <c r="T607" s="1"/>
      <c r="U607" s="2" t="s">
        <v>4042</v>
      </c>
      <c r="V607" s="1" t="s">
        <v>645</v>
      </c>
      <c r="W607" s="79" t="s">
        <v>426</v>
      </c>
      <c r="X607" s="2">
        <v>20265025178</v>
      </c>
      <c r="Y607" s="14">
        <v>46085</v>
      </c>
      <c r="Z607" s="14">
        <v>46090</v>
      </c>
      <c r="AA607" s="14">
        <v>46092</v>
      </c>
      <c r="AB607" s="14">
        <v>46092</v>
      </c>
      <c r="AC607" s="14">
        <v>46097</v>
      </c>
      <c r="AD607" s="2">
        <v>61850878494</v>
      </c>
      <c r="AE607" s="2" t="s">
        <v>4045</v>
      </c>
      <c r="AF607" s="2">
        <v>3</v>
      </c>
      <c r="AG607" s="2">
        <v>693</v>
      </c>
      <c r="AH607" s="2"/>
      <c r="AI607" s="2" t="s">
        <v>180</v>
      </c>
      <c r="AJ607" s="2"/>
      <c r="AK607" s="14">
        <v>46086</v>
      </c>
      <c r="AL607" s="14">
        <v>46087</v>
      </c>
      <c r="AM607" s="14">
        <v>46087</v>
      </c>
      <c r="AN607" s="2"/>
      <c r="AO607" s="2">
        <v>8022062</v>
      </c>
      <c r="AP607" s="14">
        <v>46093</v>
      </c>
      <c r="AQ607" s="14">
        <v>46097</v>
      </c>
      <c r="AS607" s="2"/>
      <c r="AT607" s="44">
        <v>53670</v>
      </c>
      <c r="AV607" s="14">
        <v>46094</v>
      </c>
      <c r="AW607" s="14">
        <v>46096</v>
      </c>
      <c r="AY607" s="2">
        <v>8119154</v>
      </c>
      <c r="AZ607" s="5">
        <v>46098</v>
      </c>
      <c r="BA607" s="1">
        <v>6724288</v>
      </c>
      <c r="BB607" s="2">
        <v>1210372</v>
      </c>
      <c r="BC607" s="5">
        <v>46098</v>
      </c>
      <c r="BD607" s="14">
        <v>46098</v>
      </c>
      <c r="BF607" s="5">
        <v>46099</v>
      </c>
      <c r="BG607" s="5">
        <v>46104</v>
      </c>
      <c r="BH607" s="1" t="s">
        <v>280</v>
      </c>
      <c r="BI607" s="1" t="s">
        <v>280</v>
      </c>
      <c r="BQ607" s="14">
        <v>46096</v>
      </c>
      <c r="BR607" s="1"/>
    </row>
    <row r="608" spans="1:70" ht="18" customHeight="1" x14ac:dyDescent="0.3">
      <c r="A608" s="2">
        <v>608</v>
      </c>
      <c r="B608" s="7">
        <v>1038114</v>
      </c>
      <c r="C608" s="111">
        <v>46057</v>
      </c>
      <c r="D608" s="2">
        <v>207146</v>
      </c>
      <c r="E608" s="2" t="s">
        <v>681</v>
      </c>
      <c r="F608" s="2" t="s">
        <v>3014</v>
      </c>
      <c r="G608" s="2" t="s">
        <v>3082</v>
      </c>
      <c r="H608" s="2">
        <v>100</v>
      </c>
      <c r="I608" s="83">
        <v>53572</v>
      </c>
      <c r="J608" s="2" t="s">
        <v>142</v>
      </c>
      <c r="K608" s="2" t="s">
        <v>126</v>
      </c>
      <c r="L608" s="2" t="s">
        <v>854</v>
      </c>
      <c r="M608" s="134">
        <v>46092</v>
      </c>
      <c r="N608" s="56" t="s">
        <v>4313</v>
      </c>
      <c r="Q608" s="67">
        <f t="shared" si="72"/>
        <v>5</v>
      </c>
      <c r="R608" s="29">
        <f t="shared" si="63"/>
        <v>7</v>
      </c>
      <c r="S608" s="15">
        <f t="shared" si="73"/>
        <v>945</v>
      </c>
      <c r="T608" s="1"/>
      <c r="U608" s="1" t="s">
        <v>4050</v>
      </c>
      <c r="V608" s="2" t="s">
        <v>755</v>
      </c>
      <c r="W608" s="1" t="s">
        <v>827</v>
      </c>
      <c r="X608" s="2" t="s">
        <v>4077</v>
      </c>
      <c r="Y608" s="14">
        <v>46091</v>
      </c>
      <c r="Z608" s="14">
        <v>46093</v>
      </c>
      <c r="AA608" s="14">
        <v>46092</v>
      </c>
      <c r="AB608" s="14">
        <v>46092</v>
      </c>
      <c r="AC608" s="14">
        <v>46097</v>
      </c>
      <c r="AD608" s="2">
        <v>21708525086</v>
      </c>
      <c r="AE608" s="2" t="s">
        <v>4078</v>
      </c>
      <c r="AF608" s="2">
        <v>3</v>
      </c>
      <c r="AG608" s="2">
        <v>724</v>
      </c>
      <c r="AH608" s="2"/>
      <c r="AI608" s="2" t="s">
        <v>3116</v>
      </c>
      <c r="AJ608" s="2"/>
      <c r="AK608" s="14">
        <v>46092</v>
      </c>
      <c r="AL608" s="14">
        <v>46092</v>
      </c>
      <c r="AM608" s="14">
        <v>46092</v>
      </c>
      <c r="AN608" s="2"/>
      <c r="AO608" s="2">
        <v>8022139</v>
      </c>
      <c r="AP608" s="14">
        <v>46093</v>
      </c>
      <c r="AQ608" s="14">
        <v>46097</v>
      </c>
      <c r="AS608" s="2"/>
      <c r="AT608" s="44">
        <v>53666</v>
      </c>
      <c r="AV608" s="14">
        <v>46094</v>
      </c>
      <c r="AW608" s="14">
        <v>46096</v>
      </c>
      <c r="AY608" s="2">
        <v>8118567</v>
      </c>
      <c r="AZ608" s="5">
        <v>46098</v>
      </c>
      <c r="BA608" s="1">
        <v>19161005</v>
      </c>
      <c r="BB608" s="2">
        <v>3448981</v>
      </c>
      <c r="BC608" s="5">
        <v>46098</v>
      </c>
      <c r="BD608" s="14">
        <v>46098</v>
      </c>
      <c r="BF608" s="5">
        <v>46099</v>
      </c>
      <c r="BG608" s="5">
        <v>46104</v>
      </c>
      <c r="BH608" s="1" t="s">
        <v>4312</v>
      </c>
      <c r="BI608" s="1" t="s">
        <v>273</v>
      </c>
      <c r="BQ608" s="5">
        <v>46096</v>
      </c>
      <c r="BR608" s="1"/>
    </row>
    <row r="609" spans="1:70" ht="18" customHeight="1" x14ac:dyDescent="0.3">
      <c r="A609" s="2">
        <v>609</v>
      </c>
      <c r="B609" s="7">
        <v>1038112</v>
      </c>
      <c r="C609" s="111">
        <v>46057</v>
      </c>
      <c r="D609" s="2">
        <v>207146</v>
      </c>
      <c r="E609" s="2" t="s">
        <v>681</v>
      </c>
      <c r="F609" s="2" t="s">
        <v>3014</v>
      </c>
      <c r="G609" s="2" t="s">
        <v>3082</v>
      </c>
      <c r="H609" s="2">
        <v>100</v>
      </c>
      <c r="I609" s="83">
        <v>53574</v>
      </c>
      <c r="J609" s="2" t="s">
        <v>142</v>
      </c>
      <c r="K609" s="2" t="s">
        <v>126</v>
      </c>
      <c r="L609" s="2" t="s">
        <v>854</v>
      </c>
      <c r="M609" s="134">
        <v>46092</v>
      </c>
      <c r="N609" s="56" t="s">
        <v>4314</v>
      </c>
      <c r="Q609" s="67">
        <f t="shared" si="72"/>
        <v>5</v>
      </c>
      <c r="R609" s="29">
        <f t="shared" ref="R609:R648" si="74">BG609-AC609</f>
        <v>7</v>
      </c>
      <c r="S609" s="15">
        <f t="shared" si="73"/>
        <v>945</v>
      </c>
      <c r="T609" s="1"/>
      <c r="U609" s="1" t="s">
        <v>4050</v>
      </c>
      <c r="V609" s="2" t="s">
        <v>755</v>
      </c>
      <c r="W609" s="1" t="s">
        <v>827</v>
      </c>
      <c r="X609" s="2" t="s">
        <v>4079</v>
      </c>
      <c r="Y609" s="14">
        <v>46091</v>
      </c>
      <c r="Z609" s="14">
        <v>46093</v>
      </c>
      <c r="AA609" s="14">
        <v>46092</v>
      </c>
      <c r="AB609" s="14">
        <v>46092</v>
      </c>
      <c r="AC609" s="14">
        <v>46097</v>
      </c>
      <c r="AD609" s="2">
        <v>21708525064</v>
      </c>
      <c r="AE609" s="2" t="s">
        <v>4080</v>
      </c>
      <c r="AF609" s="2">
        <v>3</v>
      </c>
      <c r="AG609" s="2">
        <v>724</v>
      </c>
      <c r="AH609" s="2"/>
      <c r="AI609" s="2" t="s">
        <v>3116</v>
      </c>
      <c r="AJ609" s="2"/>
      <c r="AK609" s="14">
        <v>46092</v>
      </c>
      <c r="AL609" s="14">
        <v>46092</v>
      </c>
      <c r="AM609" s="14">
        <v>46092</v>
      </c>
      <c r="AN609" s="2"/>
      <c r="AO609" s="2">
        <v>8022345</v>
      </c>
      <c r="AP609" s="14">
        <v>46093</v>
      </c>
      <c r="AQ609" s="14">
        <v>46097</v>
      </c>
      <c r="AS609" s="2"/>
      <c r="AT609" s="44">
        <v>53668</v>
      </c>
      <c r="AV609" s="14">
        <v>46094</v>
      </c>
      <c r="AW609" s="14">
        <v>46096</v>
      </c>
      <c r="AY609" s="2">
        <v>8118203</v>
      </c>
      <c r="AZ609" s="5">
        <v>46098</v>
      </c>
      <c r="BA609" s="1">
        <v>19161005</v>
      </c>
      <c r="BB609" s="2">
        <v>3448981</v>
      </c>
      <c r="BC609" s="5">
        <v>46098</v>
      </c>
      <c r="BD609" s="14">
        <v>46098</v>
      </c>
      <c r="BF609" s="5">
        <v>46099</v>
      </c>
      <c r="BG609" s="5">
        <v>46104</v>
      </c>
      <c r="BH609" s="1" t="s">
        <v>4312</v>
      </c>
      <c r="BI609" s="1" t="s">
        <v>273</v>
      </c>
      <c r="BQ609" s="14">
        <v>46096</v>
      </c>
      <c r="BR609" s="1"/>
    </row>
    <row r="610" spans="1:70" ht="18" customHeight="1" x14ac:dyDescent="0.3">
      <c r="A610" s="2">
        <v>610</v>
      </c>
      <c r="B610" s="7">
        <v>1038115</v>
      </c>
      <c r="C610" s="111">
        <v>46057</v>
      </c>
      <c r="D610" s="2">
        <v>207146</v>
      </c>
      <c r="E610" s="2" t="s">
        <v>681</v>
      </c>
      <c r="F610" s="2" t="s">
        <v>3014</v>
      </c>
      <c r="G610" s="2" t="s">
        <v>3082</v>
      </c>
      <c r="H610" s="2">
        <v>100</v>
      </c>
      <c r="I610" s="83">
        <v>53571</v>
      </c>
      <c r="J610" s="2" t="s">
        <v>142</v>
      </c>
      <c r="K610" s="2" t="s">
        <v>126</v>
      </c>
      <c r="L610" s="2" t="s">
        <v>854</v>
      </c>
      <c r="M610" s="134">
        <v>46093</v>
      </c>
      <c r="N610" s="56" t="s">
        <v>4315</v>
      </c>
      <c r="Q610" s="67">
        <f t="shared" si="72"/>
        <v>4</v>
      </c>
      <c r="R610" s="29">
        <f t="shared" si="74"/>
        <v>7</v>
      </c>
      <c r="S610" s="15">
        <f t="shared" si="73"/>
        <v>945</v>
      </c>
      <c r="T610" s="1"/>
      <c r="U610" s="1" t="s">
        <v>4050</v>
      </c>
      <c r="V610" s="2" t="s">
        <v>755</v>
      </c>
      <c r="W610" s="1" t="s">
        <v>827</v>
      </c>
      <c r="X610" s="2" t="s">
        <v>4089</v>
      </c>
      <c r="Y610" s="14">
        <v>46091</v>
      </c>
      <c r="Z610" s="14">
        <v>46093</v>
      </c>
      <c r="AA610" s="14">
        <v>46093</v>
      </c>
      <c r="AB610" s="14">
        <v>46093</v>
      </c>
      <c r="AC610" s="14">
        <v>46097</v>
      </c>
      <c r="AD610" s="2">
        <v>21708525090</v>
      </c>
      <c r="AE610" s="2" t="s">
        <v>4090</v>
      </c>
      <c r="AF610" s="2">
        <v>3</v>
      </c>
      <c r="AG610" s="2">
        <v>724</v>
      </c>
      <c r="AH610" s="2"/>
      <c r="AI610" s="2" t="s">
        <v>3116</v>
      </c>
      <c r="AJ610" s="2"/>
      <c r="AK610" s="14">
        <v>46093</v>
      </c>
      <c r="AL610" s="14">
        <v>46093</v>
      </c>
      <c r="AM610" s="14">
        <v>46093</v>
      </c>
      <c r="AN610" s="2"/>
      <c r="AO610" s="2">
        <v>8045588</v>
      </c>
      <c r="AP610" s="14">
        <v>46094</v>
      </c>
      <c r="AQ610" s="14">
        <v>46097</v>
      </c>
      <c r="AS610" s="2"/>
      <c r="AT610" s="44">
        <v>53665</v>
      </c>
      <c r="AV610" s="14">
        <v>46094</v>
      </c>
      <c r="AW610" s="14">
        <v>46096</v>
      </c>
      <c r="AY610" s="2">
        <v>8118202</v>
      </c>
      <c r="AZ610" s="5">
        <v>46098</v>
      </c>
      <c r="BA610" s="1">
        <v>19161005</v>
      </c>
      <c r="BB610" s="2">
        <v>3448981</v>
      </c>
      <c r="BC610" s="5">
        <v>46098</v>
      </c>
      <c r="BD610" s="14">
        <v>46098</v>
      </c>
      <c r="BF610" s="5">
        <v>46099</v>
      </c>
      <c r="BG610" s="5">
        <v>46104</v>
      </c>
      <c r="BH610" s="1" t="s">
        <v>4312</v>
      </c>
      <c r="BI610" s="1" t="s">
        <v>273</v>
      </c>
      <c r="BQ610" s="14">
        <v>46096</v>
      </c>
      <c r="BR610" s="1"/>
    </row>
    <row r="611" spans="1:70" ht="18" customHeight="1" x14ac:dyDescent="0.3">
      <c r="A611" s="2">
        <v>611</v>
      </c>
      <c r="B611" s="7">
        <v>7091379</v>
      </c>
      <c r="C611" s="111">
        <v>46078</v>
      </c>
      <c r="D611" s="2">
        <v>14539</v>
      </c>
      <c r="E611" s="2" t="s">
        <v>840</v>
      </c>
      <c r="F611" s="8" t="s">
        <v>222</v>
      </c>
      <c r="G611" s="8" t="s">
        <v>560</v>
      </c>
      <c r="H611" s="8" t="s">
        <v>2703</v>
      </c>
      <c r="I611" s="83">
        <v>53656</v>
      </c>
      <c r="J611" s="2" t="s">
        <v>1631</v>
      </c>
      <c r="K611" s="2" t="s">
        <v>126</v>
      </c>
      <c r="L611" s="2" t="s">
        <v>854</v>
      </c>
      <c r="M611" s="134">
        <v>46095</v>
      </c>
      <c r="N611" s="56" t="s">
        <v>4328</v>
      </c>
      <c r="Q611" s="67">
        <f t="shared" si="72"/>
        <v>3</v>
      </c>
      <c r="R611" s="29">
        <f t="shared" si="74"/>
        <v>6</v>
      </c>
      <c r="S611" s="15">
        <f t="shared" si="73"/>
        <v>270</v>
      </c>
      <c r="T611" s="1">
        <v>101</v>
      </c>
      <c r="U611" s="1" t="s">
        <v>1547</v>
      </c>
      <c r="V611" s="2" t="s">
        <v>204</v>
      </c>
      <c r="W611" s="1" t="s">
        <v>203</v>
      </c>
      <c r="X611" s="2">
        <v>20265026592</v>
      </c>
      <c r="Y611" s="14">
        <v>46090</v>
      </c>
      <c r="Z611" s="14">
        <v>46097</v>
      </c>
      <c r="AA611" s="14">
        <v>46083</v>
      </c>
      <c r="AB611" s="14">
        <v>46098</v>
      </c>
      <c r="AC611" s="14">
        <v>46101</v>
      </c>
      <c r="AD611" s="2" t="s">
        <v>4186</v>
      </c>
      <c r="AE611" s="2" t="s">
        <v>4126</v>
      </c>
      <c r="AF611" s="2">
        <v>1</v>
      </c>
      <c r="AG611" s="2">
        <v>1.1399999999999999</v>
      </c>
      <c r="AH611" s="2"/>
      <c r="AI611" s="2" t="s">
        <v>180</v>
      </c>
      <c r="AJ611" s="2"/>
      <c r="AK611" s="14">
        <v>46093</v>
      </c>
      <c r="AL611" s="14">
        <v>46094</v>
      </c>
      <c r="AM611" s="14">
        <v>46094</v>
      </c>
      <c r="AN611" s="2"/>
      <c r="AO611" s="2">
        <v>8131791</v>
      </c>
      <c r="AP611" s="14">
        <v>46098</v>
      </c>
      <c r="AQ611" s="14">
        <v>46101</v>
      </c>
      <c r="AS611" s="2"/>
      <c r="AT611" s="44">
        <v>53771</v>
      </c>
      <c r="AV611" s="14">
        <v>46099</v>
      </c>
      <c r="AW611" s="14">
        <v>46099</v>
      </c>
      <c r="AY611" s="2">
        <v>8228814</v>
      </c>
      <c r="AZ611" s="5">
        <v>46104</v>
      </c>
      <c r="BA611" s="1">
        <v>1370301</v>
      </c>
      <c r="BB611" s="2">
        <v>246654</v>
      </c>
      <c r="BC611" s="5">
        <v>46104</v>
      </c>
      <c r="BD611" s="14">
        <v>46105</v>
      </c>
      <c r="BF611" s="14">
        <v>46105</v>
      </c>
      <c r="BG611" s="5">
        <v>46107</v>
      </c>
      <c r="BH611" s="1" t="s">
        <v>1082</v>
      </c>
      <c r="BI611" s="1" t="s">
        <v>273</v>
      </c>
      <c r="BQ611" s="14">
        <v>46099</v>
      </c>
      <c r="BR611" s="5">
        <v>46102</v>
      </c>
    </row>
    <row r="612" spans="1:70" ht="18" customHeight="1" x14ac:dyDescent="0.3">
      <c r="A612" s="2">
        <v>612</v>
      </c>
      <c r="B612" s="8" t="s">
        <v>3433</v>
      </c>
      <c r="C612" s="8" t="s">
        <v>3434</v>
      </c>
      <c r="D612" s="8" t="s">
        <v>3435</v>
      </c>
      <c r="E612" s="2" t="s">
        <v>840</v>
      </c>
      <c r="F612" s="8" t="s">
        <v>3436</v>
      </c>
      <c r="G612" s="8" t="s">
        <v>3437</v>
      </c>
      <c r="H612" s="8" t="s">
        <v>3438</v>
      </c>
      <c r="I612" s="83">
        <v>52923</v>
      </c>
      <c r="J612" s="2" t="s">
        <v>142</v>
      </c>
      <c r="K612" s="2" t="s">
        <v>126</v>
      </c>
      <c r="L612" s="2" t="s">
        <v>854</v>
      </c>
      <c r="M612" s="134">
        <v>46043</v>
      </c>
      <c r="N612" s="56" t="s">
        <v>4329</v>
      </c>
      <c r="Q612" s="67">
        <f t="shared" ref="Q612:Q621" si="75">AQ612-AB612</f>
        <v>3</v>
      </c>
      <c r="R612" s="29">
        <f t="shared" si="74"/>
        <v>61</v>
      </c>
      <c r="S612" s="15">
        <f t="shared" ref="S612:S621" si="76">AF612*45*R612</f>
        <v>10980</v>
      </c>
      <c r="T612" s="1"/>
      <c r="U612" s="8" t="s">
        <v>3439</v>
      </c>
      <c r="V612" s="2" t="s">
        <v>161</v>
      </c>
      <c r="W612" s="2" t="s">
        <v>454</v>
      </c>
      <c r="X612" s="2">
        <v>20265006078</v>
      </c>
      <c r="Y612" s="14">
        <v>46040</v>
      </c>
      <c r="Z612" s="14">
        <v>46045</v>
      </c>
      <c r="AA612" s="14">
        <v>46043</v>
      </c>
      <c r="AB612" s="14">
        <v>46043</v>
      </c>
      <c r="AC612" s="14">
        <v>46046</v>
      </c>
      <c r="AD612" s="2">
        <v>17621570150</v>
      </c>
      <c r="AE612" s="2" t="s">
        <v>3440</v>
      </c>
      <c r="AF612" s="2">
        <v>4</v>
      </c>
      <c r="AG612" s="2">
        <v>708.5</v>
      </c>
      <c r="AH612" s="2"/>
      <c r="AI612" s="2" t="s">
        <v>180</v>
      </c>
      <c r="AJ612" s="2"/>
      <c r="AK612" s="14">
        <v>46042</v>
      </c>
      <c r="AL612" s="14">
        <v>46042</v>
      </c>
      <c r="AM612" s="14">
        <v>46042</v>
      </c>
      <c r="AN612" s="2"/>
      <c r="AO612" s="2">
        <v>7041782</v>
      </c>
      <c r="AP612" s="14">
        <v>46044</v>
      </c>
      <c r="AQ612" s="14">
        <v>46046</v>
      </c>
      <c r="AS612" s="2"/>
      <c r="AT612" s="44">
        <v>53084</v>
      </c>
      <c r="AV612" s="14">
        <v>46052</v>
      </c>
      <c r="AW612" s="14">
        <v>46055</v>
      </c>
      <c r="AY612" s="2">
        <v>7398768</v>
      </c>
      <c r="AZ612" s="5">
        <v>46062</v>
      </c>
      <c r="BA612" s="1">
        <v>6450954</v>
      </c>
      <c r="BB612" s="2">
        <v>1161172</v>
      </c>
      <c r="BC612" s="5">
        <v>46062</v>
      </c>
      <c r="BD612" s="5">
        <v>46062</v>
      </c>
      <c r="BF612" s="14">
        <v>46063</v>
      </c>
      <c r="BG612" s="5">
        <v>46107</v>
      </c>
      <c r="BH612" s="1" t="s">
        <v>1401</v>
      </c>
      <c r="BI612" s="1" t="s">
        <v>273</v>
      </c>
      <c r="BQ612" s="14">
        <v>46055</v>
      </c>
      <c r="BR612" s="1"/>
    </row>
    <row r="613" spans="1:70" ht="18" customHeight="1" x14ac:dyDescent="0.3">
      <c r="A613" s="2">
        <v>613</v>
      </c>
      <c r="B613" s="7">
        <v>6993071</v>
      </c>
      <c r="C613" s="111">
        <v>45924</v>
      </c>
      <c r="D613" s="2">
        <v>2327</v>
      </c>
      <c r="E613" s="2" t="s">
        <v>840</v>
      </c>
      <c r="F613" s="8" t="s">
        <v>760</v>
      </c>
      <c r="G613" s="8" t="s">
        <v>3672</v>
      </c>
      <c r="H613" s="8" t="s">
        <v>615</v>
      </c>
      <c r="I613" s="83">
        <v>53077</v>
      </c>
      <c r="J613" s="2" t="s">
        <v>142</v>
      </c>
      <c r="K613" s="2" t="s">
        <v>126</v>
      </c>
      <c r="L613" s="2" t="s">
        <v>854</v>
      </c>
      <c r="M613" s="134">
        <v>46049</v>
      </c>
      <c r="N613" s="56" t="s">
        <v>4330</v>
      </c>
      <c r="Q613" s="67">
        <f t="shared" si="75"/>
        <v>6</v>
      </c>
      <c r="R613" s="29">
        <f t="shared" si="74"/>
        <v>52</v>
      </c>
      <c r="S613" s="15">
        <f t="shared" si="76"/>
        <v>2340</v>
      </c>
      <c r="T613" s="1"/>
      <c r="U613" s="1" t="s">
        <v>3673</v>
      </c>
      <c r="V613" s="2" t="s">
        <v>161</v>
      </c>
      <c r="W613" s="2" t="s">
        <v>454</v>
      </c>
      <c r="X613" s="2">
        <v>20265008918</v>
      </c>
      <c r="Y613" s="14">
        <v>46045</v>
      </c>
      <c r="Z613" s="14">
        <v>46052</v>
      </c>
      <c r="AA613" s="14">
        <v>46049</v>
      </c>
      <c r="AB613" s="14">
        <v>46049</v>
      </c>
      <c r="AC613" s="3">
        <v>46055</v>
      </c>
      <c r="AD613" s="2">
        <v>17624852273</v>
      </c>
      <c r="AE613" s="2" t="s">
        <v>3674</v>
      </c>
      <c r="AF613" s="2">
        <v>1</v>
      </c>
      <c r="AG613" s="2">
        <v>28</v>
      </c>
      <c r="AH613" s="2"/>
      <c r="AI613" s="2" t="s">
        <v>180</v>
      </c>
      <c r="AJ613" s="2"/>
      <c r="AK613" s="14">
        <v>46048</v>
      </c>
      <c r="AL613" s="14">
        <v>46052</v>
      </c>
      <c r="AM613" s="14">
        <v>46052</v>
      </c>
      <c r="AN613" s="2"/>
      <c r="AO613" s="2">
        <v>7212060</v>
      </c>
      <c r="AP613" s="14">
        <v>46053</v>
      </c>
      <c r="AQ613" s="14">
        <v>46055</v>
      </c>
      <c r="AR613" s="15" t="s">
        <v>3916</v>
      </c>
      <c r="AS613" s="2"/>
      <c r="AT613" s="44">
        <v>53179</v>
      </c>
      <c r="AV613" s="14">
        <v>46057</v>
      </c>
      <c r="AW613" s="14">
        <v>46058</v>
      </c>
      <c r="AY613" s="2">
        <v>7398759</v>
      </c>
      <c r="AZ613" s="5">
        <v>46062</v>
      </c>
      <c r="BA613" s="1">
        <v>212571</v>
      </c>
      <c r="BB613" s="2">
        <v>38263</v>
      </c>
      <c r="BC613" s="5">
        <v>46062</v>
      </c>
      <c r="BD613" s="5">
        <v>46062</v>
      </c>
      <c r="BF613" s="14">
        <v>46063</v>
      </c>
      <c r="BG613" s="5">
        <v>46107</v>
      </c>
      <c r="BH613" s="1" t="s">
        <v>1401</v>
      </c>
      <c r="BI613" s="1" t="s">
        <v>273</v>
      </c>
      <c r="BQ613" s="14">
        <v>46058</v>
      </c>
      <c r="BR613" s="14">
        <v>46059</v>
      </c>
    </row>
    <row r="614" spans="1:70" ht="18" customHeight="1" x14ac:dyDescent="0.3">
      <c r="A614" s="2">
        <v>614</v>
      </c>
      <c r="B614" s="7">
        <v>6993070</v>
      </c>
      <c r="C614" s="111">
        <v>45924</v>
      </c>
      <c r="D614" s="2">
        <v>4654</v>
      </c>
      <c r="E614" s="2" t="s">
        <v>840</v>
      </c>
      <c r="F614" s="8" t="s">
        <v>224</v>
      </c>
      <c r="G614" s="8" t="s">
        <v>3675</v>
      </c>
      <c r="H614" s="8" t="s">
        <v>3195</v>
      </c>
      <c r="I614" s="83">
        <v>53078</v>
      </c>
      <c r="J614" s="2" t="s">
        <v>142</v>
      </c>
      <c r="K614" s="2" t="s">
        <v>126</v>
      </c>
      <c r="L614" s="2" t="s">
        <v>854</v>
      </c>
      <c r="M614" s="134">
        <v>46049</v>
      </c>
      <c r="N614" s="56" t="s">
        <v>4331</v>
      </c>
      <c r="Q614" s="67">
        <f t="shared" si="75"/>
        <v>6</v>
      </c>
      <c r="R614" s="29">
        <f t="shared" si="74"/>
        <v>52</v>
      </c>
      <c r="S614" s="15">
        <f t="shared" si="76"/>
        <v>2340</v>
      </c>
      <c r="T614" s="1"/>
      <c r="U614" s="1" t="s">
        <v>3673</v>
      </c>
      <c r="V614" s="2" t="s">
        <v>161</v>
      </c>
      <c r="W614" s="2" t="s">
        <v>454</v>
      </c>
      <c r="X614" s="2">
        <v>20265008919</v>
      </c>
      <c r="Y614" s="14">
        <v>46045</v>
      </c>
      <c r="Z614" s="14">
        <v>46052</v>
      </c>
      <c r="AA614" s="14">
        <v>46049</v>
      </c>
      <c r="AB614" s="14">
        <v>46049</v>
      </c>
      <c r="AC614" s="3">
        <v>46055</v>
      </c>
      <c r="AD614" s="2">
        <v>17624852273</v>
      </c>
      <c r="AE614" s="2" t="s">
        <v>3676</v>
      </c>
      <c r="AF614" s="2">
        <v>1</v>
      </c>
      <c r="AG614" s="2">
        <v>44</v>
      </c>
      <c r="AH614" s="2"/>
      <c r="AI614" s="2" t="s">
        <v>180</v>
      </c>
      <c r="AJ614" s="2"/>
      <c r="AK614" s="14">
        <v>46048</v>
      </c>
      <c r="AL614" s="14">
        <v>46052</v>
      </c>
      <c r="AM614" s="14">
        <v>46052</v>
      </c>
      <c r="AN614" s="2"/>
      <c r="AO614" s="2">
        <v>7213441</v>
      </c>
      <c r="AP614" s="14">
        <v>46053</v>
      </c>
      <c r="AQ614" s="14">
        <v>46055</v>
      </c>
      <c r="AS614" s="2"/>
      <c r="AT614" s="44">
        <v>53176</v>
      </c>
      <c r="AV614" s="14">
        <v>46057</v>
      </c>
      <c r="AW614" s="14">
        <v>46058</v>
      </c>
      <c r="AY614" s="2">
        <v>7344029</v>
      </c>
      <c r="AZ614" s="5">
        <v>46059</v>
      </c>
      <c r="BA614" s="1">
        <v>425143</v>
      </c>
      <c r="BB614" s="2">
        <v>76526</v>
      </c>
      <c r="BC614" s="5">
        <v>46059</v>
      </c>
      <c r="BD614" s="14">
        <v>46059</v>
      </c>
      <c r="BF614" s="5">
        <v>46060</v>
      </c>
      <c r="BG614" s="5">
        <v>46107</v>
      </c>
      <c r="BH614" s="1" t="s">
        <v>1401</v>
      </c>
      <c r="BI614" s="1" t="s">
        <v>273</v>
      </c>
      <c r="BQ614" s="14">
        <v>46058</v>
      </c>
      <c r="BR614" s="14">
        <v>46058</v>
      </c>
    </row>
    <row r="615" spans="1:70" ht="18" customHeight="1" x14ac:dyDescent="0.3">
      <c r="A615" s="2">
        <v>615</v>
      </c>
      <c r="B615" s="7">
        <v>7100575</v>
      </c>
      <c r="C615" s="111">
        <v>46078</v>
      </c>
      <c r="D615" s="2">
        <v>6231</v>
      </c>
      <c r="E615" s="2" t="s">
        <v>840</v>
      </c>
      <c r="F615" s="8" t="s">
        <v>573</v>
      </c>
      <c r="G615" s="8" t="s">
        <v>3530</v>
      </c>
      <c r="H615" s="8" t="s">
        <v>1336</v>
      </c>
      <c r="I615" s="83">
        <v>53775</v>
      </c>
      <c r="J615" s="2" t="s">
        <v>142</v>
      </c>
      <c r="K615" s="2" t="s">
        <v>126</v>
      </c>
      <c r="L615" s="2" t="s">
        <v>854</v>
      </c>
      <c r="M615" s="134">
        <v>46098</v>
      </c>
      <c r="N615" s="56" t="s">
        <v>4346</v>
      </c>
      <c r="Q615" s="67">
        <f t="shared" si="75"/>
        <v>6</v>
      </c>
      <c r="R615" s="29">
        <f t="shared" si="74"/>
        <v>4</v>
      </c>
      <c r="S615" s="15">
        <f t="shared" si="76"/>
        <v>180</v>
      </c>
      <c r="T615" s="1"/>
      <c r="U615" s="1" t="s">
        <v>4208</v>
      </c>
      <c r="V615" s="2" t="s">
        <v>2975</v>
      </c>
      <c r="W615" s="2" t="s">
        <v>2976</v>
      </c>
      <c r="X615" s="2">
        <v>20265031560</v>
      </c>
      <c r="Y615" s="14">
        <v>46098</v>
      </c>
      <c r="Z615" s="14">
        <v>46104</v>
      </c>
      <c r="AA615" s="14">
        <v>46098</v>
      </c>
      <c r="AB615" s="14">
        <v>46098</v>
      </c>
      <c r="AC615" s="14">
        <v>46104</v>
      </c>
      <c r="AD615" s="2">
        <v>61850878461</v>
      </c>
      <c r="AE615" s="2" t="s">
        <v>4209</v>
      </c>
      <c r="AF615" s="2">
        <v>1</v>
      </c>
      <c r="AG615" s="2">
        <v>64</v>
      </c>
      <c r="AH615" s="2"/>
      <c r="AI615" s="2" t="s">
        <v>180</v>
      </c>
      <c r="AJ615" s="2"/>
      <c r="AK615" s="14">
        <v>46099</v>
      </c>
      <c r="AL615" s="14">
        <v>46099</v>
      </c>
      <c r="AM615" s="14">
        <v>46099</v>
      </c>
      <c r="AN615" s="2"/>
      <c r="AO615" s="2">
        <v>8159202</v>
      </c>
      <c r="AP615" s="14">
        <v>46099</v>
      </c>
      <c r="AQ615" s="14">
        <v>46104</v>
      </c>
      <c r="AS615" s="2"/>
      <c r="AT615" s="44">
        <v>53827</v>
      </c>
      <c r="AV615" s="14">
        <v>46105</v>
      </c>
      <c r="AW615" s="14">
        <v>46105</v>
      </c>
      <c r="AY615" s="2">
        <v>8272426</v>
      </c>
      <c r="AZ615" s="5">
        <v>46106</v>
      </c>
      <c r="BA615" s="1">
        <v>587272</v>
      </c>
      <c r="BB615" s="2">
        <v>105709</v>
      </c>
      <c r="BC615" s="5">
        <v>46106</v>
      </c>
      <c r="BD615" s="14">
        <v>46106</v>
      </c>
      <c r="BF615" s="5">
        <v>46107</v>
      </c>
      <c r="BG615" s="5">
        <v>46108</v>
      </c>
      <c r="BH615" s="1" t="s">
        <v>4345</v>
      </c>
      <c r="BI615" s="1" t="s">
        <v>273</v>
      </c>
      <c r="BQ615" s="14">
        <v>46105</v>
      </c>
      <c r="BR615" s="14">
        <v>46105</v>
      </c>
    </row>
    <row r="616" spans="1:70" ht="18" customHeight="1" x14ac:dyDescent="0.3">
      <c r="A616" s="2">
        <v>616</v>
      </c>
      <c r="B616" s="8" t="s">
        <v>4257</v>
      </c>
      <c r="C616" s="75" t="s">
        <v>4258</v>
      </c>
      <c r="D616" s="8" t="s">
        <v>4259</v>
      </c>
      <c r="E616" s="2" t="s">
        <v>840</v>
      </c>
      <c r="F616" s="8" t="s">
        <v>4260</v>
      </c>
      <c r="G616" s="8" t="s">
        <v>4261</v>
      </c>
      <c r="H616" s="8" t="s">
        <v>4262</v>
      </c>
      <c r="I616" s="83">
        <v>53794</v>
      </c>
      <c r="J616" s="2" t="s">
        <v>142</v>
      </c>
      <c r="K616" s="2" t="s">
        <v>126</v>
      </c>
      <c r="L616" s="2" t="s">
        <v>854</v>
      </c>
      <c r="M616" s="134">
        <v>46100</v>
      </c>
      <c r="N616" s="56" t="s">
        <v>4347</v>
      </c>
      <c r="Q616" s="67">
        <f t="shared" si="75"/>
        <v>5</v>
      </c>
      <c r="R616" s="29">
        <f t="shared" si="74"/>
        <v>3</v>
      </c>
      <c r="S616" s="15">
        <f t="shared" si="76"/>
        <v>405</v>
      </c>
      <c r="T616" s="1"/>
      <c r="U616" s="8" t="s">
        <v>4263</v>
      </c>
      <c r="V616" s="2" t="s">
        <v>2975</v>
      </c>
      <c r="W616" s="2" t="s">
        <v>2976</v>
      </c>
      <c r="X616" s="2" t="s">
        <v>4264</v>
      </c>
      <c r="Y616" s="14">
        <v>46100</v>
      </c>
      <c r="Z616" s="14">
        <v>46104</v>
      </c>
      <c r="AA616" s="14">
        <v>46100</v>
      </c>
      <c r="AB616" s="14">
        <v>46100</v>
      </c>
      <c r="AC616" s="14">
        <v>46105</v>
      </c>
      <c r="AD616" s="2" t="s">
        <v>4244</v>
      </c>
      <c r="AE616" s="183" t="s">
        <v>4265</v>
      </c>
      <c r="AF616" s="2">
        <v>3</v>
      </c>
      <c r="AG616" s="2">
        <v>577</v>
      </c>
      <c r="AH616" s="2"/>
      <c r="AI616" s="2" t="s">
        <v>629</v>
      </c>
      <c r="AJ616" s="2"/>
      <c r="AK616" s="14">
        <v>46100</v>
      </c>
      <c r="AL616" s="14">
        <v>46101</v>
      </c>
      <c r="AM616" s="14">
        <v>46102</v>
      </c>
      <c r="AN616" s="2"/>
      <c r="AO616" s="2">
        <v>8195267</v>
      </c>
      <c r="AP616" s="14">
        <v>46101</v>
      </c>
      <c r="AQ616" s="14">
        <v>46105</v>
      </c>
      <c r="AS616" s="2"/>
      <c r="AT616" s="44">
        <v>53825</v>
      </c>
      <c r="AV616" s="14">
        <v>46105</v>
      </c>
      <c r="AW616" s="14">
        <v>46105</v>
      </c>
      <c r="AY616" s="2">
        <v>8274389</v>
      </c>
      <c r="AZ616" s="5">
        <v>46106</v>
      </c>
      <c r="BA616" s="1">
        <v>22876360</v>
      </c>
      <c r="BB616" s="2">
        <v>4117745</v>
      </c>
      <c r="BC616" s="5">
        <v>46106</v>
      </c>
      <c r="BD616" s="14">
        <v>46106</v>
      </c>
      <c r="BF616" s="5">
        <v>46107</v>
      </c>
      <c r="BG616" s="5">
        <v>46108</v>
      </c>
      <c r="BH616" s="1" t="s">
        <v>4345</v>
      </c>
      <c r="BI616" s="1" t="s">
        <v>273</v>
      </c>
      <c r="BQ616" s="14">
        <v>46105</v>
      </c>
      <c r="BR616" s="14">
        <v>46105</v>
      </c>
    </row>
    <row r="617" spans="1:70" ht="18" customHeight="1" x14ac:dyDescent="0.3">
      <c r="A617" s="2">
        <v>617</v>
      </c>
      <c r="B617" s="7">
        <v>6995798</v>
      </c>
      <c r="C617" s="111">
        <v>45924</v>
      </c>
      <c r="D617" s="2">
        <v>31155</v>
      </c>
      <c r="E617" s="2" t="s">
        <v>840</v>
      </c>
      <c r="F617" s="8" t="s">
        <v>222</v>
      </c>
      <c r="G617" s="8" t="s">
        <v>560</v>
      </c>
      <c r="H617" s="8" t="s">
        <v>520</v>
      </c>
      <c r="I617" s="83">
        <v>52971</v>
      </c>
      <c r="J617" s="2" t="s">
        <v>142</v>
      </c>
      <c r="K617" s="2" t="s">
        <v>126</v>
      </c>
      <c r="L617" s="2" t="s">
        <v>854</v>
      </c>
      <c r="M617" s="134">
        <v>46043</v>
      </c>
      <c r="N617" s="56" t="s">
        <v>4393</v>
      </c>
      <c r="Q617" s="67">
        <f t="shared" si="75"/>
        <v>3</v>
      </c>
      <c r="R617" s="29">
        <f t="shared" si="74"/>
        <v>63</v>
      </c>
      <c r="S617" s="15">
        <f t="shared" si="76"/>
        <v>2835</v>
      </c>
      <c r="T617" s="1"/>
      <c r="U617" s="1" t="s">
        <v>2669</v>
      </c>
      <c r="V617" s="2" t="s">
        <v>161</v>
      </c>
      <c r="W617" s="2" t="s">
        <v>454</v>
      </c>
      <c r="X617" s="2">
        <v>20265006512</v>
      </c>
      <c r="Y617" s="14">
        <v>46041</v>
      </c>
      <c r="Z617" s="14">
        <v>46046</v>
      </c>
      <c r="AA617" s="14">
        <v>46043</v>
      </c>
      <c r="AB617" s="14">
        <v>46043</v>
      </c>
      <c r="AC617" s="14">
        <v>46046</v>
      </c>
      <c r="AD617" s="2">
        <v>61849698611</v>
      </c>
      <c r="AE617" s="2" t="s">
        <v>3481</v>
      </c>
      <c r="AF617" s="2">
        <v>1</v>
      </c>
      <c r="AG617" s="2">
        <v>290.5</v>
      </c>
      <c r="AH617" s="2"/>
      <c r="AI617" s="2" t="s">
        <v>180</v>
      </c>
      <c r="AJ617" s="2"/>
      <c r="AK617" s="14">
        <v>46043</v>
      </c>
      <c r="AL617" s="14">
        <v>46043</v>
      </c>
      <c r="AM617" s="14">
        <v>46044</v>
      </c>
      <c r="AN617" s="2"/>
      <c r="AO617" s="2">
        <v>7044313</v>
      </c>
      <c r="AP617" s="14">
        <v>46044</v>
      </c>
      <c r="AQ617" s="14">
        <v>46046</v>
      </c>
      <c r="AS617" s="2"/>
      <c r="AT617" s="44">
        <v>53130</v>
      </c>
      <c r="AV617" s="14">
        <v>46056</v>
      </c>
      <c r="AW617" s="14">
        <v>46056</v>
      </c>
      <c r="AY617" s="2">
        <v>8272425</v>
      </c>
      <c r="AZ617" s="5">
        <v>46106</v>
      </c>
      <c r="BA617" s="1">
        <v>2936359</v>
      </c>
      <c r="BB617" s="2">
        <v>528545</v>
      </c>
      <c r="BC617" s="5">
        <v>46106</v>
      </c>
      <c r="BD617" s="14">
        <v>46106</v>
      </c>
      <c r="BF617" s="5">
        <v>46107</v>
      </c>
      <c r="BG617" s="5">
        <v>46109</v>
      </c>
      <c r="BH617" s="1" t="s">
        <v>2720</v>
      </c>
      <c r="BI617" s="1" t="s">
        <v>273</v>
      </c>
      <c r="BQ617" s="14">
        <v>46056</v>
      </c>
      <c r="BR617" s="14">
        <v>46056</v>
      </c>
    </row>
    <row r="618" spans="1:70" ht="18" customHeight="1" x14ac:dyDescent="0.3">
      <c r="A618" s="2">
        <v>618</v>
      </c>
      <c r="B618" s="7">
        <v>7074286</v>
      </c>
      <c r="C618" s="111">
        <v>46017</v>
      </c>
      <c r="D618" s="7">
        <v>41540</v>
      </c>
      <c r="E618" s="2" t="s">
        <v>840</v>
      </c>
      <c r="F618" s="8" t="s">
        <v>3542</v>
      </c>
      <c r="G618" s="8" t="s">
        <v>3546</v>
      </c>
      <c r="H618" s="2">
        <v>2</v>
      </c>
      <c r="I618" s="83">
        <v>53002</v>
      </c>
      <c r="J618" s="2" t="s">
        <v>142</v>
      </c>
      <c r="K618" s="2" t="s">
        <v>126</v>
      </c>
      <c r="L618" s="2" t="s">
        <v>854</v>
      </c>
      <c r="M618" s="134">
        <v>46047</v>
      </c>
      <c r="N618" s="56" t="s">
        <v>4394</v>
      </c>
      <c r="Q618" s="67">
        <f t="shared" si="75"/>
        <v>6</v>
      </c>
      <c r="R618" s="29">
        <f t="shared" si="74"/>
        <v>56</v>
      </c>
      <c r="S618" s="15">
        <f t="shared" si="76"/>
        <v>5040</v>
      </c>
      <c r="T618" s="1">
        <v>290</v>
      </c>
      <c r="U618" s="1" t="s">
        <v>3544</v>
      </c>
      <c r="V618" s="2" t="s">
        <v>161</v>
      </c>
      <c r="W618" s="2" t="s">
        <v>454</v>
      </c>
      <c r="X618" s="2">
        <v>20265008953</v>
      </c>
      <c r="Y618" s="14">
        <v>46046</v>
      </c>
      <c r="Z618" s="14">
        <v>46051</v>
      </c>
      <c r="AA618" s="14">
        <v>46047</v>
      </c>
      <c r="AB618" s="14">
        <v>46047</v>
      </c>
      <c r="AC618" s="14">
        <v>46053</v>
      </c>
      <c r="AD618" s="2">
        <v>23215594810</v>
      </c>
      <c r="AE618" s="2" t="s">
        <v>3547</v>
      </c>
      <c r="AF618" s="2">
        <v>2</v>
      </c>
      <c r="AG618" s="2">
        <v>394</v>
      </c>
      <c r="AH618" s="2"/>
      <c r="AI618" s="2" t="s">
        <v>629</v>
      </c>
      <c r="AJ618" s="2"/>
      <c r="AK618" s="14">
        <v>46048.65347222222</v>
      </c>
      <c r="AL618" s="14">
        <v>46049</v>
      </c>
      <c r="AM618" s="14">
        <v>46049</v>
      </c>
      <c r="AN618" s="2"/>
      <c r="AO618" s="2">
        <v>7145825</v>
      </c>
      <c r="AP618" s="14">
        <v>46049</v>
      </c>
      <c r="AQ618" s="14">
        <v>46053</v>
      </c>
      <c r="AS618" s="2"/>
      <c r="AT618" s="44">
        <v>53194</v>
      </c>
      <c r="AV618" s="14">
        <v>46058</v>
      </c>
      <c r="AW618" s="14">
        <v>46058</v>
      </c>
      <c r="AY618" s="2">
        <v>8275383</v>
      </c>
      <c r="AZ618" s="5">
        <v>46106</v>
      </c>
      <c r="BA618" s="1">
        <v>3915145</v>
      </c>
      <c r="BB618" s="2">
        <v>704726</v>
      </c>
      <c r="BC618" s="5">
        <v>46106</v>
      </c>
      <c r="BD618" s="5">
        <v>46107</v>
      </c>
      <c r="BF618" s="5">
        <v>46108</v>
      </c>
      <c r="BG618" s="5">
        <v>46109</v>
      </c>
      <c r="BH618" s="1" t="s">
        <v>2720</v>
      </c>
      <c r="BI618" s="1" t="s">
        <v>273</v>
      </c>
      <c r="BQ618" s="14">
        <v>46058</v>
      </c>
      <c r="BR618" s="5">
        <v>46062</v>
      </c>
    </row>
    <row r="619" spans="1:70" ht="18" customHeight="1" x14ac:dyDescent="0.3">
      <c r="A619" s="2">
        <v>619</v>
      </c>
      <c r="B619" s="7">
        <v>7074357</v>
      </c>
      <c r="C619" s="111" t="s">
        <v>3548</v>
      </c>
      <c r="D619" s="2">
        <v>9346.5</v>
      </c>
      <c r="E619" s="2" t="s">
        <v>840</v>
      </c>
      <c r="F619" s="8" t="s">
        <v>3549</v>
      </c>
      <c r="G619" s="8" t="s">
        <v>3550</v>
      </c>
      <c r="H619" s="2">
        <v>1</v>
      </c>
      <c r="I619" s="83">
        <v>53004</v>
      </c>
      <c r="J619" s="2" t="s">
        <v>142</v>
      </c>
      <c r="K619" s="2" t="s">
        <v>126</v>
      </c>
      <c r="L619" s="2" t="s">
        <v>854</v>
      </c>
      <c r="M619" s="134">
        <v>46047</v>
      </c>
      <c r="N619" s="56" t="s">
        <v>4395</v>
      </c>
      <c r="Q619" s="67">
        <f t="shared" si="75"/>
        <v>5</v>
      </c>
      <c r="R619" s="29">
        <f t="shared" si="74"/>
        <v>57</v>
      </c>
      <c r="S619" s="15">
        <f t="shared" si="76"/>
        <v>2565</v>
      </c>
      <c r="T619" s="1">
        <v>65</v>
      </c>
      <c r="U619" s="1" t="s">
        <v>3544</v>
      </c>
      <c r="V619" s="2" t="s">
        <v>161</v>
      </c>
      <c r="W619" s="2" t="s">
        <v>454</v>
      </c>
      <c r="X619" s="2">
        <v>20265008950</v>
      </c>
      <c r="Y619" s="14">
        <v>46046</v>
      </c>
      <c r="Z619" s="14">
        <v>46051</v>
      </c>
      <c r="AA619" s="14">
        <v>46047</v>
      </c>
      <c r="AB619" s="14">
        <v>46047</v>
      </c>
      <c r="AC619" s="14">
        <v>46052</v>
      </c>
      <c r="AD619" s="2">
        <v>23215594810</v>
      </c>
      <c r="AE619" s="2" t="s">
        <v>3551</v>
      </c>
      <c r="AF619" s="2">
        <v>1</v>
      </c>
      <c r="AG619" s="2">
        <v>96</v>
      </c>
      <c r="AH619" s="2"/>
      <c r="AI619" s="2" t="s">
        <v>629</v>
      </c>
      <c r="AJ619" s="2"/>
      <c r="AK619" s="14">
        <v>46048.661111111112</v>
      </c>
      <c r="AL619" s="14">
        <v>46049</v>
      </c>
      <c r="AM619" s="14">
        <v>46049</v>
      </c>
      <c r="AN619" s="2"/>
      <c r="AO619" s="2">
        <v>7146242</v>
      </c>
      <c r="AP619" s="14">
        <v>46049</v>
      </c>
      <c r="AQ619" s="14">
        <v>46052</v>
      </c>
      <c r="AS619" s="2"/>
      <c r="AT619" s="44">
        <v>53178</v>
      </c>
      <c r="AV619" s="14">
        <v>46057</v>
      </c>
      <c r="AW619" s="14">
        <v>46058</v>
      </c>
      <c r="AY619" s="2">
        <v>8275380</v>
      </c>
      <c r="AZ619" s="5">
        <v>46106</v>
      </c>
      <c r="BA619" s="1">
        <v>880908</v>
      </c>
      <c r="BB619" s="2">
        <v>158563</v>
      </c>
      <c r="BC619" s="5">
        <v>46106</v>
      </c>
      <c r="BD619" s="5">
        <v>46107</v>
      </c>
      <c r="BF619" s="5">
        <v>46108</v>
      </c>
      <c r="BG619" s="5">
        <v>46109</v>
      </c>
      <c r="BH619" s="1" t="s">
        <v>2720</v>
      </c>
      <c r="BI619" s="1" t="s">
        <v>273</v>
      </c>
      <c r="BQ619" s="14">
        <v>46058</v>
      </c>
      <c r="BR619" s="14">
        <v>46058</v>
      </c>
    </row>
    <row r="620" spans="1:70" ht="18" customHeight="1" x14ac:dyDescent="0.3">
      <c r="A620" s="2">
        <v>620</v>
      </c>
      <c r="B620" s="8" t="s">
        <v>3665</v>
      </c>
      <c r="C620" s="75" t="s">
        <v>3666</v>
      </c>
      <c r="D620" s="75" t="s">
        <v>3667</v>
      </c>
      <c r="E620" s="2" t="s">
        <v>840</v>
      </c>
      <c r="F620" s="8" t="s">
        <v>3668</v>
      </c>
      <c r="G620" s="8" t="s">
        <v>3669</v>
      </c>
      <c r="H620" s="8" t="s">
        <v>3670</v>
      </c>
      <c r="I620" s="83">
        <v>53076</v>
      </c>
      <c r="J620" s="2" t="s">
        <v>142</v>
      </c>
      <c r="K620" s="2" t="s">
        <v>126</v>
      </c>
      <c r="L620" s="2" t="s">
        <v>854</v>
      </c>
      <c r="M620" s="134">
        <v>46049</v>
      </c>
      <c r="N620" s="56" t="s">
        <v>4396</v>
      </c>
      <c r="Q620" s="67">
        <f t="shared" si="75"/>
        <v>6</v>
      </c>
      <c r="R620" s="29">
        <f t="shared" si="74"/>
        <v>54</v>
      </c>
      <c r="S620" s="15">
        <f t="shared" si="76"/>
        <v>9720</v>
      </c>
      <c r="T620" s="1">
        <v>159</v>
      </c>
      <c r="U620" s="8" t="s">
        <v>3680</v>
      </c>
      <c r="V620" s="2" t="s">
        <v>161</v>
      </c>
      <c r="W620" s="2" t="s">
        <v>454</v>
      </c>
      <c r="X620" s="2">
        <v>20265008917</v>
      </c>
      <c r="Y620" s="14">
        <v>46045</v>
      </c>
      <c r="Z620" s="14">
        <v>46055</v>
      </c>
      <c r="AA620" s="14">
        <v>46049</v>
      </c>
      <c r="AB620" s="14">
        <v>46049</v>
      </c>
      <c r="AC620" s="3">
        <v>46055</v>
      </c>
      <c r="AD620" s="2">
        <v>17624852273</v>
      </c>
      <c r="AE620" s="2" t="s">
        <v>3671</v>
      </c>
      <c r="AF620" s="2">
        <v>4</v>
      </c>
      <c r="AG620" s="2">
        <v>284</v>
      </c>
      <c r="AH620" s="2"/>
      <c r="AI620" s="2" t="s">
        <v>180</v>
      </c>
      <c r="AJ620" s="2"/>
      <c r="AK620" s="14">
        <v>46048</v>
      </c>
      <c r="AL620" s="14">
        <v>46052</v>
      </c>
      <c r="AM620" s="14">
        <v>46052</v>
      </c>
      <c r="AN620" s="2"/>
      <c r="AO620" s="2">
        <v>7212058</v>
      </c>
      <c r="AP620" s="14">
        <v>46053</v>
      </c>
      <c r="AQ620" s="14">
        <v>46055</v>
      </c>
      <c r="AS620" s="2"/>
      <c r="AT620" s="44">
        <v>53181</v>
      </c>
      <c r="AV620" s="14">
        <v>46057</v>
      </c>
      <c r="AW620" s="14">
        <v>46058</v>
      </c>
      <c r="AY620" s="2">
        <v>8274390</v>
      </c>
      <c r="AZ620" s="5">
        <v>46106</v>
      </c>
      <c r="BA620" s="1">
        <v>2153330</v>
      </c>
      <c r="BB620" s="2">
        <v>387599</v>
      </c>
      <c r="BC620" s="5">
        <v>46106</v>
      </c>
      <c r="BD620" s="5">
        <v>46107</v>
      </c>
      <c r="BF620" s="5">
        <v>46108</v>
      </c>
      <c r="BG620" s="5">
        <v>46109</v>
      </c>
      <c r="BH620" s="1" t="s">
        <v>2720</v>
      </c>
      <c r="BI620" s="1" t="s">
        <v>273</v>
      </c>
      <c r="BQ620" s="14">
        <v>46058</v>
      </c>
      <c r="BR620" s="14">
        <v>46058</v>
      </c>
    </row>
    <row r="621" spans="1:70" ht="18" customHeight="1" x14ac:dyDescent="0.3">
      <c r="A621" s="2">
        <v>621</v>
      </c>
      <c r="B621" s="7">
        <v>7103399</v>
      </c>
      <c r="C621" s="111">
        <v>46081</v>
      </c>
      <c r="D621" s="2">
        <v>34905</v>
      </c>
      <c r="E621" s="2" t="s">
        <v>840</v>
      </c>
      <c r="F621" s="8" t="s">
        <v>224</v>
      </c>
      <c r="G621" s="8" t="s">
        <v>1775</v>
      </c>
      <c r="H621" s="8" t="s">
        <v>520</v>
      </c>
      <c r="I621" s="83">
        <v>53646</v>
      </c>
      <c r="J621" s="2" t="s">
        <v>1631</v>
      </c>
      <c r="K621" s="2" t="s">
        <v>126</v>
      </c>
      <c r="L621" s="2" t="s">
        <v>854</v>
      </c>
      <c r="M621" s="134">
        <v>46095</v>
      </c>
      <c r="N621" s="56" t="s">
        <v>4397</v>
      </c>
      <c r="Q621" s="67">
        <f t="shared" si="75"/>
        <v>3</v>
      </c>
      <c r="R621" s="29">
        <f t="shared" si="74"/>
        <v>11</v>
      </c>
      <c r="S621" s="15">
        <f t="shared" si="76"/>
        <v>495</v>
      </c>
      <c r="T621" s="1">
        <v>243</v>
      </c>
      <c r="U621" s="1" t="s">
        <v>4099</v>
      </c>
      <c r="V621" s="2" t="s">
        <v>161</v>
      </c>
      <c r="W621" s="2" t="s">
        <v>454</v>
      </c>
      <c r="X621" s="2">
        <v>20265026566</v>
      </c>
      <c r="Y621" s="14">
        <v>46090</v>
      </c>
      <c r="Z621" s="14">
        <v>46097</v>
      </c>
      <c r="AA621" s="14">
        <v>46083</v>
      </c>
      <c r="AB621" s="14">
        <v>46095</v>
      </c>
      <c r="AC621" s="14">
        <v>46098</v>
      </c>
      <c r="AD621" s="2"/>
      <c r="AE621" s="2" t="s">
        <v>4100</v>
      </c>
      <c r="AF621" s="2">
        <v>1</v>
      </c>
      <c r="AG621" s="2">
        <v>1.78</v>
      </c>
      <c r="AH621" s="2"/>
      <c r="AI621" s="2" t="s">
        <v>180</v>
      </c>
      <c r="AJ621" s="2"/>
      <c r="AK621" s="14">
        <v>46093</v>
      </c>
      <c r="AL621" s="14">
        <v>46094</v>
      </c>
      <c r="AM621" s="14">
        <v>46094</v>
      </c>
      <c r="AN621" s="2"/>
      <c r="AO621" s="2">
        <v>8072748</v>
      </c>
      <c r="AP621" s="14">
        <v>46095</v>
      </c>
      <c r="AQ621" s="14">
        <v>46098</v>
      </c>
      <c r="AS621" s="2"/>
      <c r="AT621" s="44">
        <v>53709</v>
      </c>
      <c r="AV621" s="14">
        <v>46098</v>
      </c>
      <c r="AW621" s="14">
        <v>46098</v>
      </c>
      <c r="AY621" s="2">
        <v>8276078</v>
      </c>
      <c r="AZ621" s="5">
        <v>46106</v>
      </c>
      <c r="BA621" s="1">
        <v>3289796</v>
      </c>
      <c r="BB621" s="2">
        <v>592163</v>
      </c>
      <c r="BC621" s="5">
        <v>46106</v>
      </c>
      <c r="BD621" s="5">
        <v>46107</v>
      </c>
      <c r="BF621" s="5">
        <v>46108</v>
      </c>
      <c r="BG621" s="5">
        <v>46109</v>
      </c>
      <c r="BH621" s="1" t="s">
        <v>2720</v>
      </c>
      <c r="BI621" s="1" t="s">
        <v>273</v>
      </c>
      <c r="BQ621" s="14">
        <v>46098</v>
      </c>
      <c r="BR621" s="1"/>
    </row>
    <row r="622" spans="1:70" ht="18" customHeight="1" x14ac:dyDescent="0.3">
      <c r="A622" s="2">
        <v>622</v>
      </c>
      <c r="B622" s="7">
        <v>7103319</v>
      </c>
      <c r="C622" s="111">
        <v>46081</v>
      </c>
      <c r="D622" s="2">
        <v>116350</v>
      </c>
      <c r="E622" s="2" t="s">
        <v>840</v>
      </c>
      <c r="F622" s="8" t="s">
        <v>760</v>
      </c>
      <c r="G622" s="8" t="s">
        <v>2000</v>
      </c>
      <c r="H622" s="8" t="s">
        <v>749</v>
      </c>
      <c r="I622" s="83">
        <v>53645</v>
      </c>
      <c r="J622" s="2" t="s">
        <v>1631</v>
      </c>
      <c r="K622" s="2" t="s">
        <v>126</v>
      </c>
      <c r="L622" s="2" t="s">
        <v>854</v>
      </c>
      <c r="M622" s="134">
        <v>46095</v>
      </c>
      <c r="N622" s="56" t="s">
        <v>4451</v>
      </c>
      <c r="Q622" s="67">
        <f t="shared" ref="Q622:Q632" si="77">AQ622-AB622</f>
        <v>3</v>
      </c>
      <c r="R622" s="29">
        <f t="shared" si="74"/>
        <v>11</v>
      </c>
      <c r="S622" s="15">
        <f t="shared" ref="S622:S632" si="78">AF622*45*R622</f>
        <v>1980</v>
      </c>
      <c r="T622" s="1">
        <v>811</v>
      </c>
      <c r="U622" s="1" t="s">
        <v>4097</v>
      </c>
      <c r="V622" s="1" t="s">
        <v>645</v>
      </c>
      <c r="W622" s="79" t="s">
        <v>426</v>
      </c>
      <c r="X622" s="2">
        <v>20265026517</v>
      </c>
      <c r="Y622" s="14">
        <v>46090</v>
      </c>
      <c r="Z622" s="14">
        <v>46097</v>
      </c>
      <c r="AA622" s="14">
        <v>46083</v>
      </c>
      <c r="AB622" s="14">
        <v>46095</v>
      </c>
      <c r="AC622" s="14">
        <v>46098</v>
      </c>
      <c r="AD622" s="2"/>
      <c r="AE622" s="2" t="s">
        <v>4098</v>
      </c>
      <c r="AF622" s="2">
        <v>4</v>
      </c>
      <c r="AG622" s="2">
        <v>6.52</v>
      </c>
      <c r="AH622" s="2"/>
      <c r="AI622" s="2" t="s">
        <v>180</v>
      </c>
      <c r="AJ622" s="2"/>
      <c r="AK622" s="14">
        <v>46093</v>
      </c>
      <c r="AL622" s="14">
        <v>46094</v>
      </c>
      <c r="AM622" s="14">
        <v>46094</v>
      </c>
      <c r="AN622" s="2"/>
      <c r="AO622" s="2">
        <v>8072749</v>
      </c>
      <c r="AP622" s="14">
        <v>46095</v>
      </c>
      <c r="AQ622" s="14">
        <v>46098</v>
      </c>
      <c r="AS622" s="2"/>
      <c r="AT622" s="44">
        <v>53710</v>
      </c>
      <c r="AV622" s="14">
        <v>46098</v>
      </c>
      <c r="AW622" s="14">
        <v>46098</v>
      </c>
      <c r="AY622" s="2">
        <v>8228614</v>
      </c>
      <c r="AZ622" s="5">
        <v>46104</v>
      </c>
      <c r="BA622" s="1">
        <v>10965988</v>
      </c>
      <c r="BB622" s="2">
        <v>1973878</v>
      </c>
      <c r="BC622" s="5">
        <v>46104</v>
      </c>
      <c r="BD622" s="14">
        <v>46105</v>
      </c>
      <c r="BF622" s="14">
        <v>46105</v>
      </c>
      <c r="BG622" s="5">
        <v>46109</v>
      </c>
      <c r="BH622" s="1" t="s">
        <v>280</v>
      </c>
      <c r="BI622" s="1" t="s">
        <v>280</v>
      </c>
      <c r="BQ622" s="14">
        <v>46098</v>
      </c>
      <c r="BR622" s="14">
        <v>46100</v>
      </c>
    </row>
    <row r="623" spans="1:70" ht="18" customHeight="1" x14ac:dyDescent="0.3">
      <c r="A623" s="2">
        <v>623</v>
      </c>
      <c r="B623" s="7">
        <v>7103367</v>
      </c>
      <c r="C623" s="111">
        <v>46081</v>
      </c>
      <c r="D623" s="2">
        <v>34905</v>
      </c>
      <c r="E623" s="2" t="s">
        <v>840</v>
      </c>
      <c r="F623" s="8" t="s">
        <v>224</v>
      </c>
      <c r="G623" s="8" t="s">
        <v>1775</v>
      </c>
      <c r="H623" s="8" t="s">
        <v>520</v>
      </c>
      <c r="I623" s="83">
        <v>53679</v>
      </c>
      <c r="J623" s="2" t="s">
        <v>1631</v>
      </c>
      <c r="K623" s="2" t="s">
        <v>126</v>
      </c>
      <c r="L623" s="2" t="s">
        <v>854</v>
      </c>
      <c r="M623" s="134">
        <v>46095</v>
      </c>
      <c r="N623" s="56" t="s">
        <v>4452</v>
      </c>
      <c r="Q623" s="67">
        <f t="shared" si="77"/>
        <v>3</v>
      </c>
      <c r="R623" s="29">
        <f t="shared" si="74"/>
        <v>11</v>
      </c>
      <c r="S623" s="15">
        <f t="shared" si="78"/>
        <v>495</v>
      </c>
      <c r="T623" s="1">
        <v>1217</v>
      </c>
      <c r="U623" s="1" t="s">
        <v>4146</v>
      </c>
      <c r="V623" s="1" t="s">
        <v>2087</v>
      </c>
      <c r="W623" s="79" t="s">
        <v>948</v>
      </c>
      <c r="X623" s="2">
        <v>20265026496</v>
      </c>
      <c r="Y623" s="14">
        <v>46090</v>
      </c>
      <c r="Z623" s="14">
        <v>46097</v>
      </c>
      <c r="AA623" s="14">
        <v>46083</v>
      </c>
      <c r="AB623" s="14">
        <v>46095</v>
      </c>
      <c r="AC623" s="14">
        <v>46098</v>
      </c>
      <c r="AD623" s="2"/>
      <c r="AE623" s="2" t="s">
        <v>4147</v>
      </c>
      <c r="AF623" s="2">
        <v>1</v>
      </c>
      <c r="AG623" s="2">
        <v>1.78</v>
      </c>
      <c r="AH623" s="2"/>
      <c r="AI623" s="2" t="s">
        <v>180</v>
      </c>
      <c r="AJ623" s="2"/>
      <c r="AK623" s="14">
        <v>46095</v>
      </c>
      <c r="AL623" s="14">
        <v>46095</v>
      </c>
      <c r="AM623" s="14">
        <v>46095</v>
      </c>
      <c r="AN623" s="2"/>
      <c r="AO623" s="2">
        <v>8072745</v>
      </c>
      <c r="AP623" s="14">
        <v>46095</v>
      </c>
      <c r="AQ623" s="14">
        <v>46098</v>
      </c>
      <c r="AS623" s="2"/>
      <c r="AT623" s="44">
        <v>53705</v>
      </c>
      <c r="AV623" s="14">
        <v>46098</v>
      </c>
      <c r="AW623" s="14">
        <v>46098</v>
      </c>
      <c r="AY623" s="2">
        <v>8181231</v>
      </c>
      <c r="AZ623" s="5">
        <v>46101</v>
      </c>
      <c r="BA623" s="1">
        <v>3289796</v>
      </c>
      <c r="BB623" s="2">
        <v>592163</v>
      </c>
      <c r="BC623" s="5">
        <v>46101</v>
      </c>
      <c r="BD623" s="14">
        <v>46106</v>
      </c>
      <c r="BF623" s="5">
        <v>46107</v>
      </c>
      <c r="BG623" s="5">
        <v>46109</v>
      </c>
      <c r="BH623" s="1" t="s">
        <v>280</v>
      </c>
      <c r="BI623" s="1" t="s">
        <v>280</v>
      </c>
      <c r="BQ623" s="14">
        <v>46098</v>
      </c>
      <c r="BR623" s="14">
        <v>46098</v>
      </c>
    </row>
    <row r="624" spans="1:70" ht="18" customHeight="1" x14ac:dyDescent="0.3">
      <c r="A624" s="2">
        <v>624</v>
      </c>
      <c r="B624" s="7">
        <v>1039992</v>
      </c>
      <c r="C624" s="111">
        <v>46082</v>
      </c>
      <c r="D624" s="2">
        <v>144120</v>
      </c>
      <c r="E624" s="2" t="s">
        <v>681</v>
      </c>
      <c r="F624" s="2" t="s">
        <v>4158</v>
      </c>
      <c r="G624" s="2" t="s">
        <v>3306</v>
      </c>
      <c r="H624" s="2">
        <v>8</v>
      </c>
      <c r="I624" s="83">
        <v>53633</v>
      </c>
      <c r="J624" s="2" t="s">
        <v>142</v>
      </c>
      <c r="K624" s="2" t="s">
        <v>126</v>
      </c>
      <c r="L624" s="2" t="s">
        <v>854</v>
      </c>
      <c r="M624" s="134">
        <v>46097</v>
      </c>
      <c r="N624" s="56" t="s">
        <v>4453</v>
      </c>
      <c r="Q624" s="67">
        <f t="shared" si="77"/>
        <v>2</v>
      </c>
      <c r="R624" s="29">
        <f t="shared" si="74"/>
        <v>10</v>
      </c>
      <c r="S624" s="15">
        <f t="shared" si="78"/>
        <v>450</v>
      </c>
      <c r="T624" s="1">
        <v>1005</v>
      </c>
      <c r="U624" s="1" t="s">
        <v>4159</v>
      </c>
      <c r="V624" s="2" t="s">
        <v>755</v>
      </c>
      <c r="W624" s="1" t="s">
        <v>827</v>
      </c>
      <c r="X624" s="2" t="s">
        <v>4160</v>
      </c>
      <c r="Y624" s="14">
        <v>46097</v>
      </c>
      <c r="Z624" s="14">
        <v>46099</v>
      </c>
      <c r="AA624" s="14">
        <v>46097</v>
      </c>
      <c r="AB624" s="14">
        <v>46097</v>
      </c>
      <c r="AC624" s="14">
        <v>46099</v>
      </c>
      <c r="AD624" s="2">
        <v>31293131430</v>
      </c>
      <c r="AE624" s="2" t="s">
        <v>4162</v>
      </c>
      <c r="AF624" s="2">
        <v>1</v>
      </c>
      <c r="AG624" s="2">
        <v>48.5</v>
      </c>
      <c r="AH624" s="2"/>
      <c r="AI624" s="2" t="s">
        <v>3116</v>
      </c>
      <c r="AJ624" s="2"/>
      <c r="AK624" s="14">
        <v>46096</v>
      </c>
      <c r="AL624" s="14">
        <v>46097</v>
      </c>
      <c r="AM624" s="14">
        <v>46097</v>
      </c>
      <c r="AN624" s="2"/>
      <c r="AO624" s="2">
        <v>8108283</v>
      </c>
      <c r="AP624" s="14">
        <v>46097</v>
      </c>
      <c r="AQ624" s="14">
        <v>46099</v>
      </c>
      <c r="AS624" s="2"/>
      <c r="AT624" s="44">
        <v>53724</v>
      </c>
      <c r="AV624" s="14">
        <v>46098</v>
      </c>
      <c r="AW624" s="14">
        <v>46099</v>
      </c>
      <c r="AY624" s="2">
        <v>8228610</v>
      </c>
      <c r="AZ624" s="5">
        <v>46104</v>
      </c>
      <c r="BA624" s="1">
        <v>13583310</v>
      </c>
      <c r="BB624" s="2">
        <v>2444996</v>
      </c>
      <c r="BC624" s="5">
        <v>46104</v>
      </c>
      <c r="BD624" s="14">
        <v>46105</v>
      </c>
      <c r="BF624" s="14">
        <v>46105</v>
      </c>
      <c r="BG624" s="5">
        <v>46109</v>
      </c>
      <c r="BH624" s="1" t="s">
        <v>280</v>
      </c>
      <c r="BI624" s="1" t="s">
        <v>280</v>
      </c>
      <c r="BQ624" s="14">
        <v>46099</v>
      </c>
      <c r="BR624" s="14">
        <v>46099</v>
      </c>
    </row>
    <row r="625" spans="1:70" ht="18" customHeight="1" x14ac:dyDescent="0.3">
      <c r="A625" s="2">
        <v>625</v>
      </c>
      <c r="B625" s="7">
        <v>1040836</v>
      </c>
      <c r="C625" s="111">
        <v>46089</v>
      </c>
      <c r="D625" s="2">
        <v>207146</v>
      </c>
      <c r="E625" s="2" t="s">
        <v>681</v>
      </c>
      <c r="F625" s="2" t="s">
        <v>3014</v>
      </c>
      <c r="G625" s="2" t="s">
        <v>3082</v>
      </c>
      <c r="H625" s="2">
        <v>100</v>
      </c>
      <c r="I625" s="83">
        <v>53693</v>
      </c>
      <c r="J625" s="2" t="s">
        <v>142</v>
      </c>
      <c r="K625" s="2" t="s">
        <v>126</v>
      </c>
      <c r="L625" s="2" t="s">
        <v>854</v>
      </c>
      <c r="M625" s="134">
        <v>46097</v>
      </c>
      <c r="N625" s="56" t="s">
        <v>4454</v>
      </c>
      <c r="Q625" s="67">
        <f t="shared" si="77"/>
        <v>3</v>
      </c>
      <c r="R625" s="29">
        <f t="shared" si="74"/>
        <v>8</v>
      </c>
      <c r="S625" s="15">
        <f t="shared" si="78"/>
        <v>1080</v>
      </c>
      <c r="T625" s="1"/>
      <c r="U625" s="1" t="s">
        <v>4050</v>
      </c>
      <c r="V625" s="2" t="s">
        <v>755</v>
      </c>
      <c r="W625" s="1" t="s">
        <v>827</v>
      </c>
      <c r="X625" s="2" t="s">
        <v>4274</v>
      </c>
      <c r="Y625" s="14">
        <v>46104</v>
      </c>
      <c r="Z625" s="14">
        <v>46107</v>
      </c>
      <c r="AA625" s="14">
        <v>46097</v>
      </c>
      <c r="AB625" s="14">
        <v>46098</v>
      </c>
      <c r="AC625" s="14">
        <v>46101</v>
      </c>
      <c r="AD625" s="2">
        <v>60752659401</v>
      </c>
      <c r="AE625" s="2" t="s">
        <v>4177</v>
      </c>
      <c r="AF625" s="2">
        <v>3</v>
      </c>
      <c r="AG625" s="2">
        <v>783</v>
      </c>
      <c r="AH625" s="2"/>
      <c r="AI625" s="2" t="s">
        <v>3116</v>
      </c>
      <c r="AJ625" s="2"/>
      <c r="AK625" s="14">
        <v>46096</v>
      </c>
      <c r="AL625" s="14">
        <v>46097</v>
      </c>
      <c r="AM625" s="14">
        <v>46098</v>
      </c>
      <c r="AN625" s="2"/>
      <c r="AO625" s="2">
        <v>8122854</v>
      </c>
      <c r="AP625" s="14">
        <v>46098</v>
      </c>
      <c r="AQ625" s="14">
        <v>46101</v>
      </c>
      <c r="AS625" s="2"/>
      <c r="AT625" s="44">
        <v>53823</v>
      </c>
      <c r="AV625" s="14">
        <v>46104</v>
      </c>
      <c r="AW625" s="14">
        <v>46105</v>
      </c>
      <c r="AY625" s="2">
        <v>8253508</v>
      </c>
      <c r="AZ625" s="5">
        <v>46105</v>
      </c>
      <c r="BA625" s="1">
        <v>19523511</v>
      </c>
      <c r="BB625" s="2">
        <v>3514232</v>
      </c>
      <c r="BC625" s="5">
        <v>46105</v>
      </c>
      <c r="BD625" s="14">
        <v>46105</v>
      </c>
      <c r="BF625" s="5">
        <v>46108</v>
      </c>
      <c r="BG625" s="5">
        <v>46109</v>
      </c>
      <c r="BH625" s="1" t="s">
        <v>280</v>
      </c>
      <c r="BI625" s="1" t="s">
        <v>280</v>
      </c>
      <c r="BQ625" s="14">
        <v>46105</v>
      </c>
      <c r="BR625" s="5">
        <v>46105</v>
      </c>
    </row>
    <row r="626" spans="1:70" ht="18" customHeight="1" x14ac:dyDescent="0.3">
      <c r="A626" s="2">
        <v>626</v>
      </c>
      <c r="B626" s="7">
        <v>1040838</v>
      </c>
      <c r="C626" s="111">
        <v>46093</v>
      </c>
      <c r="D626" s="2" t="s">
        <v>4220</v>
      </c>
      <c r="E626" s="2" t="s">
        <v>681</v>
      </c>
      <c r="F626" s="2" t="s">
        <v>4221</v>
      </c>
      <c r="G626" s="2" t="s">
        <v>3082</v>
      </c>
      <c r="H626" s="2">
        <v>100</v>
      </c>
      <c r="I626" s="83">
        <v>53761</v>
      </c>
      <c r="J626" s="2" t="s">
        <v>142</v>
      </c>
      <c r="K626" s="2" t="s">
        <v>126</v>
      </c>
      <c r="L626" s="2" t="s">
        <v>854</v>
      </c>
      <c r="M626" s="134">
        <v>46104</v>
      </c>
      <c r="N626" s="56" t="s">
        <v>4455</v>
      </c>
      <c r="Q626" s="67">
        <f t="shared" si="77"/>
        <v>3</v>
      </c>
      <c r="R626" s="29">
        <f t="shared" si="74"/>
        <v>3</v>
      </c>
      <c r="S626" s="15">
        <f t="shared" si="78"/>
        <v>405</v>
      </c>
      <c r="T626" s="1"/>
      <c r="U626" s="1" t="s">
        <v>4050</v>
      </c>
      <c r="V626" s="2" t="s">
        <v>755</v>
      </c>
      <c r="W626" s="1" t="s">
        <v>827</v>
      </c>
      <c r="X626" s="2" t="s">
        <v>4267</v>
      </c>
      <c r="Y626" s="14">
        <v>46101</v>
      </c>
      <c r="Z626" s="14">
        <v>46104</v>
      </c>
      <c r="AA626" s="14">
        <v>46103</v>
      </c>
      <c r="AB626" s="14">
        <v>46103</v>
      </c>
      <c r="AC626" s="14">
        <v>46106</v>
      </c>
      <c r="AD626" s="2" t="s">
        <v>4222</v>
      </c>
      <c r="AE626" s="2" t="s">
        <v>4223</v>
      </c>
      <c r="AF626" s="2">
        <v>3</v>
      </c>
      <c r="AG626" s="2">
        <v>762.5</v>
      </c>
      <c r="AH626" s="2"/>
      <c r="AI626" s="2" t="s">
        <v>3116</v>
      </c>
      <c r="AJ626" s="2"/>
      <c r="AK626" s="14">
        <v>46100</v>
      </c>
      <c r="AL626" s="14">
        <v>46101</v>
      </c>
      <c r="AM626" s="14">
        <v>46102</v>
      </c>
      <c r="AN626" s="2"/>
      <c r="AO626" s="2">
        <v>8234766</v>
      </c>
      <c r="AP626" s="14">
        <v>46104</v>
      </c>
      <c r="AQ626" s="14">
        <v>46106</v>
      </c>
      <c r="AS626" s="2"/>
      <c r="AT626" s="44">
        <v>53845</v>
      </c>
      <c r="AV626" s="14">
        <v>46105</v>
      </c>
      <c r="AW626" s="14">
        <v>46106</v>
      </c>
      <c r="AY626" s="2">
        <v>8295193</v>
      </c>
      <c r="AZ626" s="5">
        <v>46107</v>
      </c>
      <c r="BA626" s="1">
        <v>19523511</v>
      </c>
      <c r="BB626" s="2">
        <v>3514232</v>
      </c>
      <c r="BC626" s="5">
        <v>46107</v>
      </c>
      <c r="BD626" s="5">
        <v>46107</v>
      </c>
      <c r="BF626" s="5">
        <v>46108</v>
      </c>
      <c r="BG626" s="5">
        <v>46109</v>
      </c>
      <c r="BH626" s="1" t="s">
        <v>280</v>
      </c>
      <c r="BI626" s="1" t="s">
        <v>280</v>
      </c>
      <c r="BQ626" s="14">
        <v>46106</v>
      </c>
      <c r="BR626" s="14">
        <v>46106</v>
      </c>
    </row>
    <row r="627" spans="1:70" ht="18" customHeight="1" x14ac:dyDescent="0.3">
      <c r="A627" s="2">
        <v>627</v>
      </c>
      <c r="B627" s="7">
        <v>1040839</v>
      </c>
      <c r="C627" s="111" t="s">
        <v>4219</v>
      </c>
      <c r="D627" s="2" t="s">
        <v>4220</v>
      </c>
      <c r="E627" s="2" t="s">
        <v>681</v>
      </c>
      <c r="F627" s="2" t="s">
        <v>4221</v>
      </c>
      <c r="G627" s="2" t="s">
        <v>3082</v>
      </c>
      <c r="H627" s="2">
        <v>100</v>
      </c>
      <c r="I627" s="83">
        <v>53763</v>
      </c>
      <c r="J627" s="2" t="s">
        <v>142</v>
      </c>
      <c r="K627" s="2" t="s">
        <v>126</v>
      </c>
      <c r="L627" s="2" t="s">
        <v>854</v>
      </c>
      <c r="M627" s="134">
        <v>46104</v>
      </c>
      <c r="N627" s="56" t="s">
        <v>4456</v>
      </c>
      <c r="Q627" s="67">
        <f t="shared" si="77"/>
        <v>3</v>
      </c>
      <c r="R627" s="29">
        <f t="shared" si="74"/>
        <v>3</v>
      </c>
      <c r="S627" s="15">
        <f t="shared" si="78"/>
        <v>405</v>
      </c>
      <c r="T627" s="1"/>
      <c r="U627" s="1" t="s">
        <v>4050</v>
      </c>
      <c r="V627" s="2" t="s">
        <v>755</v>
      </c>
      <c r="W627" s="1" t="s">
        <v>827</v>
      </c>
      <c r="X627" s="2" t="s">
        <v>4266</v>
      </c>
      <c r="Y627" s="14">
        <v>46101</v>
      </c>
      <c r="Z627" s="14">
        <v>46104</v>
      </c>
      <c r="AA627" s="14">
        <v>46103</v>
      </c>
      <c r="AB627" s="14">
        <v>46103</v>
      </c>
      <c r="AC627" s="14">
        <v>46106</v>
      </c>
      <c r="AD627" s="2" t="s">
        <v>4224</v>
      </c>
      <c r="AE627" s="2" t="s">
        <v>4225</v>
      </c>
      <c r="AF627" s="2">
        <v>3</v>
      </c>
      <c r="AG627" s="2">
        <v>761</v>
      </c>
      <c r="AH627" s="2"/>
      <c r="AI627" s="2" t="s">
        <v>3116</v>
      </c>
      <c r="AJ627" s="2"/>
      <c r="AK627" s="14">
        <v>46100</v>
      </c>
      <c r="AL627" s="14">
        <v>46101</v>
      </c>
      <c r="AM627" s="14">
        <v>46102</v>
      </c>
      <c r="AN627" s="2"/>
      <c r="AO627" s="2">
        <v>8234764</v>
      </c>
      <c r="AP627" s="14">
        <v>46104</v>
      </c>
      <c r="AQ627" s="14">
        <v>46106</v>
      </c>
      <c r="AS627" s="2"/>
      <c r="AT627" s="44">
        <v>53841</v>
      </c>
      <c r="AV627" s="14">
        <v>46105</v>
      </c>
      <c r="AW627" s="14">
        <v>46106</v>
      </c>
      <c r="AY627" s="2">
        <v>8294854</v>
      </c>
      <c r="AZ627" s="5">
        <v>46107</v>
      </c>
      <c r="BA627" s="1">
        <v>19523511</v>
      </c>
      <c r="BB627" s="2">
        <v>3514232</v>
      </c>
      <c r="BC627" s="5">
        <v>46107</v>
      </c>
      <c r="BD627" s="5">
        <v>46107</v>
      </c>
      <c r="BF627" s="5">
        <v>46108</v>
      </c>
      <c r="BG627" s="5">
        <v>46109</v>
      </c>
      <c r="BH627" s="1" t="s">
        <v>280</v>
      </c>
      <c r="BI627" s="1" t="s">
        <v>280</v>
      </c>
      <c r="BQ627" s="14">
        <v>46106</v>
      </c>
      <c r="BR627" s="14">
        <v>46106</v>
      </c>
    </row>
    <row r="628" spans="1:70" ht="18" customHeight="1" x14ac:dyDescent="0.3">
      <c r="A628" s="2">
        <v>628</v>
      </c>
      <c r="B628" s="2">
        <v>7104198</v>
      </c>
      <c r="C628" s="111">
        <v>46084</v>
      </c>
      <c r="D628" s="2">
        <v>39442</v>
      </c>
      <c r="E628" s="2" t="s">
        <v>840</v>
      </c>
      <c r="F628" s="8" t="s">
        <v>2525</v>
      </c>
      <c r="G628" s="8" t="s">
        <v>3241</v>
      </c>
      <c r="H628" s="8" t="s">
        <v>4242</v>
      </c>
      <c r="I628" s="83">
        <v>53783</v>
      </c>
      <c r="J628" s="2" t="s">
        <v>142</v>
      </c>
      <c r="K628" s="2" t="s">
        <v>126</v>
      </c>
      <c r="L628" s="2" t="s">
        <v>854</v>
      </c>
      <c r="M628" s="134">
        <v>46100</v>
      </c>
      <c r="N628" s="56" t="s">
        <v>4457</v>
      </c>
      <c r="Q628" s="67">
        <f t="shared" si="77"/>
        <v>5</v>
      </c>
      <c r="R628" s="29">
        <f t="shared" si="74"/>
        <v>4</v>
      </c>
      <c r="S628" s="15">
        <f t="shared" si="78"/>
        <v>180</v>
      </c>
      <c r="T628" s="1"/>
      <c r="U628" s="2" t="s">
        <v>4042</v>
      </c>
      <c r="V628" s="1" t="s">
        <v>645</v>
      </c>
      <c r="W628" s="79" t="s">
        <v>426</v>
      </c>
      <c r="X628" s="2" t="s">
        <v>4243</v>
      </c>
      <c r="Y628" s="14">
        <v>46100</v>
      </c>
      <c r="Z628" s="14">
        <v>46104</v>
      </c>
      <c r="AA628" s="14">
        <v>46100</v>
      </c>
      <c r="AB628" s="14">
        <v>46100</v>
      </c>
      <c r="AC628" s="14">
        <v>46105</v>
      </c>
      <c r="AD628" s="2" t="s">
        <v>4244</v>
      </c>
      <c r="AE628" s="2" t="s">
        <v>4245</v>
      </c>
      <c r="AF628" s="2">
        <v>1</v>
      </c>
      <c r="AG628" s="2">
        <v>97</v>
      </c>
      <c r="AH628" s="2"/>
      <c r="AI628" s="2" t="s">
        <v>629</v>
      </c>
      <c r="AJ628" s="2"/>
      <c r="AK628" s="14">
        <v>46100</v>
      </c>
      <c r="AL628" s="14">
        <v>46101</v>
      </c>
      <c r="AM628" s="14">
        <v>46102</v>
      </c>
      <c r="AN628" s="2"/>
      <c r="AO628" s="2">
        <v>8195914</v>
      </c>
      <c r="AP628" s="14">
        <v>46101</v>
      </c>
      <c r="AQ628" s="14">
        <v>46105</v>
      </c>
      <c r="AS628" s="2"/>
      <c r="AT628" s="44">
        <v>53815</v>
      </c>
      <c r="AV628" s="14">
        <v>46105</v>
      </c>
      <c r="AW628" s="14">
        <v>46105</v>
      </c>
      <c r="AY628" s="2">
        <v>8294430</v>
      </c>
      <c r="AZ628" s="5">
        <v>46107</v>
      </c>
      <c r="BA628" s="1">
        <v>3717409</v>
      </c>
      <c r="BB628" s="2">
        <v>669134</v>
      </c>
      <c r="BC628" s="5">
        <v>46107</v>
      </c>
      <c r="BD628" s="5">
        <v>46107</v>
      </c>
      <c r="BF628" s="5">
        <v>46108</v>
      </c>
      <c r="BG628" s="5">
        <v>46109</v>
      </c>
      <c r="BH628" s="1" t="s">
        <v>280</v>
      </c>
      <c r="BI628" s="1" t="s">
        <v>280</v>
      </c>
      <c r="BQ628" s="14">
        <v>46105</v>
      </c>
      <c r="BR628" s="14">
        <v>46106</v>
      </c>
    </row>
    <row r="629" spans="1:70" ht="18" customHeight="1" x14ac:dyDescent="0.3">
      <c r="A629" s="2">
        <v>629</v>
      </c>
      <c r="B629" s="7">
        <v>7104075</v>
      </c>
      <c r="C629" s="111">
        <v>46084</v>
      </c>
      <c r="D629" s="2">
        <v>121360</v>
      </c>
      <c r="E629" s="2" t="s">
        <v>840</v>
      </c>
      <c r="F629" s="8" t="s">
        <v>2525</v>
      </c>
      <c r="G629" s="8" t="s">
        <v>3241</v>
      </c>
      <c r="H629" s="8" t="s">
        <v>141</v>
      </c>
      <c r="I629" s="83">
        <v>53789</v>
      </c>
      <c r="J629" s="2" t="s">
        <v>142</v>
      </c>
      <c r="K629" s="2" t="s">
        <v>126</v>
      </c>
      <c r="L629" s="2" t="s">
        <v>854</v>
      </c>
      <c r="M629" s="134">
        <v>46100</v>
      </c>
      <c r="N629" s="56" t="s">
        <v>4460</v>
      </c>
      <c r="Q629" s="67">
        <f t="shared" si="77"/>
        <v>5</v>
      </c>
      <c r="R629" s="29">
        <f t="shared" si="74"/>
        <v>4</v>
      </c>
      <c r="S629" s="15">
        <f t="shared" si="78"/>
        <v>360</v>
      </c>
      <c r="T629" s="1"/>
      <c r="U629" s="1" t="s">
        <v>4246</v>
      </c>
      <c r="V629" s="2" t="s">
        <v>3037</v>
      </c>
      <c r="W629" s="2" t="s">
        <v>3038</v>
      </c>
      <c r="X629" s="2" t="s">
        <v>4247</v>
      </c>
      <c r="Y629" s="14">
        <v>46100</v>
      </c>
      <c r="Z629" s="14">
        <v>46104</v>
      </c>
      <c r="AA629" s="14">
        <v>46100</v>
      </c>
      <c r="AB629" s="14">
        <v>46100</v>
      </c>
      <c r="AC629" s="14">
        <v>46105</v>
      </c>
      <c r="AD629" s="2" t="s">
        <v>4244</v>
      </c>
      <c r="AE629" s="2" t="s">
        <v>4248</v>
      </c>
      <c r="AF629" s="2">
        <v>2</v>
      </c>
      <c r="AG629" s="2">
        <v>307</v>
      </c>
      <c r="AH629" s="2"/>
      <c r="AI629" s="2" t="s">
        <v>629</v>
      </c>
      <c r="AJ629" s="2"/>
      <c r="AK629" s="14">
        <v>46100</v>
      </c>
      <c r="AL629" s="14">
        <v>46101</v>
      </c>
      <c r="AM629" s="14">
        <v>46102</v>
      </c>
      <c r="AN629" s="2"/>
      <c r="AO629" s="2">
        <v>8228480</v>
      </c>
      <c r="AP629" s="14">
        <v>46104</v>
      </c>
      <c r="AQ629" s="14">
        <v>46105</v>
      </c>
      <c r="AS629" s="2"/>
      <c r="AT629" s="44">
        <v>53818</v>
      </c>
      <c r="AV629" s="14">
        <v>46105</v>
      </c>
      <c r="AW629" s="14">
        <v>46105</v>
      </c>
      <c r="AY629" s="2">
        <v>8294435</v>
      </c>
      <c r="AZ629" s="5">
        <v>46107</v>
      </c>
      <c r="BA629" s="1">
        <v>11438180</v>
      </c>
      <c r="BB629" s="2">
        <v>2058872</v>
      </c>
      <c r="BC629" s="5">
        <v>46107</v>
      </c>
      <c r="BD629" s="5">
        <v>46107</v>
      </c>
      <c r="BF629" s="5">
        <v>46108</v>
      </c>
      <c r="BG629" s="5">
        <v>46109</v>
      </c>
      <c r="BH629" s="1" t="s">
        <v>4461</v>
      </c>
      <c r="BI629" s="1" t="s">
        <v>4461</v>
      </c>
      <c r="BQ629" s="14">
        <v>46105</v>
      </c>
      <c r="BR629" s="14">
        <v>46106</v>
      </c>
    </row>
    <row r="630" spans="1:70" ht="18" customHeight="1" x14ac:dyDescent="0.3">
      <c r="A630" s="2">
        <v>630</v>
      </c>
      <c r="B630" s="7">
        <v>1040837</v>
      </c>
      <c r="C630" s="111">
        <v>46093</v>
      </c>
      <c r="D630" s="2">
        <v>207146</v>
      </c>
      <c r="E630" s="2" t="s">
        <v>681</v>
      </c>
      <c r="F630" s="2" t="s">
        <v>3014</v>
      </c>
      <c r="G630" s="2" t="s">
        <v>3082</v>
      </c>
      <c r="H630" s="2">
        <v>100</v>
      </c>
      <c r="I630" s="83">
        <v>53759</v>
      </c>
      <c r="J630" s="2" t="s">
        <v>142</v>
      </c>
      <c r="K630" s="2" t="s">
        <v>126</v>
      </c>
      <c r="L630" s="2" t="s">
        <v>854</v>
      </c>
      <c r="M630" s="134">
        <v>46105</v>
      </c>
      <c r="N630" s="56" t="s">
        <v>4458</v>
      </c>
      <c r="Q630" s="67">
        <f t="shared" si="77"/>
        <v>2</v>
      </c>
      <c r="R630" s="29">
        <f t="shared" si="74"/>
        <v>3</v>
      </c>
      <c r="S630" s="15">
        <f t="shared" si="78"/>
        <v>405</v>
      </c>
      <c r="T630" s="1"/>
      <c r="U630" s="1" t="s">
        <v>4050</v>
      </c>
      <c r="V630" s="2" t="s">
        <v>755</v>
      </c>
      <c r="W630" s="1" t="s">
        <v>827</v>
      </c>
      <c r="X630" s="2" t="s">
        <v>4268</v>
      </c>
      <c r="Y630" s="14">
        <v>46101</v>
      </c>
      <c r="Z630" s="14">
        <v>46104</v>
      </c>
      <c r="AA630" s="14">
        <v>46104</v>
      </c>
      <c r="AB630" s="14">
        <v>46104</v>
      </c>
      <c r="AC630" s="14">
        <v>46106</v>
      </c>
      <c r="AD630" s="2">
        <v>60753185005</v>
      </c>
      <c r="AE630" s="2" t="s">
        <v>4269</v>
      </c>
      <c r="AF630" s="2">
        <v>3</v>
      </c>
      <c r="AG630" s="2">
        <v>793</v>
      </c>
      <c r="AH630" s="2"/>
      <c r="AI630" s="2" t="s">
        <v>3116</v>
      </c>
      <c r="AJ630" s="2"/>
      <c r="AK630" s="14">
        <v>46101</v>
      </c>
      <c r="AL630" s="14">
        <v>46102</v>
      </c>
      <c r="AM630" s="14">
        <v>46102</v>
      </c>
      <c r="AN630" s="2"/>
      <c r="AO630" s="2">
        <v>8232675</v>
      </c>
      <c r="AP630" s="14">
        <v>46104</v>
      </c>
      <c r="AQ630" s="14">
        <v>46106</v>
      </c>
      <c r="AS630" s="2"/>
      <c r="AT630" s="44">
        <v>53843</v>
      </c>
      <c r="AV630" s="14">
        <v>46105</v>
      </c>
      <c r="AW630" s="14">
        <v>46106</v>
      </c>
      <c r="AY630" s="2">
        <v>8295192</v>
      </c>
      <c r="AZ630" s="5">
        <v>46107</v>
      </c>
      <c r="BA630" s="1">
        <v>19523511</v>
      </c>
      <c r="BB630" s="2">
        <v>3514232</v>
      </c>
      <c r="BC630" s="5">
        <v>46107</v>
      </c>
      <c r="BD630" s="5">
        <v>46107</v>
      </c>
      <c r="BF630" s="5">
        <v>46108</v>
      </c>
      <c r="BG630" s="5">
        <v>46109</v>
      </c>
      <c r="BH630" s="1" t="s">
        <v>280</v>
      </c>
      <c r="BI630" s="1" t="s">
        <v>280</v>
      </c>
      <c r="BQ630" s="14">
        <v>46106</v>
      </c>
      <c r="BR630" s="14">
        <v>46106</v>
      </c>
    </row>
    <row r="631" spans="1:70" ht="18" customHeight="1" x14ac:dyDescent="0.3">
      <c r="A631" s="2">
        <v>631</v>
      </c>
      <c r="B631" s="7">
        <v>1040841</v>
      </c>
      <c r="C631" s="111">
        <v>46097</v>
      </c>
      <c r="D631" s="2">
        <v>207146</v>
      </c>
      <c r="E631" s="2" t="s">
        <v>681</v>
      </c>
      <c r="F631" s="2" t="s">
        <v>3014</v>
      </c>
      <c r="G631" s="2" t="s">
        <v>3082</v>
      </c>
      <c r="H631" s="2">
        <v>100</v>
      </c>
      <c r="I631" s="83">
        <v>53799</v>
      </c>
      <c r="J631" s="2" t="s">
        <v>142</v>
      </c>
      <c r="K631" s="2" t="s">
        <v>126</v>
      </c>
      <c r="L631" s="2" t="s">
        <v>854</v>
      </c>
      <c r="M631" s="134">
        <v>46106</v>
      </c>
      <c r="N631" s="56" t="s">
        <v>4459</v>
      </c>
      <c r="Q631" s="67">
        <f t="shared" si="77"/>
        <v>3</v>
      </c>
      <c r="R631" s="29">
        <f t="shared" si="74"/>
        <v>3</v>
      </c>
      <c r="S631" s="15">
        <f t="shared" si="78"/>
        <v>405</v>
      </c>
      <c r="T631" s="1"/>
      <c r="U631" s="1" t="s">
        <v>4050</v>
      </c>
      <c r="V631" s="2" t="s">
        <v>755</v>
      </c>
      <c r="W631" s="1" t="s">
        <v>827</v>
      </c>
      <c r="X631" s="2" t="s">
        <v>4308</v>
      </c>
      <c r="Y631" s="14">
        <v>46104</v>
      </c>
      <c r="Z631" s="14">
        <v>46107</v>
      </c>
      <c r="AA631" s="14">
        <v>46103</v>
      </c>
      <c r="AB631" s="14">
        <v>46103</v>
      </c>
      <c r="AC631" s="14">
        <v>46106</v>
      </c>
      <c r="AD631" s="2">
        <v>60753185042</v>
      </c>
      <c r="AE631" s="2" t="s">
        <v>4270</v>
      </c>
      <c r="AF631" s="2">
        <v>3</v>
      </c>
      <c r="AG631" s="2">
        <v>777.5</v>
      </c>
      <c r="AH631" s="2"/>
      <c r="AI631" s="2" t="s">
        <v>3116</v>
      </c>
      <c r="AJ631" s="2"/>
      <c r="AK631" s="14">
        <v>46101</v>
      </c>
      <c r="AL631" s="14">
        <v>46102</v>
      </c>
      <c r="AM631" s="14">
        <v>46103</v>
      </c>
      <c r="AN631" s="2"/>
      <c r="AO631" s="2">
        <v>8231548</v>
      </c>
      <c r="AP631" s="14">
        <v>46104</v>
      </c>
      <c r="AQ631" s="14">
        <v>46106</v>
      </c>
      <c r="AS631" s="2"/>
      <c r="AT631" s="44">
        <v>53844</v>
      </c>
      <c r="AV631" s="14">
        <v>46105</v>
      </c>
      <c r="AW631" s="14">
        <v>46106</v>
      </c>
      <c r="AY631" s="2">
        <v>8295855</v>
      </c>
      <c r="AZ631" s="5">
        <v>46107</v>
      </c>
      <c r="BA631" s="1">
        <v>19523511</v>
      </c>
      <c r="BB631" s="2">
        <v>3514232</v>
      </c>
      <c r="BC631" s="5">
        <v>46107</v>
      </c>
      <c r="BD631" s="5">
        <v>46107</v>
      </c>
      <c r="BF631" s="5">
        <v>46108</v>
      </c>
      <c r="BG631" s="5">
        <v>46109</v>
      </c>
      <c r="BH631" s="1" t="s">
        <v>280</v>
      </c>
      <c r="BI631" s="1" t="s">
        <v>280</v>
      </c>
      <c r="BQ631" s="14">
        <v>46106</v>
      </c>
      <c r="BR631" s="14">
        <v>46106</v>
      </c>
    </row>
    <row r="632" spans="1:70" ht="18" customHeight="1" x14ac:dyDescent="0.3">
      <c r="A632" s="2">
        <v>632</v>
      </c>
      <c r="B632" s="7">
        <v>1040842</v>
      </c>
      <c r="C632" s="111">
        <v>46096</v>
      </c>
      <c r="D632" s="2">
        <v>207146</v>
      </c>
      <c r="E632" s="2" t="s">
        <v>681</v>
      </c>
      <c r="F632" s="2" t="s">
        <v>3014</v>
      </c>
      <c r="G632" s="2" t="s">
        <v>3082</v>
      </c>
      <c r="H632" s="2">
        <v>100</v>
      </c>
      <c r="I632" s="83">
        <v>53803</v>
      </c>
      <c r="J632" s="2" t="s">
        <v>142</v>
      </c>
      <c r="K632" s="2" t="s">
        <v>126</v>
      </c>
      <c r="L632" s="2" t="s">
        <v>854</v>
      </c>
      <c r="M632" s="134">
        <v>46106</v>
      </c>
      <c r="N632" s="56" t="s">
        <v>4458</v>
      </c>
      <c r="Q632" s="67">
        <f t="shared" si="77"/>
        <v>3</v>
      </c>
      <c r="R632" s="29">
        <f t="shared" si="74"/>
        <v>3</v>
      </c>
      <c r="S632" s="15">
        <f t="shared" si="78"/>
        <v>405</v>
      </c>
      <c r="T632" s="1"/>
      <c r="U632" s="1" t="s">
        <v>4050</v>
      </c>
      <c r="V632" s="2" t="s">
        <v>755</v>
      </c>
      <c r="W632" s="1" t="s">
        <v>827</v>
      </c>
      <c r="X632" s="2" t="s">
        <v>4307</v>
      </c>
      <c r="Y632" s="14">
        <v>46104</v>
      </c>
      <c r="Z632" s="14">
        <v>46107</v>
      </c>
      <c r="AA632" s="14">
        <v>46103</v>
      </c>
      <c r="AB632" s="14">
        <v>46103</v>
      </c>
      <c r="AC632" s="14">
        <v>46106</v>
      </c>
      <c r="AD632" s="2">
        <v>60753185053</v>
      </c>
      <c r="AE632" s="2" t="s">
        <v>4271</v>
      </c>
      <c r="AF632" s="2">
        <v>3</v>
      </c>
      <c r="AG632" s="2">
        <v>739.5</v>
      </c>
      <c r="AH632" s="2"/>
      <c r="AI632" s="2" t="s">
        <v>3116</v>
      </c>
      <c r="AJ632" s="2"/>
      <c r="AK632" s="14">
        <v>46101</v>
      </c>
      <c r="AL632" s="14">
        <v>46102</v>
      </c>
      <c r="AM632" s="14">
        <v>46103</v>
      </c>
      <c r="AN632" s="2"/>
      <c r="AO632" s="2">
        <v>8231452</v>
      </c>
      <c r="AP632" s="14">
        <v>46104</v>
      </c>
      <c r="AQ632" s="14">
        <v>46106</v>
      </c>
      <c r="AS632" s="2"/>
      <c r="AT632" s="44">
        <v>53842</v>
      </c>
      <c r="AV632" s="14">
        <v>46105</v>
      </c>
      <c r="AW632" s="14">
        <v>46106</v>
      </c>
      <c r="AY632" s="2">
        <v>8294425</v>
      </c>
      <c r="AZ632" s="5">
        <v>46107</v>
      </c>
      <c r="BA632" s="1">
        <v>19523511</v>
      </c>
      <c r="BB632" s="2">
        <v>3514232</v>
      </c>
      <c r="BC632" s="5">
        <v>46107</v>
      </c>
      <c r="BD632" s="5">
        <v>46107</v>
      </c>
      <c r="BF632" s="5">
        <v>46108</v>
      </c>
      <c r="BG632" s="5">
        <v>46109</v>
      </c>
      <c r="BH632" s="1" t="s">
        <v>280</v>
      </c>
      <c r="BI632" s="1" t="s">
        <v>280</v>
      </c>
      <c r="BQ632" s="14">
        <v>46106</v>
      </c>
      <c r="BR632" s="14">
        <v>46106</v>
      </c>
    </row>
    <row r="633" spans="1:70" ht="18" customHeight="1" x14ac:dyDescent="0.3">
      <c r="A633" s="2">
        <v>633</v>
      </c>
      <c r="B633" s="7">
        <v>1038123</v>
      </c>
      <c r="C633" s="111">
        <v>46082</v>
      </c>
      <c r="D633" s="2">
        <v>207146</v>
      </c>
      <c r="E633" s="2" t="s">
        <v>681</v>
      </c>
      <c r="F633" s="2" t="s">
        <v>3014</v>
      </c>
      <c r="G633" s="2" t="s">
        <v>3082</v>
      </c>
      <c r="H633" s="2">
        <v>100</v>
      </c>
      <c r="I633" s="83">
        <v>53686</v>
      </c>
      <c r="J633" s="2" t="s">
        <v>142</v>
      </c>
      <c r="K633" s="2" t="s">
        <v>126</v>
      </c>
      <c r="L633" s="2" t="s">
        <v>854</v>
      </c>
      <c r="M633" s="134">
        <v>46096</v>
      </c>
      <c r="N633" s="56" t="s">
        <v>4475</v>
      </c>
      <c r="Q633" s="67">
        <f t="shared" ref="Q633:Q643" si="79">AQ633-AB633</f>
        <v>3</v>
      </c>
      <c r="R633" s="29">
        <f t="shared" si="74"/>
        <v>12</v>
      </c>
      <c r="S633" s="15">
        <f t="shared" ref="S633:S643" si="80">AF633*45*R633</f>
        <v>1620</v>
      </c>
      <c r="T633" s="1">
        <v>1444</v>
      </c>
      <c r="U633" s="1" t="s">
        <v>4050</v>
      </c>
      <c r="V633" s="2" t="s">
        <v>755</v>
      </c>
      <c r="W633" s="1" t="s">
        <v>827</v>
      </c>
      <c r="X633" s="2" t="s">
        <v>4163</v>
      </c>
      <c r="Y633" s="14">
        <v>46097</v>
      </c>
      <c r="Z633" s="14">
        <v>46099</v>
      </c>
      <c r="AA633" s="14">
        <v>46096</v>
      </c>
      <c r="AB633" s="14">
        <v>46096</v>
      </c>
      <c r="AC633" s="14">
        <v>46099</v>
      </c>
      <c r="AD633" s="2">
        <v>21708548341</v>
      </c>
      <c r="AE633" s="2" t="s">
        <v>4164</v>
      </c>
      <c r="AF633" s="2">
        <v>3</v>
      </c>
      <c r="AG633" s="2">
        <v>724</v>
      </c>
      <c r="AH633" s="2"/>
      <c r="AI633" s="2" t="s">
        <v>3116</v>
      </c>
      <c r="AJ633" s="2"/>
      <c r="AK633" s="14">
        <v>46096</v>
      </c>
      <c r="AL633" s="14">
        <v>46097</v>
      </c>
      <c r="AM633" s="14">
        <v>46097</v>
      </c>
      <c r="AN633" s="2"/>
      <c r="AO633" s="2">
        <v>8102002</v>
      </c>
      <c r="AP633" s="14">
        <v>46097</v>
      </c>
      <c r="AQ633" s="14">
        <v>46099</v>
      </c>
      <c r="AS633" s="2"/>
      <c r="AT633" s="44">
        <v>53738</v>
      </c>
      <c r="AV633" s="14">
        <v>46098</v>
      </c>
      <c r="AW633" s="14">
        <v>46099</v>
      </c>
      <c r="AY633" s="2">
        <v>8228617</v>
      </c>
      <c r="AZ633" s="5">
        <v>46104</v>
      </c>
      <c r="BA633" s="1">
        <v>19523511</v>
      </c>
      <c r="BB633" s="2">
        <v>3514232</v>
      </c>
      <c r="BC633" s="5">
        <v>46104</v>
      </c>
      <c r="BD633" s="14">
        <v>46105</v>
      </c>
      <c r="BF633" s="14">
        <v>46105</v>
      </c>
      <c r="BG633" s="5">
        <v>46111</v>
      </c>
      <c r="BH633" s="1" t="s">
        <v>4033</v>
      </c>
      <c r="BI633" s="1" t="s">
        <v>4033</v>
      </c>
      <c r="BQ633" s="14">
        <v>46099</v>
      </c>
      <c r="BR633" s="14">
        <v>46099</v>
      </c>
    </row>
    <row r="634" spans="1:70" ht="18" customHeight="1" x14ac:dyDescent="0.3">
      <c r="A634" s="2">
        <v>634</v>
      </c>
      <c r="B634" s="7">
        <v>1038124</v>
      </c>
      <c r="C634" s="111">
        <v>46083</v>
      </c>
      <c r="D634" s="2">
        <v>207146</v>
      </c>
      <c r="E634" s="2" t="s">
        <v>681</v>
      </c>
      <c r="F634" s="2" t="s">
        <v>3014</v>
      </c>
      <c r="G634" s="2" t="s">
        <v>3082</v>
      </c>
      <c r="H634" s="2">
        <v>100</v>
      </c>
      <c r="I634" s="83">
        <v>53687</v>
      </c>
      <c r="J634" s="2" t="s">
        <v>142</v>
      </c>
      <c r="K634" s="2" t="s">
        <v>126</v>
      </c>
      <c r="L634" s="2" t="s">
        <v>854</v>
      </c>
      <c r="M634" s="134">
        <v>46096</v>
      </c>
      <c r="N634" s="56" t="s">
        <v>4475</v>
      </c>
      <c r="Q634" s="67">
        <f t="shared" si="79"/>
        <v>3</v>
      </c>
      <c r="R634" s="29">
        <f t="shared" si="74"/>
        <v>12</v>
      </c>
      <c r="S634" s="15">
        <f t="shared" si="80"/>
        <v>1620</v>
      </c>
      <c r="T634" s="1">
        <v>1444</v>
      </c>
      <c r="U634" s="1" t="s">
        <v>4050</v>
      </c>
      <c r="V634" s="2" t="s">
        <v>755</v>
      </c>
      <c r="W634" s="1" t="s">
        <v>827</v>
      </c>
      <c r="X634" s="2" t="s">
        <v>4165</v>
      </c>
      <c r="Y634" s="14">
        <v>46097</v>
      </c>
      <c r="Z634" s="14">
        <v>46099</v>
      </c>
      <c r="AA634" s="14">
        <v>46096</v>
      </c>
      <c r="AB634" s="14">
        <v>46096</v>
      </c>
      <c r="AC634" s="14">
        <v>46099</v>
      </c>
      <c r="AD634" s="2">
        <v>21708548352</v>
      </c>
      <c r="AE634" s="2" t="s">
        <v>4166</v>
      </c>
      <c r="AF634" s="2">
        <v>3</v>
      </c>
      <c r="AG634" s="2">
        <v>724</v>
      </c>
      <c r="AH634" s="2"/>
      <c r="AI634" s="2" t="s">
        <v>3116</v>
      </c>
      <c r="AJ634" s="2"/>
      <c r="AK634" s="14">
        <v>46096</v>
      </c>
      <c r="AL634" s="14">
        <v>46097</v>
      </c>
      <c r="AM634" s="14">
        <v>46097</v>
      </c>
      <c r="AN634" s="2"/>
      <c r="AO634" s="2">
        <v>8102004</v>
      </c>
      <c r="AP634" s="14">
        <v>46097</v>
      </c>
      <c r="AQ634" s="14">
        <v>46099</v>
      </c>
      <c r="AS634" s="2"/>
      <c r="AT634" s="44">
        <v>53728</v>
      </c>
      <c r="AV634" s="14">
        <v>46098</v>
      </c>
      <c r="AW634" s="14">
        <v>46099</v>
      </c>
      <c r="AY634" s="2">
        <v>8228615</v>
      </c>
      <c r="AZ634" s="5">
        <v>46104</v>
      </c>
      <c r="BA634" s="1">
        <v>19523511</v>
      </c>
      <c r="BB634" s="2">
        <v>3514232</v>
      </c>
      <c r="BC634" s="5">
        <v>46104</v>
      </c>
      <c r="BD634" s="14">
        <v>46105</v>
      </c>
      <c r="BF634" s="14">
        <v>46105</v>
      </c>
      <c r="BG634" s="5">
        <v>46111</v>
      </c>
      <c r="BH634" s="1" t="s">
        <v>4033</v>
      </c>
      <c r="BI634" s="1" t="s">
        <v>4033</v>
      </c>
      <c r="BQ634" s="14">
        <v>46099</v>
      </c>
      <c r="BR634" s="14">
        <v>46099</v>
      </c>
    </row>
    <row r="635" spans="1:70" ht="18" customHeight="1" x14ac:dyDescent="0.3">
      <c r="A635" s="2">
        <v>635</v>
      </c>
      <c r="B635" s="7">
        <v>1038125</v>
      </c>
      <c r="C635" s="111">
        <v>46083</v>
      </c>
      <c r="D635" s="2">
        <v>207146</v>
      </c>
      <c r="E635" s="2" t="s">
        <v>681</v>
      </c>
      <c r="F635" s="2" t="s">
        <v>3014</v>
      </c>
      <c r="G635" s="2" t="s">
        <v>3082</v>
      </c>
      <c r="H635" s="2">
        <v>100</v>
      </c>
      <c r="I635" s="83">
        <v>53688</v>
      </c>
      <c r="J635" s="2" t="s">
        <v>142</v>
      </c>
      <c r="K635" s="2" t="s">
        <v>126</v>
      </c>
      <c r="L635" s="2" t="s">
        <v>854</v>
      </c>
      <c r="M635" s="134">
        <v>46096</v>
      </c>
      <c r="N635" s="56" t="s">
        <v>4475</v>
      </c>
      <c r="Q635" s="67">
        <f t="shared" si="79"/>
        <v>3</v>
      </c>
      <c r="R635" s="29">
        <f t="shared" si="74"/>
        <v>12</v>
      </c>
      <c r="S635" s="15">
        <f t="shared" si="80"/>
        <v>1620</v>
      </c>
      <c r="T635" s="1">
        <v>1444</v>
      </c>
      <c r="U635" s="1" t="s">
        <v>4050</v>
      </c>
      <c r="V635" s="2" t="s">
        <v>755</v>
      </c>
      <c r="W635" s="1" t="s">
        <v>827</v>
      </c>
      <c r="X635" s="2" t="s">
        <v>4167</v>
      </c>
      <c r="Y635" s="14">
        <v>46097</v>
      </c>
      <c r="Z635" s="14">
        <v>46099</v>
      </c>
      <c r="AA635" s="14">
        <v>46096</v>
      </c>
      <c r="AB635" s="14">
        <v>46096</v>
      </c>
      <c r="AC635" s="14">
        <v>46099</v>
      </c>
      <c r="AD635" s="2">
        <v>21708548363</v>
      </c>
      <c r="AE635" s="2" t="s">
        <v>4168</v>
      </c>
      <c r="AF635" s="2">
        <v>3</v>
      </c>
      <c r="AG635" s="2">
        <v>724</v>
      </c>
      <c r="AH635" s="2"/>
      <c r="AI635" s="2" t="s">
        <v>3116</v>
      </c>
      <c r="AJ635" s="2"/>
      <c r="AK635" s="14">
        <v>46096</v>
      </c>
      <c r="AL635" s="14">
        <v>46097</v>
      </c>
      <c r="AM635" s="14">
        <v>46097</v>
      </c>
      <c r="AN635" s="2"/>
      <c r="AO635" s="106">
        <v>8102000</v>
      </c>
      <c r="AP635" s="14">
        <v>46097</v>
      </c>
      <c r="AQ635" s="14">
        <v>46099</v>
      </c>
      <c r="AS635" s="2"/>
      <c r="AT635" s="44">
        <v>53730</v>
      </c>
      <c r="AV635" s="14">
        <v>46098</v>
      </c>
      <c r="AW635" s="14">
        <v>46099</v>
      </c>
      <c r="AY635" s="2">
        <v>8228622</v>
      </c>
      <c r="AZ635" s="5">
        <v>46104</v>
      </c>
      <c r="BA635" s="1">
        <v>19523511</v>
      </c>
      <c r="BB635" s="2">
        <v>3514232</v>
      </c>
      <c r="BC635" s="5">
        <v>46104</v>
      </c>
      <c r="BD635" s="14">
        <v>46105</v>
      </c>
      <c r="BF635" s="14">
        <v>46105</v>
      </c>
      <c r="BG635" s="5">
        <v>46111</v>
      </c>
      <c r="BH635" s="1" t="s">
        <v>4033</v>
      </c>
      <c r="BI635" s="1" t="s">
        <v>4033</v>
      </c>
      <c r="BQ635" s="14">
        <v>46099</v>
      </c>
      <c r="BR635" s="14">
        <v>46099</v>
      </c>
    </row>
    <row r="636" spans="1:70" ht="18" customHeight="1" x14ac:dyDescent="0.3">
      <c r="A636" s="2">
        <v>636</v>
      </c>
      <c r="B636" s="7">
        <v>1038122</v>
      </c>
      <c r="C636" s="111">
        <v>46079</v>
      </c>
      <c r="D636" s="2">
        <v>207146</v>
      </c>
      <c r="E636" s="2" t="s">
        <v>681</v>
      </c>
      <c r="F636" s="2" t="s">
        <v>3014</v>
      </c>
      <c r="G636" s="2" t="s">
        <v>3082</v>
      </c>
      <c r="H636" s="2">
        <v>100</v>
      </c>
      <c r="I636" s="83">
        <v>53692</v>
      </c>
      <c r="J636" s="2" t="s">
        <v>142</v>
      </c>
      <c r="K636" s="2" t="s">
        <v>126</v>
      </c>
      <c r="L636" s="2" t="s">
        <v>854</v>
      </c>
      <c r="M636" s="134">
        <v>46096</v>
      </c>
      <c r="N636" s="56" t="s">
        <v>4475</v>
      </c>
      <c r="Q636" s="67">
        <f t="shared" si="79"/>
        <v>3</v>
      </c>
      <c r="R636" s="29">
        <f t="shared" si="74"/>
        <v>12</v>
      </c>
      <c r="S636" s="15">
        <f t="shared" si="80"/>
        <v>1620</v>
      </c>
      <c r="T636" s="1">
        <v>1444</v>
      </c>
      <c r="U636" s="1" t="s">
        <v>4050</v>
      </c>
      <c r="V636" s="2" t="s">
        <v>755</v>
      </c>
      <c r="W636" s="1" t="s">
        <v>827</v>
      </c>
      <c r="X636" s="2" t="s">
        <v>4169</v>
      </c>
      <c r="Y636" s="14">
        <v>46097</v>
      </c>
      <c r="Z636" s="14">
        <v>46099</v>
      </c>
      <c r="AA636" s="14">
        <v>46096</v>
      </c>
      <c r="AB636" s="14">
        <v>46096</v>
      </c>
      <c r="AC636" s="14">
        <v>46099</v>
      </c>
      <c r="AD636" s="2">
        <v>21708548330</v>
      </c>
      <c r="AE636" s="2" t="s">
        <v>4170</v>
      </c>
      <c r="AF636" s="2">
        <v>3</v>
      </c>
      <c r="AG636" s="2">
        <v>724</v>
      </c>
      <c r="AH636" s="2"/>
      <c r="AI636" s="2" t="s">
        <v>3116</v>
      </c>
      <c r="AJ636" s="2"/>
      <c r="AK636" s="14">
        <v>46096</v>
      </c>
      <c r="AL636" s="14">
        <v>46097</v>
      </c>
      <c r="AM636" s="14">
        <v>46097</v>
      </c>
      <c r="AN636" s="2"/>
      <c r="AO636" s="2">
        <v>8102005</v>
      </c>
      <c r="AP636" s="14">
        <v>46097</v>
      </c>
      <c r="AQ636" s="14">
        <v>46099</v>
      </c>
      <c r="AS636" s="2"/>
      <c r="AT636" s="44">
        <v>53731</v>
      </c>
      <c r="AV636" s="14">
        <v>46099</v>
      </c>
      <c r="AW636" s="14">
        <v>46099</v>
      </c>
      <c r="AY636" s="2">
        <v>8228616</v>
      </c>
      <c r="AZ636" s="5">
        <v>46104</v>
      </c>
      <c r="BA636" s="1">
        <v>19523511</v>
      </c>
      <c r="BB636" s="2">
        <v>3514232</v>
      </c>
      <c r="BC636" s="5">
        <v>46104</v>
      </c>
      <c r="BD636" s="14">
        <v>46105</v>
      </c>
      <c r="BF636" s="14">
        <v>46105</v>
      </c>
      <c r="BG636" s="5">
        <v>46111</v>
      </c>
      <c r="BH636" s="1" t="s">
        <v>4033</v>
      </c>
      <c r="BI636" s="1" t="s">
        <v>4033</v>
      </c>
      <c r="BQ636" s="14">
        <v>46099</v>
      </c>
      <c r="BR636" s="14">
        <v>46099</v>
      </c>
    </row>
    <row r="637" spans="1:70" ht="18" customHeight="1" x14ac:dyDescent="0.3">
      <c r="A637" s="2">
        <v>637</v>
      </c>
      <c r="B637" s="7">
        <v>1038838</v>
      </c>
      <c r="C637" s="111">
        <v>46085</v>
      </c>
      <c r="D637" s="2">
        <v>207146</v>
      </c>
      <c r="E637" s="2" t="s">
        <v>681</v>
      </c>
      <c r="F637" s="2" t="s">
        <v>3014</v>
      </c>
      <c r="G637" s="2" t="s">
        <v>3082</v>
      </c>
      <c r="H637" s="2">
        <v>100</v>
      </c>
      <c r="I637" s="83">
        <v>53689</v>
      </c>
      <c r="J637" s="2" t="s">
        <v>142</v>
      </c>
      <c r="K637" s="2" t="s">
        <v>126</v>
      </c>
      <c r="L637" s="2" t="s">
        <v>854</v>
      </c>
      <c r="M637" s="134">
        <v>46097</v>
      </c>
      <c r="N637" s="56" t="s">
        <v>4476</v>
      </c>
      <c r="Q637" s="67">
        <f t="shared" si="79"/>
        <v>4</v>
      </c>
      <c r="R637" s="29">
        <f t="shared" si="74"/>
        <v>10</v>
      </c>
      <c r="S637" s="15">
        <f t="shared" si="80"/>
        <v>1350</v>
      </c>
      <c r="T637" s="1"/>
      <c r="U637" s="1" t="s">
        <v>4050</v>
      </c>
      <c r="V637" s="2" t="s">
        <v>755</v>
      </c>
      <c r="W637" s="1" t="s">
        <v>827</v>
      </c>
      <c r="X637" s="2" t="s">
        <v>4171</v>
      </c>
      <c r="Y637" s="14">
        <v>46097</v>
      </c>
      <c r="Z637" s="14">
        <v>46099</v>
      </c>
      <c r="AA637" s="14">
        <v>46097</v>
      </c>
      <c r="AB637" s="14">
        <v>46097</v>
      </c>
      <c r="AC637" s="14">
        <v>46101</v>
      </c>
      <c r="AD637" s="2">
        <v>21708548374</v>
      </c>
      <c r="AE637" s="2" t="s">
        <v>4172</v>
      </c>
      <c r="AF637" s="2">
        <v>3</v>
      </c>
      <c r="AG637" s="2">
        <v>720</v>
      </c>
      <c r="AH637" s="2"/>
      <c r="AI637" s="2" t="s">
        <v>3116</v>
      </c>
      <c r="AJ637" s="2"/>
      <c r="AK637" s="14">
        <v>46097</v>
      </c>
      <c r="AL637" s="14">
        <v>46097</v>
      </c>
      <c r="AM637" s="14">
        <v>46098</v>
      </c>
      <c r="AN637" s="2"/>
      <c r="AO637" s="2">
        <v>8120507</v>
      </c>
      <c r="AP637" s="14">
        <v>46098</v>
      </c>
      <c r="AQ637" s="14">
        <v>46101</v>
      </c>
      <c r="AS637" s="2"/>
      <c r="AT637" s="44">
        <v>53739</v>
      </c>
      <c r="AV637" s="14">
        <v>46099</v>
      </c>
      <c r="AW637" s="14">
        <v>46099</v>
      </c>
      <c r="AY637" s="2">
        <v>8252001</v>
      </c>
      <c r="AZ637" s="5">
        <v>46105</v>
      </c>
      <c r="BA637" s="1">
        <v>19523511</v>
      </c>
      <c r="BB637" s="2">
        <v>3514232</v>
      </c>
      <c r="BC637" s="5">
        <v>46105</v>
      </c>
      <c r="BD637" s="14">
        <v>46105</v>
      </c>
      <c r="BF637" s="5">
        <v>46106</v>
      </c>
      <c r="BG637" s="5">
        <v>46111</v>
      </c>
      <c r="BH637" s="1" t="s">
        <v>4033</v>
      </c>
      <c r="BI637" s="1" t="s">
        <v>4033</v>
      </c>
      <c r="BQ637" s="14">
        <v>46099</v>
      </c>
      <c r="BR637" s="14">
        <v>46104</v>
      </c>
    </row>
    <row r="638" spans="1:70" ht="18" customHeight="1" x14ac:dyDescent="0.3">
      <c r="A638" s="2">
        <v>638</v>
      </c>
      <c r="B638" s="7">
        <v>1038839</v>
      </c>
      <c r="C638" s="111">
        <v>46083</v>
      </c>
      <c r="D638" s="2">
        <v>207146</v>
      </c>
      <c r="E638" s="2" t="s">
        <v>681</v>
      </c>
      <c r="F638" s="2" t="s">
        <v>3014</v>
      </c>
      <c r="G638" s="2" t="s">
        <v>3082</v>
      </c>
      <c r="H638" s="2">
        <v>100</v>
      </c>
      <c r="I638" s="83">
        <v>53690</v>
      </c>
      <c r="J638" s="2" t="s">
        <v>142</v>
      </c>
      <c r="K638" s="2" t="s">
        <v>126</v>
      </c>
      <c r="L638" s="2" t="s">
        <v>854</v>
      </c>
      <c r="M638" s="134">
        <v>46097</v>
      </c>
      <c r="N638" s="56" t="s">
        <v>4477</v>
      </c>
      <c r="Q638" s="67">
        <f t="shared" si="79"/>
        <v>4</v>
      </c>
      <c r="R638" s="29">
        <f t="shared" si="74"/>
        <v>10</v>
      </c>
      <c r="S638" s="15">
        <f t="shared" si="80"/>
        <v>1350</v>
      </c>
      <c r="T638" s="1">
        <v>1444</v>
      </c>
      <c r="U638" s="1" t="s">
        <v>4050</v>
      </c>
      <c r="V638" s="2" t="s">
        <v>755</v>
      </c>
      <c r="W638" s="1" t="s">
        <v>827</v>
      </c>
      <c r="X638" s="2" t="s">
        <v>4173</v>
      </c>
      <c r="Y638" s="14">
        <v>46097</v>
      </c>
      <c r="Z638" s="14">
        <v>46099</v>
      </c>
      <c r="AA638" s="14">
        <v>46097</v>
      </c>
      <c r="AB638" s="14">
        <v>46097</v>
      </c>
      <c r="AC638" s="14">
        <v>46101</v>
      </c>
      <c r="AD638" s="2">
        <v>21708548385</v>
      </c>
      <c r="AE638" s="2" t="s">
        <v>4174</v>
      </c>
      <c r="AF638" s="2">
        <v>3</v>
      </c>
      <c r="AG638" s="2">
        <v>720</v>
      </c>
      <c r="AH638" s="2"/>
      <c r="AI638" s="2" t="s">
        <v>3116</v>
      </c>
      <c r="AJ638" s="2"/>
      <c r="AK638" s="14">
        <v>46097</v>
      </c>
      <c r="AL638" s="14">
        <v>46097</v>
      </c>
      <c r="AM638" s="14">
        <v>46098</v>
      </c>
      <c r="AN638" s="2"/>
      <c r="AO638" s="2">
        <v>8120611</v>
      </c>
      <c r="AP638" s="14">
        <v>46098</v>
      </c>
      <c r="AQ638" s="14">
        <v>46101</v>
      </c>
      <c r="AS638" s="2"/>
      <c r="AT638" s="44">
        <v>53740</v>
      </c>
      <c r="AV638" s="14">
        <v>46099</v>
      </c>
      <c r="AW638" s="14">
        <v>46099</v>
      </c>
      <c r="AY638" s="2">
        <v>8228619</v>
      </c>
      <c r="AZ638" s="5">
        <v>46104</v>
      </c>
      <c r="BA638" s="1">
        <v>19523511</v>
      </c>
      <c r="BB638" s="2">
        <v>3514232</v>
      </c>
      <c r="BC638" s="5">
        <v>46104</v>
      </c>
      <c r="BD638" s="14">
        <v>46105</v>
      </c>
      <c r="BF638" s="14">
        <v>46105</v>
      </c>
      <c r="BG638" s="5">
        <v>46111</v>
      </c>
      <c r="BH638" s="1" t="s">
        <v>4033</v>
      </c>
      <c r="BI638" s="1" t="s">
        <v>4033</v>
      </c>
      <c r="BQ638" s="14">
        <v>46099</v>
      </c>
      <c r="BR638" s="14">
        <v>46099</v>
      </c>
    </row>
    <row r="639" spans="1:70" ht="18" customHeight="1" x14ac:dyDescent="0.3">
      <c r="A639" s="2">
        <v>639</v>
      </c>
      <c r="B639" s="7">
        <v>1038840</v>
      </c>
      <c r="C639" s="111">
        <v>46083</v>
      </c>
      <c r="D639" s="2">
        <v>207146</v>
      </c>
      <c r="E639" s="2" t="s">
        <v>681</v>
      </c>
      <c r="F639" s="2" t="s">
        <v>3014</v>
      </c>
      <c r="G639" s="2" t="s">
        <v>3082</v>
      </c>
      <c r="H639" s="2">
        <v>100</v>
      </c>
      <c r="I639" s="83">
        <v>53691</v>
      </c>
      <c r="J639" s="2" t="s">
        <v>142</v>
      </c>
      <c r="K639" s="2" t="s">
        <v>126</v>
      </c>
      <c r="L639" s="2" t="s">
        <v>854</v>
      </c>
      <c r="M639" s="134">
        <v>46097</v>
      </c>
      <c r="N639" s="56" t="s">
        <v>4478</v>
      </c>
      <c r="Q639" s="67">
        <f t="shared" si="79"/>
        <v>4</v>
      </c>
      <c r="R639" s="29">
        <f t="shared" si="74"/>
        <v>10</v>
      </c>
      <c r="S639" s="15">
        <f t="shared" si="80"/>
        <v>1350</v>
      </c>
      <c r="T639" s="1"/>
      <c r="U639" s="1" t="s">
        <v>4050</v>
      </c>
      <c r="V639" s="2" t="s">
        <v>755</v>
      </c>
      <c r="W639" s="1" t="s">
        <v>827</v>
      </c>
      <c r="X639" s="2" t="s">
        <v>4175</v>
      </c>
      <c r="Y639" s="14">
        <v>46097</v>
      </c>
      <c r="Z639" s="14">
        <v>46099</v>
      </c>
      <c r="AA639" s="14">
        <v>46097</v>
      </c>
      <c r="AB639" s="14">
        <v>46097</v>
      </c>
      <c r="AC639" s="14">
        <v>46101</v>
      </c>
      <c r="AD639" s="2">
        <v>21708548396</v>
      </c>
      <c r="AE639" s="2" t="s">
        <v>4176</v>
      </c>
      <c r="AF639" s="2">
        <v>3</v>
      </c>
      <c r="AG639" s="2">
        <v>724</v>
      </c>
      <c r="AH639" s="2"/>
      <c r="AI639" s="2" t="s">
        <v>3116</v>
      </c>
      <c r="AJ639" s="2"/>
      <c r="AK639" s="14">
        <v>46097</v>
      </c>
      <c r="AL639" s="14">
        <v>46097</v>
      </c>
      <c r="AM639" s="14">
        <v>46098</v>
      </c>
      <c r="AN639" s="2"/>
      <c r="AO639" s="2">
        <v>8120930</v>
      </c>
      <c r="AP639" s="14">
        <v>46098</v>
      </c>
      <c r="AQ639" s="14">
        <v>46101</v>
      </c>
      <c r="AS639" s="2"/>
      <c r="AT639" s="44">
        <v>53741</v>
      </c>
      <c r="AV639" s="14">
        <v>46099</v>
      </c>
      <c r="AW639" s="14">
        <v>46104</v>
      </c>
      <c r="AY639" s="2">
        <v>8252000</v>
      </c>
      <c r="AZ639" s="5">
        <v>46105</v>
      </c>
      <c r="BA639" s="1">
        <v>19523511</v>
      </c>
      <c r="BB639" s="2">
        <v>3514232</v>
      </c>
      <c r="BC639" s="5">
        <v>46105</v>
      </c>
      <c r="BD639" s="14">
        <v>46105</v>
      </c>
      <c r="BF639" s="5">
        <v>46106</v>
      </c>
      <c r="BG639" s="5">
        <v>46111</v>
      </c>
      <c r="BH639" s="1" t="s">
        <v>4033</v>
      </c>
      <c r="BI639" s="1" t="s">
        <v>4033</v>
      </c>
      <c r="BQ639" s="14">
        <v>46104</v>
      </c>
      <c r="BR639" s="14">
        <v>46104</v>
      </c>
    </row>
    <row r="640" spans="1:70" ht="18" customHeight="1" x14ac:dyDescent="0.3">
      <c r="A640" s="2">
        <v>640</v>
      </c>
      <c r="B640" s="7">
        <v>1038841</v>
      </c>
      <c r="C640" s="111">
        <v>46089</v>
      </c>
      <c r="D640" s="2">
        <v>207146</v>
      </c>
      <c r="E640" s="2" t="s">
        <v>681</v>
      </c>
      <c r="F640" s="2" t="s">
        <v>3014</v>
      </c>
      <c r="G640" s="2" t="s">
        <v>3082</v>
      </c>
      <c r="H640" s="2">
        <v>100</v>
      </c>
      <c r="I640" s="83">
        <v>53699</v>
      </c>
      <c r="J640" s="2" t="s">
        <v>142</v>
      </c>
      <c r="K640" s="2" t="s">
        <v>126</v>
      </c>
      <c r="L640" s="2" t="s">
        <v>854</v>
      </c>
      <c r="M640" s="134">
        <v>46097</v>
      </c>
      <c r="N640" s="56" t="s">
        <v>4477</v>
      </c>
      <c r="Q640" s="67">
        <f t="shared" si="79"/>
        <v>3</v>
      </c>
      <c r="R640" s="29">
        <f t="shared" si="74"/>
        <v>10</v>
      </c>
      <c r="S640" s="15">
        <f t="shared" si="80"/>
        <v>1350</v>
      </c>
      <c r="T640" s="1">
        <v>1444</v>
      </c>
      <c r="U640" s="1" t="s">
        <v>4050</v>
      </c>
      <c r="V640" s="2" t="s">
        <v>755</v>
      </c>
      <c r="W640" s="1" t="s">
        <v>827</v>
      </c>
      <c r="X640" s="2" t="s">
        <v>4178</v>
      </c>
      <c r="Y640" s="14">
        <v>46097</v>
      </c>
      <c r="Z640" s="14">
        <v>46099</v>
      </c>
      <c r="AA640" s="14">
        <v>46097</v>
      </c>
      <c r="AB640" s="14">
        <v>46098</v>
      </c>
      <c r="AC640" s="14">
        <v>46101</v>
      </c>
      <c r="AD640" s="2">
        <v>60752659412</v>
      </c>
      <c r="AE640" s="2" t="s">
        <v>4179</v>
      </c>
      <c r="AF640" s="2">
        <v>3</v>
      </c>
      <c r="AG640" s="2">
        <v>778</v>
      </c>
      <c r="AH640" s="2"/>
      <c r="AI640" s="2" t="s">
        <v>3116</v>
      </c>
      <c r="AJ640" s="2"/>
      <c r="AK640" s="14">
        <v>46096</v>
      </c>
      <c r="AL640" s="14">
        <v>46097</v>
      </c>
      <c r="AM640" s="14">
        <v>46098</v>
      </c>
      <c r="AN640" s="2"/>
      <c r="AO640" s="2">
        <v>8122859</v>
      </c>
      <c r="AP640" s="14">
        <v>46098</v>
      </c>
      <c r="AQ640" s="14">
        <v>46101</v>
      </c>
      <c r="AS640" s="2"/>
      <c r="AT640" s="44">
        <v>53725</v>
      </c>
      <c r="AV640" s="14">
        <v>46099</v>
      </c>
      <c r="AW640" s="14">
        <v>46099</v>
      </c>
      <c r="AY640" s="2">
        <v>8228815</v>
      </c>
      <c r="AZ640" s="5">
        <v>46104</v>
      </c>
      <c r="BA640" s="1">
        <v>19523511</v>
      </c>
      <c r="BB640" s="2">
        <v>3514232</v>
      </c>
      <c r="BC640" s="5">
        <v>46104</v>
      </c>
      <c r="BD640" s="14">
        <v>46105</v>
      </c>
      <c r="BF640" s="14">
        <v>46105</v>
      </c>
      <c r="BG640" s="5">
        <v>46111</v>
      </c>
      <c r="BH640" s="1" t="s">
        <v>4033</v>
      </c>
      <c r="BI640" s="1" t="s">
        <v>4033</v>
      </c>
      <c r="BQ640" s="14">
        <v>46099</v>
      </c>
      <c r="BR640" s="14">
        <v>46099</v>
      </c>
    </row>
    <row r="641" spans="1:70" ht="18" customHeight="1" x14ac:dyDescent="0.3">
      <c r="A641" s="2">
        <v>641</v>
      </c>
      <c r="B641" s="7">
        <v>1038842</v>
      </c>
      <c r="C641" s="111">
        <v>46089</v>
      </c>
      <c r="D641" s="2">
        <v>207146</v>
      </c>
      <c r="E641" s="2" t="s">
        <v>681</v>
      </c>
      <c r="F641" s="2" t="s">
        <v>3014</v>
      </c>
      <c r="G641" s="2" t="s">
        <v>3082</v>
      </c>
      <c r="H641" s="2">
        <v>100</v>
      </c>
      <c r="I641" s="83">
        <v>53701</v>
      </c>
      <c r="J641" s="2" t="s">
        <v>142</v>
      </c>
      <c r="K641" s="2" t="s">
        <v>126</v>
      </c>
      <c r="L641" s="2" t="s">
        <v>854</v>
      </c>
      <c r="M641" s="134">
        <v>46097</v>
      </c>
      <c r="N641" s="56" t="s">
        <v>4477</v>
      </c>
      <c r="Q641" s="67">
        <f t="shared" si="79"/>
        <v>3</v>
      </c>
      <c r="R641" s="29">
        <f t="shared" si="74"/>
        <v>10</v>
      </c>
      <c r="S641" s="15">
        <f t="shared" si="80"/>
        <v>1350</v>
      </c>
      <c r="T641" s="1">
        <v>1444</v>
      </c>
      <c r="U641" s="1" t="s">
        <v>4050</v>
      </c>
      <c r="V641" s="2" t="s">
        <v>755</v>
      </c>
      <c r="W641" s="1" t="s">
        <v>827</v>
      </c>
      <c r="X641" s="2" t="s">
        <v>4180</v>
      </c>
      <c r="Y641" s="14">
        <v>46097</v>
      </c>
      <c r="Z641" s="14">
        <v>46099</v>
      </c>
      <c r="AA641" s="14">
        <v>46097</v>
      </c>
      <c r="AB641" s="14">
        <v>46098</v>
      </c>
      <c r="AC641" s="14">
        <v>46101</v>
      </c>
      <c r="AD641" s="2">
        <v>60752659423</v>
      </c>
      <c r="AE641" s="2" t="s">
        <v>4181</v>
      </c>
      <c r="AF641" s="2">
        <v>3</v>
      </c>
      <c r="AG641" s="2">
        <v>754</v>
      </c>
      <c r="AH641" s="2"/>
      <c r="AI641" s="2" t="s">
        <v>3116</v>
      </c>
      <c r="AJ641" s="2"/>
      <c r="AK641" s="14">
        <v>46096</v>
      </c>
      <c r="AL641" s="14">
        <v>46097</v>
      </c>
      <c r="AM641" s="14">
        <v>46098</v>
      </c>
      <c r="AN641" s="2"/>
      <c r="AO641" s="2">
        <v>8122858</v>
      </c>
      <c r="AP641" s="14">
        <v>46098</v>
      </c>
      <c r="AQ641" s="14">
        <v>46101</v>
      </c>
      <c r="AS641" s="2"/>
      <c r="AT641" s="44">
        <v>53729</v>
      </c>
      <c r="AV641" s="14">
        <v>46099</v>
      </c>
      <c r="AW641" s="14">
        <v>46099</v>
      </c>
      <c r="AY641" s="2">
        <v>8228816</v>
      </c>
      <c r="AZ641" s="5">
        <v>46104</v>
      </c>
      <c r="BA641" s="1">
        <v>19523511</v>
      </c>
      <c r="BB641" s="2">
        <v>3514232</v>
      </c>
      <c r="BC641" s="5">
        <v>46104</v>
      </c>
      <c r="BD641" s="14">
        <v>46105</v>
      </c>
      <c r="BF641" s="14">
        <v>46105</v>
      </c>
      <c r="BG641" s="5">
        <v>46111</v>
      </c>
      <c r="BH641" s="1" t="s">
        <v>4033</v>
      </c>
      <c r="BI641" s="1" t="s">
        <v>4033</v>
      </c>
      <c r="BQ641" s="14">
        <v>46099</v>
      </c>
      <c r="BR641" s="14">
        <v>46099</v>
      </c>
    </row>
    <row r="642" spans="1:70" ht="18" customHeight="1" thickBot="1" x14ac:dyDescent="0.35">
      <c r="A642" s="2">
        <v>642</v>
      </c>
      <c r="B642" s="7">
        <v>1038843</v>
      </c>
      <c r="C642" s="111">
        <v>46089</v>
      </c>
      <c r="D642" s="2">
        <v>207146</v>
      </c>
      <c r="E642" s="2" t="s">
        <v>681</v>
      </c>
      <c r="F642" s="2" t="s">
        <v>3014</v>
      </c>
      <c r="G642" s="2" t="s">
        <v>3082</v>
      </c>
      <c r="H642" s="2">
        <v>100</v>
      </c>
      <c r="I642" s="83">
        <v>53702</v>
      </c>
      <c r="J642" s="2" t="s">
        <v>142</v>
      </c>
      <c r="K642" s="2" t="s">
        <v>126</v>
      </c>
      <c r="L642" s="2" t="s">
        <v>854</v>
      </c>
      <c r="M642" s="134">
        <v>46097</v>
      </c>
      <c r="N642" s="56" t="s">
        <v>4477</v>
      </c>
      <c r="Q642" s="67">
        <f t="shared" si="79"/>
        <v>3</v>
      </c>
      <c r="R642" s="29">
        <f t="shared" si="74"/>
        <v>10</v>
      </c>
      <c r="S642" s="15">
        <f t="shared" si="80"/>
        <v>1350</v>
      </c>
      <c r="T642" s="1">
        <v>1444</v>
      </c>
      <c r="U642" s="1" t="s">
        <v>4050</v>
      </c>
      <c r="V642" s="2" t="s">
        <v>755</v>
      </c>
      <c r="W642" s="1" t="s">
        <v>827</v>
      </c>
      <c r="X642" s="2" t="s">
        <v>4182</v>
      </c>
      <c r="Y642" s="14">
        <v>46097</v>
      </c>
      <c r="Z642" s="14">
        <v>46099</v>
      </c>
      <c r="AA642" s="14">
        <v>46097</v>
      </c>
      <c r="AB642" s="14">
        <v>46098</v>
      </c>
      <c r="AC642" s="14">
        <v>46101</v>
      </c>
      <c r="AD642" s="2">
        <v>60752659434</v>
      </c>
      <c r="AE642" s="2" t="s">
        <v>4183</v>
      </c>
      <c r="AF642" s="2">
        <v>3</v>
      </c>
      <c r="AG642" s="2">
        <v>774.5</v>
      </c>
      <c r="AH642" s="2"/>
      <c r="AI642" s="2" t="s">
        <v>3116</v>
      </c>
      <c r="AJ642" s="2"/>
      <c r="AK642" s="14">
        <v>46096</v>
      </c>
      <c r="AL642" s="14">
        <v>46097</v>
      </c>
      <c r="AM642" s="14">
        <v>46098</v>
      </c>
      <c r="AN642" s="2"/>
      <c r="AO642" s="108">
        <v>8122857</v>
      </c>
      <c r="AP642" s="14">
        <v>46098</v>
      </c>
      <c r="AQ642" s="14">
        <v>46101</v>
      </c>
      <c r="AS642" s="2"/>
      <c r="AT642" s="44">
        <v>53732</v>
      </c>
      <c r="AV642" s="14">
        <v>46099</v>
      </c>
      <c r="AW642" s="14">
        <v>46099</v>
      </c>
      <c r="AY642" s="2">
        <v>8228809</v>
      </c>
      <c r="AZ642" s="5">
        <v>46104</v>
      </c>
      <c r="BA642" s="1">
        <v>19523511</v>
      </c>
      <c r="BB642" s="2">
        <v>3514232</v>
      </c>
      <c r="BC642" s="5">
        <v>46104</v>
      </c>
      <c r="BD642" s="14">
        <v>46105</v>
      </c>
      <c r="BF642" s="14">
        <v>46105</v>
      </c>
      <c r="BG642" s="5">
        <v>46111</v>
      </c>
      <c r="BH642" s="1" t="s">
        <v>4033</v>
      </c>
      <c r="BI642" s="1" t="s">
        <v>4033</v>
      </c>
      <c r="BQ642" s="14">
        <v>46099</v>
      </c>
      <c r="BR642" s="14">
        <v>46099</v>
      </c>
    </row>
    <row r="643" spans="1:70" ht="18" customHeight="1" x14ac:dyDescent="0.3">
      <c r="A643" s="2">
        <v>643</v>
      </c>
      <c r="B643" s="7">
        <v>1038844</v>
      </c>
      <c r="C643" s="111">
        <v>46089</v>
      </c>
      <c r="D643" s="2">
        <v>207146</v>
      </c>
      <c r="E643" s="2" t="s">
        <v>681</v>
      </c>
      <c r="F643" s="2" t="s">
        <v>3014</v>
      </c>
      <c r="G643" s="2" t="s">
        <v>3082</v>
      </c>
      <c r="H643" s="2">
        <v>100</v>
      </c>
      <c r="I643" s="83">
        <v>53704</v>
      </c>
      <c r="J643" s="2" t="s">
        <v>142</v>
      </c>
      <c r="K643" s="2" t="s">
        <v>126</v>
      </c>
      <c r="L643" s="2" t="s">
        <v>854</v>
      </c>
      <c r="M643" s="134">
        <v>46097</v>
      </c>
      <c r="N643" s="56" t="s">
        <v>4477</v>
      </c>
      <c r="Q643" s="67">
        <f t="shared" si="79"/>
        <v>3</v>
      </c>
      <c r="R643" s="29">
        <f t="shared" si="74"/>
        <v>10</v>
      </c>
      <c r="S643" s="15">
        <f t="shared" si="80"/>
        <v>1350</v>
      </c>
      <c r="T643" s="1">
        <v>1444</v>
      </c>
      <c r="U643" s="1" t="s">
        <v>4050</v>
      </c>
      <c r="V643" s="2" t="s">
        <v>755</v>
      </c>
      <c r="W643" s="1" t="s">
        <v>827</v>
      </c>
      <c r="X643" s="2" t="s">
        <v>4182</v>
      </c>
      <c r="Y643" s="14">
        <v>46097</v>
      </c>
      <c r="Z643" s="14">
        <v>46099</v>
      </c>
      <c r="AA643" s="14">
        <v>46097</v>
      </c>
      <c r="AB643" s="14">
        <v>46098</v>
      </c>
      <c r="AC643" s="14">
        <v>46101</v>
      </c>
      <c r="AD643" s="2">
        <v>60752659445</v>
      </c>
      <c r="AE643" s="2" t="s">
        <v>4184</v>
      </c>
      <c r="AF643" s="2">
        <v>3</v>
      </c>
      <c r="AG643" s="2">
        <v>720</v>
      </c>
      <c r="AH643" s="2"/>
      <c r="AI643" s="2" t="s">
        <v>3116</v>
      </c>
      <c r="AJ643" s="2"/>
      <c r="AK643" s="14">
        <v>46096</v>
      </c>
      <c r="AL643" s="14">
        <v>46097</v>
      </c>
      <c r="AM643" s="14">
        <v>46098</v>
      </c>
      <c r="AN643" s="2"/>
      <c r="AO643" s="2">
        <v>8122856</v>
      </c>
      <c r="AP643" s="14">
        <v>46098</v>
      </c>
      <c r="AQ643" s="14">
        <v>46101</v>
      </c>
      <c r="AS643" s="2"/>
      <c r="AT643" s="44">
        <v>53733</v>
      </c>
      <c r="AV643" s="14">
        <v>46099</v>
      </c>
      <c r="AW643" s="14">
        <v>46099</v>
      </c>
      <c r="AY643" s="2">
        <v>8228812</v>
      </c>
      <c r="AZ643" s="5">
        <v>46104</v>
      </c>
      <c r="BA643" s="1">
        <v>19523511</v>
      </c>
      <c r="BB643" s="2">
        <v>3514232</v>
      </c>
      <c r="BC643" s="5">
        <v>46104</v>
      </c>
      <c r="BD643" s="14">
        <v>46105</v>
      </c>
      <c r="BF643" s="14">
        <v>46105</v>
      </c>
      <c r="BG643" s="5">
        <v>46111</v>
      </c>
      <c r="BH643" s="1" t="s">
        <v>4033</v>
      </c>
      <c r="BI643" s="1" t="s">
        <v>4033</v>
      </c>
      <c r="BQ643" s="14">
        <v>46099</v>
      </c>
      <c r="BR643" s="14">
        <v>46099</v>
      </c>
    </row>
    <row r="644" spans="1:70" ht="18" customHeight="1" x14ac:dyDescent="0.3">
      <c r="A644" s="2">
        <v>644</v>
      </c>
      <c r="B644" s="7">
        <v>7100577</v>
      </c>
      <c r="C644" s="111">
        <v>46078</v>
      </c>
      <c r="D644" s="2">
        <v>139620</v>
      </c>
      <c r="E644" s="2" t="s">
        <v>840</v>
      </c>
      <c r="F644" s="8" t="s">
        <v>760</v>
      </c>
      <c r="G644" s="8" t="s">
        <v>2000</v>
      </c>
      <c r="H644" s="8" t="s">
        <v>582</v>
      </c>
      <c r="I644" s="83">
        <v>53650</v>
      </c>
      <c r="J644" s="2" t="s">
        <v>1631</v>
      </c>
      <c r="K644" s="2" t="s">
        <v>126</v>
      </c>
      <c r="L644" s="2" t="s">
        <v>854</v>
      </c>
      <c r="M644" s="134">
        <v>46095</v>
      </c>
      <c r="N644" s="56" t="s">
        <v>4487</v>
      </c>
      <c r="Q644" s="67">
        <f>AQ644-AB644</f>
        <v>3</v>
      </c>
      <c r="R644" s="29">
        <f t="shared" si="74"/>
        <v>11</v>
      </c>
      <c r="S644" s="15">
        <f>AF644*45*R644</f>
        <v>1980</v>
      </c>
      <c r="T644" s="1">
        <v>973</v>
      </c>
      <c r="U644" s="1" t="s">
        <v>4104</v>
      </c>
      <c r="V644" s="1" t="s">
        <v>626</v>
      </c>
      <c r="W644" s="1" t="s">
        <v>627</v>
      </c>
      <c r="X644" s="2">
        <v>20265026615</v>
      </c>
      <c r="Y644" s="14">
        <v>46090</v>
      </c>
      <c r="Z644" s="14">
        <v>46097</v>
      </c>
      <c r="AA644" s="14">
        <v>46083</v>
      </c>
      <c r="AB644" s="14">
        <v>46098</v>
      </c>
      <c r="AC644" s="14">
        <v>46101</v>
      </c>
      <c r="AD644" s="2" t="s">
        <v>4186</v>
      </c>
      <c r="AE644" s="2" t="s">
        <v>4105</v>
      </c>
      <c r="AF644" s="2">
        <v>4</v>
      </c>
      <c r="AG644" s="2">
        <v>7.02</v>
      </c>
      <c r="AH644" s="2"/>
      <c r="AI644" s="2" t="s">
        <v>180</v>
      </c>
      <c r="AJ644" s="2"/>
      <c r="AK644" s="14">
        <v>46093</v>
      </c>
      <c r="AL644" s="14">
        <v>46094</v>
      </c>
      <c r="AM644" s="14">
        <v>46094</v>
      </c>
      <c r="AN644" s="2"/>
      <c r="AO644" s="2">
        <v>8128712</v>
      </c>
      <c r="AP644" s="14">
        <v>46098</v>
      </c>
      <c r="AQ644" s="14">
        <v>46101</v>
      </c>
      <c r="AS644" s="2"/>
      <c r="AT644" s="44">
        <v>53765</v>
      </c>
      <c r="AV644" s="14">
        <v>46099</v>
      </c>
      <c r="AW644" s="14">
        <v>46099</v>
      </c>
      <c r="AY644" s="2">
        <v>8294433</v>
      </c>
      <c r="AZ644" s="5">
        <v>46107</v>
      </c>
      <c r="BA644" s="1">
        <v>13159185</v>
      </c>
      <c r="BB644" s="2">
        <v>2368653</v>
      </c>
      <c r="BC644" s="5">
        <v>46107</v>
      </c>
      <c r="BD644" s="14">
        <v>46108</v>
      </c>
      <c r="BF644" s="5">
        <v>46111</v>
      </c>
      <c r="BG644" s="5">
        <v>46112</v>
      </c>
      <c r="BH644" s="1" t="s">
        <v>4033</v>
      </c>
      <c r="BI644" s="1" t="s">
        <v>4033</v>
      </c>
      <c r="BQ644" s="14">
        <v>46099</v>
      </c>
      <c r="BR644" s="14">
        <v>46106</v>
      </c>
    </row>
    <row r="645" spans="1:70" ht="18" customHeight="1" x14ac:dyDescent="0.3">
      <c r="A645" s="2">
        <v>645</v>
      </c>
      <c r="B645" s="8" t="s">
        <v>4106</v>
      </c>
      <c r="C645" s="75" t="s">
        <v>4107</v>
      </c>
      <c r="D645" s="8" t="s">
        <v>4108</v>
      </c>
      <c r="E645" s="2" t="s">
        <v>840</v>
      </c>
      <c r="F645" s="8" t="s">
        <v>4109</v>
      </c>
      <c r="G645" s="8" t="s">
        <v>4110</v>
      </c>
      <c r="H645" s="8" t="s">
        <v>4111</v>
      </c>
      <c r="I645" s="83">
        <v>53652</v>
      </c>
      <c r="J645" s="2" t="s">
        <v>1631</v>
      </c>
      <c r="K645" s="2" t="s">
        <v>126</v>
      </c>
      <c r="L645" s="2" t="s">
        <v>854</v>
      </c>
      <c r="M645" s="134">
        <v>46095</v>
      </c>
      <c r="N645" s="56" t="s">
        <v>4488</v>
      </c>
      <c r="Q645" s="67">
        <f>AQ645-AB645</f>
        <v>3</v>
      </c>
      <c r="R645" s="29">
        <f t="shared" si="74"/>
        <v>11</v>
      </c>
      <c r="S645" s="15">
        <f>AF645*45*R645</f>
        <v>3465</v>
      </c>
      <c r="T645" s="1">
        <v>1509</v>
      </c>
      <c r="U645" s="8" t="s">
        <v>4112</v>
      </c>
      <c r="V645" s="1" t="s">
        <v>626</v>
      </c>
      <c r="W645" s="1" t="s">
        <v>627</v>
      </c>
      <c r="X645" s="2">
        <v>20265026854</v>
      </c>
      <c r="Y645" s="14">
        <v>46090</v>
      </c>
      <c r="Z645" s="14">
        <v>46097</v>
      </c>
      <c r="AA645" s="14">
        <v>46083</v>
      </c>
      <c r="AB645" s="14">
        <v>46098</v>
      </c>
      <c r="AC645" s="14">
        <v>46101</v>
      </c>
      <c r="AD645" s="2" t="s">
        <v>4186</v>
      </c>
      <c r="AE645" s="2" t="s">
        <v>4113</v>
      </c>
      <c r="AF645" s="2">
        <v>7</v>
      </c>
      <c r="AG645" s="2">
        <v>11.67</v>
      </c>
      <c r="AH645" s="2"/>
      <c r="AI645" s="2" t="s">
        <v>180</v>
      </c>
      <c r="AJ645" s="2"/>
      <c r="AK645" s="14">
        <v>46093</v>
      </c>
      <c r="AL645" s="14">
        <v>46094</v>
      </c>
      <c r="AM645" s="14">
        <v>46094</v>
      </c>
      <c r="AN645" s="2"/>
      <c r="AO645" s="2">
        <v>8130438</v>
      </c>
      <c r="AP645" s="14">
        <v>46098</v>
      </c>
      <c r="AQ645" s="14">
        <v>46101</v>
      </c>
      <c r="AS645" s="2"/>
      <c r="AT645" s="44">
        <v>53766</v>
      </c>
      <c r="AV645" s="14">
        <v>46099</v>
      </c>
      <c r="AW645" s="14">
        <v>46099</v>
      </c>
      <c r="AY645" s="2">
        <v>8294437</v>
      </c>
      <c r="AZ645" s="5">
        <v>46107</v>
      </c>
      <c r="BA645" s="1">
        <v>20402203</v>
      </c>
      <c r="BB645" s="2">
        <v>3672397</v>
      </c>
      <c r="BC645" s="5">
        <v>46107</v>
      </c>
      <c r="BD645" s="14">
        <v>46108</v>
      </c>
      <c r="BF645" s="5">
        <v>46111</v>
      </c>
      <c r="BG645" s="5">
        <v>46112</v>
      </c>
      <c r="BH645" s="1" t="s">
        <v>4033</v>
      </c>
      <c r="BI645" s="1" t="s">
        <v>4033</v>
      </c>
      <c r="BQ645" s="14">
        <v>46099</v>
      </c>
      <c r="BR645" s="14">
        <v>46106</v>
      </c>
    </row>
    <row r="646" spans="1:70" ht="18" customHeight="1" x14ac:dyDescent="0.3">
      <c r="A646" s="2">
        <v>646</v>
      </c>
      <c r="B646" s="8" t="s">
        <v>4114</v>
      </c>
      <c r="C646" s="75" t="s">
        <v>4107</v>
      </c>
      <c r="D646" s="8" t="s">
        <v>4115</v>
      </c>
      <c r="E646" s="2" t="s">
        <v>840</v>
      </c>
      <c r="F646" s="8" t="s">
        <v>4116</v>
      </c>
      <c r="G646" s="8" t="s">
        <v>4117</v>
      </c>
      <c r="H646" s="8" t="s">
        <v>4118</v>
      </c>
      <c r="I646" s="83">
        <v>53653</v>
      </c>
      <c r="J646" s="2" t="s">
        <v>1631</v>
      </c>
      <c r="K646" s="2" t="s">
        <v>126</v>
      </c>
      <c r="L646" s="2" t="s">
        <v>854</v>
      </c>
      <c r="M646" s="134">
        <v>46095</v>
      </c>
      <c r="N646" s="56" t="s">
        <v>4489</v>
      </c>
      <c r="Q646" s="67">
        <f>AQ646-AB646</f>
        <v>3</v>
      </c>
      <c r="R646" s="29">
        <f t="shared" si="74"/>
        <v>11</v>
      </c>
      <c r="S646" s="15">
        <f>AF646*45*R646</f>
        <v>1485</v>
      </c>
      <c r="T646" s="1">
        <v>478</v>
      </c>
      <c r="U646" s="8" t="s">
        <v>3870</v>
      </c>
      <c r="V646" s="2" t="s">
        <v>2970</v>
      </c>
      <c r="W646" s="2" t="s">
        <v>2971</v>
      </c>
      <c r="X646" s="2">
        <v>20265026842</v>
      </c>
      <c r="Y646" s="14">
        <v>46090</v>
      </c>
      <c r="Z646" s="14">
        <v>46097</v>
      </c>
      <c r="AA646" s="14">
        <v>46083</v>
      </c>
      <c r="AB646" s="14">
        <v>46098</v>
      </c>
      <c r="AC646" s="14">
        <v>46101</v>
      </c>
      <c r="AD646" s="2" t="s">
        <v>4186</v>
      </c>
      <c r="AE646" s="2" t="s">
        <v>4119</v>
      </c>
      <c r="AF646" s="2">
        <v>3</v>
      </c>
      <c r="AG646" s="2">
        <v>4.24</v>
      </c>
      <c r="AH646" s="2"/>
      <c r="AI646" s="2" t="s">
        <v>180</v>
      </c>
      <c r="AJ646" s="2"/>
      <c r="AK646" s="14">
        <v>46093</v>
      </c>
      <c r="AL646" s="14">
        <v>46094</v>
      </c>
      <c r="AM646" s="14">
        <v>46094</v>
      </c>
      <c r="AN646" s="2"/>
      <c r="AO646" s="2">
        <v>8130599</v>
      </c>
      <c r="AP646" s="14">
        <v>46098</v>
      </c>
      <c r="AQ646" s="14">
        <v>46101</v>
      </c>
      <c r="AS646" s="2"/>
      <c r="AT646" s="44">
        <v>53768</v>
      </c>
      <c r="AV646" s="14">
        <v>46099</v>
      </c>
      <c r="AW646" s="14">
        <v>46100</v>
      </c>
      <c r="AY646" s="2">
        <v>8228621</v>
      </c>
      <c r="AZ646" s="5">
        <v>46104</v>
      </c>
      <c r="BA646" s="1">
        <v>6459989</v>
      </c>
      <c r="BB646" s="2">
        <v>1162798</v>
      </c>
      <c r="BC646" s="5">
        <v>46104</v>
      </c>
      <c r="BD646" s="14">
        <v>46105</v>
      </c>
      <c r="BF646" s="5">
        <v>46106</v>
      </c>
      <c r="BG646" s="5">
        <v>46112</v>
      </c>
      <c r="BH646" s="1" t="s">
        <v>4033</v>
      </c>
      <c r="BI646" s="1" t="s">
        <v>4033</v>
      </c>
      <c r="BQ646" s="14">
        <v>46100</v>
      </c>
      <c r="BR646" s="5">
        <v>46101</v>
      </c>
    </row>
    <row r="647" spans="1:70" ht="18" customHeight="1" x14ac:dyDescent="0.3">
      <c r="A647" s="2">
        <v>647</v>
      </c>
      <c r="B647" s="7">
        <v>7103403</v>
      </c>
      <c r="C647" s="111">
        <v>46086</v>
      </c>
      <c r="D647" s="2">
        <v>139620</v>
      </c>
      <c r="E647" s="2" t="s">
        <v>840</v>
      </c>
      <c r="F647" s="8" t="s">
        <v>760</v>
      </c>
      <c r="G647" s="8" t="s">
        <v>2000</v>
      </c>
      <c r="H647" s="8" t="s">
        <v>582</v>
      </c>
      <c r="I647" s="83">
        <v>53752</v>
      </c>
      <c r="J647" s="2" t="s">
        <v>1631</v>
      </c>
      <c r="K647" s="2" t="s">
        <v>126</v>
      </c>
      <c r="L647" s="2" t="s">
        <v>854</v>
      </c>
      <c r="M647" s="134">
        <v>46102</v>
      </c>
      <c r="N647" s="56" t="s">
        <v>4490</v>
      </c>
      <c r="Q647" s="67">
        <f>AQ647-AB647</f>
        <v>2</v>
      </c>
      <c r="R647" s="29">
        <f t="shared" si="74"/>
        <v>7</v>
      </c>
      <c r="S647" s="15">
        <f>AF647*45*R647</f>
        <v>1260</v>
      </c>
      <c r="T647" s="1"/>
      <c r="U647" s="1" t="s">
        <v>4191</v>
      </c>
      <c r="V647" s="2" t="s">
        <v>2970</v>
      </c>
      <c r="W647" s="2" t="s">
        <v>2971</v>
      </c>
      <c r="X647" s="2">
        <v>20265030279</v>
      </c>
      <c r="Y647" s="14">
        <v>46097</v>
      </c>
      <c r="Z647" s="14">
        <v>46101</v>
      </c>
      <c r="AA647" s="14">
        <v>46091</v>
      </c>
      <c r="AB647" s="14">
        <v>46103</v>
      </c>
      <c r="AC647" s="14">
        <v>46105</v>
      </c>
      <c r="AD647" s="2" t="s">
        <v>4192</v>
      </c>
      <c r="AE647" s="2" t="s">
        <v>4193</v>
      </c>
      <c r="AF647" s="2">
        <v>4</v>
      </c>
      <c r="AG647" s="2">
        <v>7.12</v>
      </c>
      <c r="AH647" s="2"/>
      <c r="AI647" s="2" t="s">
        <v>180</v>
      </c>
      <c r="AJ647" s="2"/>
      <c r="AK647" s="14">
        <v>46098</v>
      </c>
      <c r="AL647" s="14">
        <v>46099</v>
      </c>
      <c r="AM647" s="14">
        <v>46099</v>
      </c>
      <c r="AN647" s="2"/>
      <c r="AO647" s="2">
        <v>8240982</v>
      </c>
      <c r="AP647" s="14">
        <v>46104</v>
      </c>
      <c r="AQ647" s="14">
        <v>46105</v>
      </c>
      <c r="AS647" s="2"/>
      <c r="AT647" s="44">
        <v>53848</v>
      </c>
      <c r="AV647" s="14">
        <v>46105</v>
      </c>
      <c r="AW647" s="14">
        <v>46106</v>
      </c>
      <c r="AY647" s="2">
        <v>8295857</v>
      </c>
      <c r="AZ647" s="5">
        <v>46107</v>
      </c>
      <c r="BA647" s="1">
        <v>13159185</v>
      </c>
      <c r="BB647" s="2">
        <v>2368653</v>
      </c>
      <c r="BC647" s="5">
        <v>46107</v>
      </c>
      <c r="BD647" s="14">
        <v>46108</v>
      </c>
      <c r="BF647" s="5">
        <v>46111</v>
      </c>
      <c r="BG647" s="5">
        <v>46112</v>
      </c>
      <c r="BH647" s="1" t="s">
        <v>4033</v>
      </c>
      <c r="BI647" s="1" t="s">
        <v>4033</v>
      </c>
      <c r="BQ647" s="14">
        <v>46106</v>
      </c>
      <c r="BR647" s="1"/>
    </row>
    <row r="648" spans="1:70" ht="18" customHeight="1" x14ac:dyDescent="0.3">
      <c r="A648" s="2">
        <v>648</v>
      </c>
      <c r="B648" s="7" t="s">
        <v>4234</v>
      </c>
      <c r="C648" s="111" t="s">
        <v>4235</v>
      </c>
      <c r="D648" s="2" t="s">
        <v>4236</v>
      </c>
      <c r="E648" s="2" t="s">
        <v>840</v>
      </c>
      <c r="F648" s="2" t="s">
        <v>4237</v>
      </c>
      <c r="G648" s="2" t="s">
        <v>4238</v>
      </c>
      <c r="H648" s="2">
        <v>1</v>
      </c>
      <c r="I648" s="83">
        <v>53779</v>
      </c>
      <c r="J648" s="2" t="s">
        <v>142</v>
      </c>
      <c r="K648" s="2" t="s">
        <v>126</v>
      </c>
      <c r="L648" s="2" t="s">
        <v>854</v>
      </c>
      <c r="M648" s="134">
        <v>46098</v>
      </c>
      <c r="N648" s="56" t="s">
        <v>4491</v>
      </c>
      <c r="Q648" s="67">
        <f>AQ648-AB648</f>
        <v>8</v>
      </c>
      <c r="R648" s="29">
        <f t="shared" si="74"/>
        <v>6</v>
      </c>
      <c r="S648" s="15">
        <f>AF648*45*R648</f>
        <v>270</v>
      </c>
      <c r="T648" s="1">
        <v>17618</v>
      </c>
      <c r="U648" s="1" t="s">
        <v>4239</v>
      </c>
      <c r="V648" s="2" t="s">
        <v>2970</v>
      </c>
      <c r="W648" s="2" t="s">
        <v>2971</v>
      </c>
      <c r="X648" s="2">
        <v>20265031572</v>
      </c>
      <c r="Y648" s="14">
        <v>46098</v>
      </c>
      <c r="Z648" s="14">
        <v>46104</v>
      </c>
      <c r="AA648" s="14">
        <v>46098</v>
      </c>
      <c r="AB648" s="14">
        <v>46098</v>
      </c>
      <c r="AC648" s="14">
        <v>46106</v>
      </c>
      <c r="AD648" s="2" t="s">
        <v>4240</v>
      </c>
      <c r="AE648" s="2" t="s">
        <v>4241</v>
      </c>
      <c r="AF648" s="2">
        <v>1</v>
      </c>
      <c r="AG648" s="2">
        <v>9</v>
      </c>
      <c r="AH648" s="2"/>
      <c r="AI648" s="2" t="s">
        <v>180</v>
      </c>
      <c r="AJ648" s="2"/>
      <c r="AK648" s="14">
        <v>46099</v>
      </c>
      <c r="AL648" s="14">
        <v>46101</v>
      </c>
      <c r="AM648" s="14">
        <v>46101</v>
      </c>
      <c r="AN648" s="2"/>
      <c r="AO648" s="2">
        <v>8186626</v>
      </c>
      <c r="AP648" s="14">
        <v>46101</v>
      </c>
      <c r="AQ648" s="14">
        <v>46106</v>
      </c>
      <c r="AS648" s="2"/>
      <c r="AT648" s="44">
        <v>53826</v>
      </c>
      <c r="AV648" s="14">
        <v>46105</v>
      </c>
      <c r="AW648" s="14">
        <v>46105</v>
      </c>
      <c r="AY648" s="2">
        <v>8294427</v>
      </c>
      <c r="AZ648" s="5">
        <v>46107</v>
      </c>
      <c r="BA648" s="1">
        <v>97879</v>
      </c>
      <c r="BB648" s="2">
        <v>17618</v>
      </c>
      <c r="BC648" s="5">
        <v>46107</v>
      </c>
      <c r="BD648" s="14">
        <v>46108</v>
      </c>
      <c r="BF648" s="5">
        <v>46108</v>
      </c>
      <c r="BG648" s="5">
        <v>46112</v>
      </c>
      <c r="BH648" s="1" t="s">
        <v>4033</v>
      </c>
      <c r="BI648" s="1" t="s">
        <v>4033</v>
      </c>
      <c r="BQ648" s="14">
        <v>46105</v>
      </c>
      <c r="BR648" s="14">
        <v>46106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4"/>
  <sheetViews>
    <sheetView topLeftCell="L1" zoomScaleNormal="100" workbookViewId="0">
      <selection activeCell="I4" sqref="I4"/>
    </sheetView>
  </sheetViews>
  <sheetFormatPr defaultColWidth="9.109375" defaultRowHeight="14.4" x14ac:dyDescent="0.3"/>
  <cols>
    <col min="1" max="1" width="9.33203125" style="2" bestFit="1" customWidth="1"/>
    <col min="2" max="2" width="14.44140625" style="2" bestFit="1" customWidth="1"/>
    <col min="3" max="3" width="17.6640625" style="1" bestFit="1" customWidth="1"/>
    <col min="4" max="4" width="12.5546875" style="1" bestFit="1" customWidth="1"/>
    <col min="5" max="5" width="10.88671875" style="2" bestFit="1" customWidth="1"/>
    <col min="6" max="6" width="19.109375" style="2" bestFit="1" customWidth="1"/>
    <col min="7" max="7" width="9.109375" style="2"/>
    <col min="8" max="8" width="15" style="2" bestFit="1" customWidth="1"/>
    <col min="9" max="9" width="114.33203125" style="1" bestFit="1" customWidth="1"/>
    <col min="10" max="10" width="9.109375" style="1"/>
    <col min="11" max="11" width="52.88671875" style="1" bestFit="1" customWidth="1"/>
    <col min="12" max="12" width="17.5546875" style="1" bestFit="1" customWidth="1"/>
    <col min="13" max="13" width="21.109375" style="1" bestFit="1" customWidth="1"/>
    <col min="14" max="14" width="9.109375" style="1"/>
    <col min="15" max="15" width="21.6640625" style="1" bestFit="1" customWidth="1"/>
    <col min="16" max="16" width="14.88671875" style="1" bestFit="1" customWidth="1"/>
    <col min="17" max="17" width="12.6640625" style="1" bestFit="1" customWidth="1"/>
    <col min="18" max="18" width="11" style="1" bestFit="1" customWidth="1"/>
    <col min="19" max="19" width="11.88671875" style="1" bestFit="1" customWidth="1"/>
    <col min="20" max="20" width="12.6640625" style="1" bestFit="1" customWidth="1"/>
    <col min="21" max="22" width="9.33203125" style="1" bestFit="1" customWidth="1"/>
    <col min="23" max="23" width="14.5546875" style="1" bestFit="1" customWidth="1"/>
    <col min="24" max="24" width="14.5546875" style="2" bestFit="1" customWidth="1"/>
    <col min="25" max="25" width="18.88671875" style="1" bestFit="1" customWidth="1"/>
    <col min="26" max="26" width="9.109375" style="1"/>
    <col min="27" max="27" width="11.33203125" style="2" bestFit="1" customWidth="1"/>
    <col min="28" max="28" width="14.5546875" style="1" bestFit="1" customWidth="1"/>
    <col min="29" max="29" width="14.5546875" style="2" bestFit="1" customWidth="1"/>
    <col min="30" max="30" width="13.88671875" style="2" customWidth="1"/>
    <col min="31" max="31" width="11.33203125" style="2" bestFit="1" customWidth="1"/>
    <col min="32" max="34" width="14.5546875" style="1" bestFit="1" customWidth="1"/>
    <col min="35" max="35" width="18.44140625" style="2" bestFit="1" customWidth="1"/>
    <col min="36" max="36" width="27.88671875" style="2" bestFit="1" customWidth="1"/>
    <col min="37" max="37" width="11" style="1" bestFit="1" customWidth="1"/>
    <col min="38" max="38" width="13.109375" style="1" bestFit="1" customWidth="1"/>
    <col min="39" max="39" width="9.88671875" style="1" bestFit="1" customWidth="1"/>
    <col min="40" max="40" width="18.6640625" style="1" bestFit="1" customWidth="1"/>
    <col min="41" max="41" width="9.109375" style="1"/>
    <col min="42" max="42" width="7.6640625" style="1" bestFit="1" customWidth="1"/>
    <col min="43" max="43" width="13.109375" style="1" bestFit="1" customWidth="1"/>
    <col min="44" max="44" width="24.88671875" style="1" bestFit="1" customWidth="1"/>
    <col min="45" max="45" width="40.44140625" style="1" bestFit="1" customWidth="1"/>
    <col min="46" max="46" width="12" style="1" bestFit="1" customWidth="1"/>
    <col min="47" max="47" width="24.33203125" style="1" bestFit="1" customWidth="1"/>
    <col min="48" max="16384" width="9.109375" style="1"/>
  </cols>
  <sheetData>
    <row r="1" spans="1:85" ht="28.5" customHeight="1" x14ac:dyDescent="0.3">
      <c r="A1" s="170" t="s">
        <v>64</v>
      </c>
      <c r="B1" s="170" t="s">
        <v>75</v>
      </c>
      <c r="C1" s="170" t="s">
        <v>76</v>
      </c>
      <c r="D1" s="171" t="s">
        <v>77</v>
      </c>
      <c r="E1" s="172" t="s">
        <v>78</v>
      </c>
      <c r="F1" s="172" t="s">
        <v>11</v>
      </c>
      <c r="G1" s="170" t="s">
        <v>9</v>
      </c>
      <c r="H1" s="170" t="s">
        <v>79</v>
      </c>
      <c r="I1" s="173" t="s">
        <v>80</v>
      </c>
      <c r="J1" s="173" t="s">
        <v>81</v>
      </c>
      <c r="K1" s="173" t="s">
        <v>82</v>
      </c>
      <c r="L1" s="174" t="s">
        <v>83</v>
      </c>
      <c r="M1" s="175" t="s">
        <v>84</v>
      </c>
      <c r="N1" s="176" t="s">
        <v>85</v>
      </c>
      <c r="O1" s="174" t="s">
        <v>86</v>
      </c>
      <c r="P1" s="174" t="s">
        <v>87</v>
      </c>
      <c r="Q1" s="173" t="s">
        <v>88</v>
      </c>
      <c r="R1" s="174" t="s">
        <v>89</v>
      </c>
      <c r="S1" s="174" t="s">
        <v>90</v>
      </c>
      <c r="T1" s="174" t="s">
        <v>91</v>
      </c>
      <c r="U1" s="174" t="s">
        <v>31</v>
      </c>
      <c r="V1" s="177" t="s">
        <v>68</v>
      </c>
      <c r="W1" s="173" t="s">
        <v>92</v>
      </c>
      <c r="X1" s="170" t="s">
        <v>93</v>
      </c>
      <c r="Y1" s="173" t="s">
        <v>94</v>
      </c>
      <c r="Z1" s="178" t="s">
        <v>95</v>
      </c>
      <c r="AA1" s="173" t="s">
        <v>40</v>
      </c>
      <c r="AB1" s="173" t="s">
        <v>41</v>
      </c>
      <c r="AC1" s="173" t="s">
        <v>25</v>
      </c>
      <c r="AD1" s="173" t="s">
        <v>96</v>
      </c>
      <c r="AE1" s="173" t="s">
        <v>97</v>
      </c>
      <c r="AF1" s="173" t="s">
        <v>98</v>
      </c>
      <c r="AG1" s="173" t="s">
        <v>99</v>
      </c>
      <c r="AH1" s="173" t="s">
        <v>100</v>
      </c>
      <c r="AI1" s="170" t="s">
        <v>101</v>
      </c>
      <c r="AJ1" s="154" t="s">
        <v>54</v>
      </c>
      <c r="AK1" s="179" t="s">
        <v>70</v>
      </c>
      <c r="AL1" s="179" t="s">
        <v>55</v>
      </c>
      <c r="AM1" s="179" t="s">
        <v>56</v>
      </c>
      <c r="AN1" s="173" t="s">
        <v>102</v>
      </c>
      <c r="AO1" s="175" t="s">
        <v>84</v>
      </c>
      <c r="AP1" s="176" t="s">
        <v>85</v>
      </c>
      <c r="AQ1" s="174" t="s">
        <v>103</v>
      </c>
      <c r="AR1" s="174" t="s">
        <v>104</v>
      </c>
      <c r="AS1" s="174" t="s">
        <v>58</v>
      </c>
      <c r="AT1" s="174" t="s">
        <v>105</v>
      </c>
      <c r="AU1" s="179" t="s">
        <v>106</v>
      </c>
      <c r="AV1" s="179" t="s">
        <v>107</v>
      </c>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row>
    <row r="2" spans="1:85" ht="28.8" x14ac:dyDescent="0.3">
      <c r="A2" s="2">
        <v>1</v>
      </c>
      <c r="B2" s="2">
        <v>53901</v>
      </c>
      <c r="C2" s="8" t="s">
        <v>4341</v>
      </c>
      <c r="D2" s="8" t="s">
        <v>4342</v>
      </c>
      <c r="E2" s="7" t="s">
        <v>4343</v>
      </c>
      <c r="F2" s="2" t="s">
        <v>3224</v>
      </c>
      <c r="G2" s="2" t="s">
        <v>4229</v>
      </c>
      <c r="H2" s="2" t="s">
        <v>683</v>
      </c>
      <c r="I2" s="1" t="s">
        <v>4432</v>
      </c>
      <c r="K2" s="8" t="s">
        <v>4344</v>
      </c>
      <c r="O2" s="2" t="s">
        <v>382</v>
      </c>
      <c r="P2" s="2" t="s">
        <v>199</v>
      </c>
      <c r="Q2" s="1">
        <v>15700881790</v>
      </c>
      <c r="T2" s="1" t="s">
        <v>4327</v>
      </c>
      <c r="U2" s="1">
        <v>2</v>
      </c>
      <c r="W2" s="14">
        <v>46108</v>
      </c>
      <c r="X2" s="14">
        <v>46108</v>
      </c>
      <c r="Y2" s="5">
        <v>46109</v>
      </c>
      <c r="AA2" s="184">
        <v>8386099</v>
      </c>
      <c r="AB2" s="1" t="s">
        <v>4431</v>
      </c>
      <c r="AC2" s="14">
        <v>46113</v>
      </c>
      <c r="AD2" s="2">
        <v>3890263</v>
      </c>
      <c r="AE2" s="2">
        <v>1710160</v>
      </c>
      <c r="AF2" s="5">
        <v>46112</v>
      </c>
      <c r="AG2" s="5">
        <v>46112</v>
      </c>
    </row>
    <row r="3" spans="1:85" x14ac:dyDescent="0.3">
      <c r="A3" s="2">
        <v>2</v>
      </c>
      <c r="B3" s="2">
        <v>53906</v>
      </c>
      <c r="C3" s="1" t="s">
        <v>4348</v>
      </c>
      <c r="D3" s="3">
        <v>46106</v>
      </c>
      <c r="E3" s="2">
        <v>33992</v>
      </c>
      <c r="F3" s="2" t="s">
        <v>3224</v>
      </c>
      <c r="G3" s="2" t="s">
        <v>4229</v>
      </c>
      <c r="H3" s="2" t="s">
        <v>683</v>
      </c>
      <c r="I3" s="1" t="s">
        <v>4480</v>
      </c>
      <c r="K3" s="1" t="s">
        <v>4188</v>
      </c>
      <c r="M3" s="1">
        <v>579</v>
      </c>
      <c r="O3" s="2" t="s">
        <v>382</v>
      </c>
      <c r="P3" s="2" t="s">
        <v>199</v>
      </c>
      <c r="Q3" s="1">
        <v>21708129866</v>
      </c>
      <c r="T3" s="1" t="s">
        <v>483</v>
      </c>
      <c r="U3" s="1">
        <v>2</v>
      </c>
      <c r="W3" s="5">
        <v>46109</v>
      </c>
      <c r="X3" s="5">
        <v>46109</v>
      </c>
      <c r="Y3" s="5">
        <v>46111</v>
      </c>
      <c r="AA3" s="2">
        <v>8385754</v>
      </c>
      <c r="AB3" s="1" t="s">
        <v>4431</v>
      </c>
      <c r="AC3" s="14">
        <v>46111</v>
      </c>
      <c r="AD3" s="2">
        <v>3203746</v>
      </c>
      <c r="AE3" s="2">
        <v>1408367</v>
      </c>
      <c r="AF3" s="5">
        <v>46111</v>
      </c>
      <c r="AG3" s="5">
        <v>46112</v>
      </c>
      <c r="AH3" s="5">
        <v>46113</v>
      </c>
    </row>
    <row r="4" spans="1:85" x14ac:dyDescent="0.3">
      <c r="A4" s="2">
        <v>3</v>
      </c>
      <c r="B4" s="2">
        <v>53950</v>
      </c>
      <c r="C4" s="1" t="s">
        <v>4430</v>
      </c>
      <c r="D4" s="3">
        <v>46106</v>
      </c>
      <c r="E4" s="2">
        <v>26708</v>
      </c>
      <c r="F4" s="2" t="s">
        <v>3224</v>
      </c>
      <c r="G4" s="2" t="s">
        <v>4229</v>
      </c>
      <c r="H4" s="2" t="s">
        <v>683</v>
      </c>
      <c r="I4" s="1" t="s">
        <v>4479</v>
      </c>
      <c r="K4" s="1" t="s">
        <v>4188</v>
      </c>
      <c r="O4" s="2" t="s">
        <v>382</v>
      </c>
      <c r="P4" s="2" t="s">
        <v>199</v>
      </c>
      <c r="Q4" s="1">
        <v>21708909202</v>
      </c>
      <c r="T4" s="1" t="s">
        <v>483</v>
      </c>
      <c r="U4" s="1">
        <v>2</v>
      </c>
      <c r="W4" s="5">
        <v>46111</v>
      </c>
      <c r="X4" s="5">
        <v>46111</v>
      </c>
      <c r="Y4" s="5">
        <v>46111</v>
      </c>
      <c r="AA4" s="2">
        <v>8400833</v>
      </c>
      <c r="AB4" s="5">
        <v>46112</v>
      </c>
      <c r="AC4" s="14">
        <v>46112</v>
      </c>
      <c r="AD4" s="2">
        <v>2517229</v>
      </c>
      <c r="AE4" s="2">
        <v>1106574</v>
      </c>
      <c r="AF4" s="5">
        <v>46112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36"/>
  <sheetViews>
    <sheetView topLeftCell="H1" workbookViewId="0">
      <pane ySplit="1" topLeftCell="A129" activePane="bottomLeft" state="frozen"/>
      <selection pane="bottomLeft" activeCell="AS130" sqref="AS130"/>
    </sheetView>
  </sheetViews>
  <sheetFormatPr defaultColWidth="9.109375" defaultRowHeight="14.4" x14ac:dyDescent="0.3"/>
  <cols>
    <col min="1" max="1" width="9.109375" style="1"/>
    <col min="2" max="2" width="14.5546875" style="2" bestFit="1" customWidth="1"/>
    <col min="3" max="3" width="19.88671875" style="1" customWidth="1"/>
    <col min="4" max="4" width="12" style="15" bestFit="1" customWidth="1"/>
    <col min="5" max="5" width="12.6640625" style="1" customWidth="1"/>
    <col min="6" max="6" width="19.109375" style="1" bestFit="1" customWidth="1"/>
    <col min="7" max="7" width="9.109375" style="1"/>
    <col min="8" max="8" width="15.88671875" style="1" bestFit="1" customWidth="1"/>
    <col min="9" max="9" width="93.33203125" style="15" bestFit="1" customWidth="1"/>
    <col min="10" max="10" width="7.88671875" style="15" customWidth="1"/>
    <col min="11" max="11" width="52.88671875" style="15" bestFit="1" customWidth="1"/>
    <col min="12" max="12" width="17.5546875" style="1" bestFit="1" customWidth="1"/>
    <col min="13" max="14" width="9.109375" style="15"/>
    <col min="15" max="15" width="20" style="1" bestFit="1" customWidth="1"/>
    <col min="16" max="16" width="15.33203125" style="1" bestFit="1" customWidth="1"/>
    <col min="17" max="17" width="13.33203125" style="2" bestFit="1" customWidth="1"/>
    <col min="18" max="18" width="10.6640625" style="15" bestFit="1" customWidth="1"/>
    <col min="19" max="19" width="11.88671875" style="15" bestFit="1" customWidth="1"/>
    <col min="20" max="20" width="13.88671875" style="15" bestFit="1" customWidth="1"/>
    <col min="21" max="21" width="9.109375" style="15"/>
    <col min="22" max="22" width="9.109375" style="2"/>
    <col min="23" max="23" width="22.109375" style="2" bestFit="1" customWidth="1"/>
    <col min="24" max="24" width="13.33203125" style="15" bestFit="1" customWidth="1"/>
    <col min="25" max="25" width="19.109375" style="15" bestFit="1" customWidth="1"/>
    <col min="26" max="27" width="9.109375" style="15"/>
    <col min="28" max="29" width="10.44140625" style="15" bestFit="1" customWidth="1"/>
    <col min="30" max="30" width="11" style="15" bestFit="1" customWidth="1"/>
    <col min="31" max="31" width="10" style="15" bestFit="1" customWidth="1"/>
    <col min="32" max="32" width="11.88671875" style="15" bestFit="1" customWidth="1"/>
    <col min="33" max="33" width="13.88671875" style="15" bestFit="1" customWidth="1"/>
    <col min="34" max="34" width="10.44140625" style="9" bestFit="1" customWidth="1"/>
    <col min="35" max="35" width="18.88671875" style="2" bestFit="1" customWidth="1"/>
    <col min="36" max="36" width="14" style="2" bestFit="1" customWidth="1"/>
    <col min="37" max="37" width="30" style="2" bestFit="1" customWidth="1"/>
    <col min="38" max="44" width="9.109375" style="15"/>
    <col min="45" max="45" width="61.6640625" style="15" customWidth="1"/>
    <col min="46" max="46" width="12.88671875" style="15" bestFit="1" customWidth="1"/>
    <col min="47" max="47" width="25.5546875" style="15" bestFit="1" customWidth="1"/>
    <col min="48" max="48" width="26.109375" style="15" bestFit="1" customWidth="1"/>
    <col min="49" max="49" width="12.44140625" style="15" bestFit="1" customWidth="1"/>
    <col min="50" max="16384" width="9.109375" style="15"/>
  </cols>
  <sheetData>
    <row r="1" spans="1:85" ht="28.8" x14ac:dyDescent="0.3">
      <c r="A1" s="40" t="s">
        <v>0</v>
      </c>
      <c r="B1" s="89" t="s">
        <v>283</v>
      </c>
      <c r="C1" s="40" t="s">
        <v>76</v>
      </c>
      <c r="D1" s="37" t="s">
        <v>77</v>
      </c>
      <c r="E1" s="40" t="s">
        <v>78</v>
      </c>
      <c r="F1" s="40" t="s">
        <v>108</v>
      </c>
      <c r="G1" s="40" t="s">
        <v>109</v>
      </c>
      <c r="H1" s="40" t="s">
        <v>110</v>
      </c>
      <c r="I1" s="39" t="s">
        <v>80</v>
      </c>
      <c r="J1" s="37" t="s">
        <v>81</v>
      </c>
      <c r="K1" s="37" t="s">
        <v>82</v>
      </c>
      <c r="L1" s="55" t="s">
        <v>83</v>
      </c>
      <c r="M1" s="35" t="s">
        <v>84</v>
      </c>
      <c r="N1" s="36" t="s">
        <v>85</v>
      </c>
      <c r="O1" s="40" t="s">
        <v>111</v>
      </c>
      <c r="P1" s="40" t="s">
        <v>87</v>
      </c>
      <c r="Q1" s="51" t="s">
        <v>88</v>
      </c>
      <c r="R1" s="37" t="s">
        <v>89</v>
      </c>
      <c r="S1" s="37" t="s">
        <v>90</v>
      </c>
      <c r="T1" s="37" t="s">
        <v>112</v>
      </c>
      <c r="U1" s="37" t="s">
        <v>113</v>
      </c>
      <c r="V1" s="51" t="s">
        <v>114</v>
      </c>
      <c r="W1" s="51" t="s">
        <v>92</v>
      </c>
      <c r="X1" s="37" t="s">
        <v>93</v>
      </c>
      <c r="Y1" s="37" t="s">
        <v>115</v>
      </c>
      <c r="Z1" s="37" t="s">
        <v>95</v>
      </c>
      <c r="AA1" s="40" t="s">
        <v>40</v>
      </c>
      <c r="AB1" s="40" t="s">
        <v>41</v>
      </c>
      <c r="AC1" s="37" t="s">
        <v>116</v>
      </c>
      <c r="AD1" s="41" t="s">
        <v>117</v>
      </c>
      <c r="AE1" s="41" t="s">
        <v>118</v>
      </c>
      <c r="AF1" s="40" t="s">
        <v>98</v>
      </c>
      <c r="AG1" s="40" t="s">
        <v>119</v>
      </c>
      <c r="AH1" s="51" t="s">
        <v>100</v>
      </c>
      <c r="AI1" s="125" t="s">
        <v>120</v>
      </c>
      <c r="AJ1" s="100" t="s">
        <v>54</v>
      </c>
      <c r="AK1" s="100" t="s">
        <v>70</v>
      </c>
      <c r="AL1" s="21" t="s">
        <v>55</v>
      </c>
      <c r="AM1" s="21" t="s">
        <v>56</v>
      </c>
      <c r="AN1" s="37" t="s">
        <v>121</v>
      </c>
      <c r="AO1" s="37" t="s">
        <v>122</v>
      </c>
      <c r="AP1" s="37" t="s">
        <v>85</v>
      </c>
      <c r="AQ1" s="42" t="s">
        <v>103</v>
      </c>
      <c r="AR1" s="37" t="s">
        <v>123</v>
      </c>
      <c r="AS1" s="37" t="s">
        <v>58</v>
      </c>
      <c r="AT1" s="21" t="s">
        <v>57</v>
      </c>
      <c r="AU1" s="20" t="s">
        <v>124</v>
      </c>
      <c r="AV1" s="185" t="s">
        <v>72</v>
      </c>
      <c r="AW1" s="38" t="s">
        <v>125</v>
      </c>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row>
    <row r="2" spans="1:85" x14ac:dyDescent="0.3">
      <c r="A2" s="1">
        <v>1</v>
      </c>
      <c r="B2" s="2">
        <v>48454</v>
      </c>
      <c r="C2" s="2">
        <v>6706074</v>
      </c>
      <c r="D2" s="18">
        <v>45603</v>
      </c>
      <c r="E2" s="2">
        <v>5000</v>
      </c>
      <c r="F2" s="2" t="s">
        <v>143</v>
      </c>
      <c r="G2" s="1" t="s">
        <v>142</v>
      </c>
      <c r="H2" s="2" t="s">
        <v>678</v>
      </c>
      <c r="I2" s="1" t="s">
        <v>370</v>
      </c>
      <c r="J2" s="1">
        <f>AH2-AC2</f>
        <v>3</v>
      </c>
      <c r="K2" s="47" t="s">
        <v>355</v>
      </c>
      <c r="L2" s="95">
        <v>805</v>
      </c>
      <c r="M2" s="90">
        <v>231</v>
      </c>
      <c r="O2" s="47" t="s">
        <v>240</v>
      </c>
      <c r="P2" s="1" t="s">
        <v>161</v>
      </c>
      <c r="Q2" s="2">
        <v>61837046214</v>
      </c>
      <c r="R2" s="1" t="s">
        <v>387</v>
      </c>
      <c r="U2" s="1">
        <v>2</v>
      </c>
      <c r="V2" s="1">
        <v>14.5</v>
      </c>
      <c r="W2" s="5">
        <v>45613</v>
      </c>
      <c r="X2" s="5">
        <v>45611</v>
      </c>
      <c r="Y2" s="5">
        <v>45614</v>
      </c>
      <c r="AA2" s="15">
        <v>6761615</v>
      </c>
      <c r="AB2" s="52">
        <v>45615</v>
      </c>
      <c r="AC2" s="32">
        <v>45615</v>
      </c>
      <c r="AD2" s="53">
        <v>426500</v>
      </c>
      <c r="AE2" s="53">
        <v>187489</v>
      </c>
      <c r="AF2" s="5">
        <v>45617</v>
      </c>
      <c r="AG2" s="5">
        <v>45618</v>
      </c>
      <c r="AH2" s="10">
        <v>45618</v>
      </c>
      <c r="AI2" s="14">
        <v>45621</v>
      </c>
      <c r="AJ2" s="2" t="s">
        <v>398</v>
      </c>
      <c r="AK2" s="101" t="s">
        <v>407</v>
      </c>
    </row>
    <row r="3" spans="1:85" x14ac:dyDescent="0.3">
      <c r="A3" s="1">
        <v>2</v>
      </c>
      <c r="B3" s="2">
        <v>48456</v>
      </c>
      <c r="C3" s="1">
        <v>6706080</v>
      </c>
      <c r="D3" s="18">
        <v>45603</v>
      </c>
      <c r="E3" s="6">
        <v>18000</v>
      </c>
      <c r="F3" s="2" t="s">
        <v>143</v>
      </c>
      <c r="G3" s="1" t="s">
        <v>142</v>
      </c>
      <c r="H3" s="2" t="s">
        <v>678</v>
      </c>
      <c r="I3" s="1" t="s">
        <v>370</v>
      </c>
      <c r="J3" s="1">
        <f t="shared" ref="J3:J66" si="0">AH3-AC3</f>
        <v>6</v>
      </c>
      <c r="K3" s="1" t="s">
        <v>356</v>
      </c>
      <c r="L3" s="91">
        <v>2495</v>
      </c>
      <c r="M3" s="48">
        <v>1664</v>
      </c>
      <c r="O3" s="1" t="s">
        <v>163</v>
      </c>
      <c r="P3" s="1" t="s">
        <v>335</v>
      </c>
      <c r="Q3" s="2">
        <v>61837046214</v>
      </c>
      <c r="R3" s="1" t="s">
        <v>388</v>
      </c>
      <c r="U3" s="1">
        <v>1</v>
      </c>
      <c r="V3" s="1">
        <v>70</v>
      </c>
      <c r="W3" s="5">
        <v>45613</v>
      </c>
      <c r="X3" s="5">
        <v>45611</v>
      </c>
      <c r="Y3" s="5">
        <v>45614</v>
      </c>
      <c r="AA3" s="15">
        <v>6761873</v>
      </c>
      <c r="AB3" s="52">
        <v>45615</v>
      </c>
      <c r="AC3" s="32">
        <v>45615</v>
      </c>
      <c r="AD3" s="53">
        <v>1535400</v>
      </c>
      <c r="AE3" s="53">
        <v>674962</v>
      </c>
      <c r="AF3" s="5">
        <v>45617</v>
      </c>
      <c r="AG3" s="5">
        <v>45621</v>
      </c>
      <c r="AH3" s="10">
        <v>45621</v>
      </c>
      <c r="AI3" s="14">
        <v>45622</v>
      </c>
      <c r="AJ3" s="2" t="s">
        <v>399</v>
      </c>
      <c r="AK3" s="2" t="s">
        <v>408</v>
      </c>
    </row>
    <row r="4" spans="1:85" x14ac:dyDescent="0.3">
      <c r="A4" s="1">
        <v>3</v>
      </c>
      <c r="B4" s="2">
        <v>48457</v>
      </c>
      <c r="C4" s="1">
        <v>6706081</v>
      </c>
      <c r="D4" s="18">
        <v>45603</v>
      </c>
      <c r="E4" s="1">
        <v>400</v>
      </c>
      <c r="F4" s="2" t="s">
        <v>143</v>
      </c>
      <c r="G4" s="1" t="s">
        <v>142</v>
      </c>
      <c r="H4" s="2" t="s">
        <v>678</v>
      </c>
      <c r="I4" s="1" t="s">
        <v>370</v>
      </c>
      <c r="J4" s="1">
        <f t="shared" si="0"/>
        <v>6</v>
      </c>
      <c r="K4" s="1" t="s">
        <v>357</v>
      </c>
      <c r="L4" s="95">
        <v>295</v>
      </c>
      <c r="M4" s="90">
        <v>37</v>
      </c>
      <c r="O4" s="1" t="s">
        <v>379</v>
      </c>
      <c r="P4" s="1" t="s">
        <v>204</v>
      </c>
      <c r="Q4" s="2">
        <v>61837046214</v>
      </c>
      <c r="R4" s="1" t="s">
        <v>389</v>
      </c>
      <c r="U4" s="1">
        <v>1</v>
      </c>
      <c r="V4" s="1">
        <v>4.5</v>
      </c>
      <c r="W4" s="5">
        <v>45613</v>
      </c>
      <c r="X4" s="5">
        <v>45611</v>
      </c>
      <c r="Y4" s="5">
        <v>45614</v>
      </c>
      <c r="AA4" s="15">
        <v>6761916</v>
      </c>
      <c r="AB4" s="52">
        <v>45615</v>
      </c>
      <c r="AC4" s="32">
        <v>45615</v>
      </c>
      <c r="AD4" s="53">
        <v>34120</v>
      </c>
      <c r="AE4" s="53">
        <v>14999</v>
      </c>
      <c r="AF4" s="5">
        <v>45617</v>
      </c>
      <c r="AG4" s="5">
        <v>45621</v>
      </c>
      <c r="AH4" s="10">
        <v>45621</v>
      </c>
      <c r="AI4" s="14">
        <v>45623</v>
      </c>
      <c r="AK4" s="2" t="s">
        <v>407</v>
      </c>
    </row>
    <row r="5" spans="1:85" x14ac:dyDescent="0.3">
      <c r="A5" s="1">
        <v>4</v>
      </c>
      <c r="B5" s="2">
        <v>48458</v>
      </c>
      <c r="C5" s="1">
        <v>6706083</v>
      </c>
      <c r="D5" s="18">
        <v>45603</v>
      </c>
      <c r="E5" s="6">
        <v>5000</v>
      </c>
      <c r="F5" s="2" t="s">
        <v>143</v>
      </c>
      <c r="G5" s="1" t="s">
        <v>142</v>
      </c>
      <c r="H5" s="2" t="s">
        <v>678</v>
      </c>
      <c r="I5" s="1" t="s">
        <v>370</v>
      </c>
      <c r="J5" s="1">
        <f t="shared" si="0"/>
        <v>3</v>
      </c>
      <c r="K5" s="1" t="s">
        <v>358</v>
      </c>
      <c r="L5" s="95">
        <v>295</v>
      </c>
      <c r="M5" s="48">
        <v>231</v>
      </c>
      <c r="O5" s="47" t="s">
        <v>240</v>
      </c>
      <c r="P5" s="2" t="s">
        <v>239</v>
      </c>
      <c r="Q5" s="2">
        <v>61837046214</v>
      </c>
      <c r="R5" s="1" t="s">
        <v>390</v>
      </c>
      <c r="U5" s="1">
        <v>2</v>
      </c>
      <c r="V5" s="1">
        <v>16.5</v>
      </c>
      <c r="W5" s="5">
        <v>45613</v>
      </c>
      <c r="X5" s="5">
        <v>45611</v>
      </c>
      <c r="Y5" s="5">
        <v>45614</v>
      </c>
      <c r="AA5" s="15">
        <v>6762045</v>
      </c>
      <c r="AB5" s="52">
        <v>45615</v>
      </c>
      <c r="AC5" s="32">
        <v>45615</v>
      </c>
      <c r="AD5" s="53">
        <v>426500</v>
      </c>
      <c r="AE5" s="53">
        <v>187489</v>
      </c>
      <c r="AF5" s="5">
        <v>45617</v>
      </c>
      <c r="AG5" s="5">
        <v>45618</v>
      </c>
      <c r="AH5" s="10">
        <v>45618</v>
      </c>
      <c r="AI5" s="14">
        <v>45621</v>
      </c>
      <c r="AJ5" s="2" t="s">
        <v>398</v>
      </c>
      <c r="AK5" s="2" t="s">
        <v>407</v>
      </c>
    </row>
    <row r="6" spans="1:85" x14ac:dyDescent="0.3">
      <c r="A6" s="1">
        <v>5</v>
      </c>
      <c r="B6" s="2">
        <v>48459</v>
      </c>
      <c r="C6" s="1">
        <v>6706087</v>
      </c>
      <c r="D6" s="18">
        <v>45603</v>
      </c>
      <c r="E6" s="6">
        <v>4000</v>
      </c>
      <c r="F6" s="2" t="s">
        <v>143</v>
      </c>
      <c r="G6" s="1" t="s">
        <v>142</v>
      </c>
      <c r="H6" s="2" t="s">
        <v>678</v>
      </c>
      <c r="I6" s="1" t="s">
        <v>370</v>
      </c>
      <c r="J6" s="1">
        <f t="shared" si="0"/>
        <v>6</v>
      </c>
      <c r="K6" s="1" t="s">
        <v>359</v>
      </c>
      <c r="L6" s="95">
        <v>805</v>
      </c>
      <c r="M6" s="90">
        <v>370</v>
      </c>
      <c r="O6" s="1" t="s">
        <v>380</v>
      </c>
      <c r="P6" s="1" t="s">
        <v>383</v>
      </c>
      <c r="Q6" s="2">
        <v>61837046214</v>
      </c>
      <c r="R6" s="1" t="s">
        <v>391</v>
      </c>
      <c r="U6" s="1">
        <v>2</v>
      </c>
      <c r="V6" s="1">
        <v>12.5</v>
      </c>
      <c r="W6" s="5">
        <v>45613</v>
      </c>
      <c r="X6" s="5">
        <v>45611</v>
      </c>
      <c r="Y6" s="5">
        <v>45614</v>
      </c>
      <c r="AA6" s="15">
        <v>6762146</v>
      </c>
      <c r="AB6" s="52">
        <v>45615</v>
      </c>
      <c r="AC6" s="32">
        <v>45615</v>
      </c>
      <c r="AD6" s="53">
        <v>341200</v>
      </c>
      <c r="AE6" s="53">
        <v>149992</v>
      </c>
      <c r="AF6" s="5">
        <v>45617</v>
      </c>
      <c r="AG6" s="5">
        <v>45621</v>
      </c>
      <c r="AH6" s="10">
        <v>45621</v>
      </c>
      <c r="AI6" s="14">
        <v>45622</v>
      </c>
      <c r="AJ6" s="2" t="s">
        <v>400</v>
      </c>
      <c r="AK6" s="2" t="s">
        <v>409</v>
      </c>
    </row>
    <row r="7" spans="1:85" x14ac:dyDescent="0.3">
      <c r="A7" s="1">
        <v>6</v>
      </c>
      <c r="B7" s="2">
        <v>48460</v>
      </c>
      <c r="C7" s="1">
        <v>6708904</v>
      </c>
      <c r="D7" s="18">
        <v>45603</v>
      </c>
      <c r="E7" s="6">
        <v>1440</v>
      </c>
      <c r="F7" s="2" t="s">
        <v>143</v>
      </c>
      <c r="G7" s="1" t="s">
        <v>142</v>
      </c>
      <c r="H7" s="2" t="s">
        <v>678</v>
      </c>
      <c r="I7" s="1" t="s">
        <v>370</v>
      </c>
      <c r="J7" s="1">
        <f t="shared" si="0"/>
        <v>6</v>
      </c>
      <c r="K7" s="1" t="s">
        <v>360</v>
      </c>
      <c r="L7" s="91">
        <v>805</v>
      </c>
      <c r="M7" s="48">
        <v>133</v>
      </c>
      <c r="O7" s="1" t="s">
        <v>380</v>
      </c>
      <c r="P7" s="1" t="s">
        <v>383</v>
      </c>
      <c r="Q7" s="2">
        <v>61837046214</v>
      </c>
      <c r="R7" s="1" t="s">
        <v>392</v>
      </c>
      <c r="U7" s="1">
        <v>1</v>
      </c>
      <c r="V7" s="1">
        <v>9.5</v>
      </c>
      <c r="W7" s="5">
        <v>45613</v>
      </c>
      <c r="X7" s="5">
        <v>45611</v>
      </c>
      <c r="Y7" s="5">
        <v>45614</v>
      </c>
      <c r="AA7" s="15">
        <v>6762164</v>
      </c>
      <c r="AB7" s="52">
        <v>45615</v>
      </c>
      <c r="AC7" s="32">
        <v>45615</v>
      </c>
      <c r="AD7" s="53">
        <v>122832</v>
      </c>
      <c r="AE7" s="53">
        <v>53997</v>
      </c>
      <c r="AF7" s="5">
        <v>45617</v>
      </c>
      <c r="AG7" s="5">
        <v>45621</v>
      </c>
      <c r="AH7" s="10">
        <v>45621</v>
      </c>
      <c r="AI7" s="14">
        <v>45622</v>
      </c>
      <c r="AJ7" s="2" t="s">
        <v>400</v>
      </c>
      <c r="AK7" s="2" t="s">
        <v>409</v>
      </c>
    </row>
    <row r="8" spans="1:85" x14ac:dyDescent="0.3">
      <c r="A8" s="1">
        <v>7</v>
      </c>
      <c r="B8" s="2">
        <v>48455</v>
      </c>
      <c r="C8" s="1">
        <v>6706077</v>
      </c>
      <c r="D8" s="14" t="s">
        <v>289</v>
      </c>
      <c r="E8" s="6">
        <v>2000</v>
      </c>
      <c r="F8" s="2" t="s">
        <v>143</v>
      </c>
      <c r="G8" s="1" t="s">
        <v>142</v>
      </c>
      <c r="H8" s="2" t="s">
        <v>678</v>
      </c>
      <c r="I8" s="1" t="s">
        <v>371</v>
      </c>
      <c r="J8" s="1">
        <f t="shared" si="0"/>
        <v>8</v>
      </c>
      <c r="K8" s="1" t="s">
        <v>361</v>
      </c>
      <c r="L8" s="91">
        <v>846</v>
      </c>
      <c r="M8" s="48">
        <v>247</v>
      </c>
      <c r="O8" s="1" t="s">
        <v>381</v>
      </c>
      <c r="P8" s="1" t="s">
        <v>384</v>
      </c>
      <c r="Q8" s="2">
        <v>61837046214</v>
      </c>
      <c r="R8" s="1" t="s">
        <v>393</v>
      </c>
      <c r="U8" s="1">
        <v>1</v>
      </c>
      <c r="V8" s="1">
        <v>8.5</v>
      </c>
      <c r="W8" s="5">
        <v>45613</v>
      </c>
      <c r="X8" s="5">
        <v>45611</v>
      </c>
      <c r="Y8" s="5">
        <v>45614</v>
      </c>
      <c r="AA8" s="1">
        <v>6761725</v>
      </c>
      <c r="AB8" s="14">
        <v>45615</v>
      </c>
      <c r="AC8" s="32">
        <v>45615</v>
      </c>
      <c r="AD8" s="1">
        <v>170600</v>
      </c>
      <c r="AE8" s="1">
        <v>74996</v>
      </c>
      <c r="AF8" s="5">
        <v>45617</v>
      </c>
      <c r="AG8" s="5">
        <v>45623</v>
      </c>
      <c r="AH8" s="10">
        <v>45623</v>
      </c>
      <c r="AI8" s="14">
        <v>45637</v>
      </c>
      <c r="AJ8" s="2" t="s">
        <v>401</v>
      </c>
      <c r="AK8" s="2" t="s">
        <v>409</v>
      </c>
    </row>
    <row r="9" spans="1:85" x14ac:dyDescent="0.3">
      <c r="A9" s="1">
        <v>8</v>
      </c>
      <c r="B9" s="2">
        <v>49191</v>
      </c>
      <c r="C9" s="2" t="s">
        <v>284</v>
      </c>
      <c r="D9" s="14" t="s">
        <v>290</v>
      </c>
      <c r="E9" s="45" t="s">
        <v>294</v>
      </c>
      <c r="F9" s="2" t="s">
        <v>143</v>
      </c>
      <c r="G9" s="1" t="s">
        <v>142</v>
      </c>
      <c r="H9" s="2" t="s">
        <v>702</v>
      </c>
      <c r="I9" s="9" t="s">
        <v>372</v>
      </c>
      <c r="J9" s="1">
        <f t="shared" si="0"/>
        <v>1</v>
      </c>
      <c r="K9" s="2" t="s">
        <v>362</v>
      </c>
      <c r="M9" s="91">
        <v>192</v>
      </c>
      <c r="O9" s="2" t="s">
        <v>163</v>
      </c>
      <c r="P9" s="1" t="s">
        <v>335</v>
      </c>
      <c r="Q9" s="2" t="s">
        <v>385</v>
      </c>
      <c r="R9" s="2"/>
      <c r="U9" s="2">
        <v>1</v>
      </c>
      <c r="V9" s="2">
        <v>191</v>
      </c>
      <c r="W9" s="10" t="s">
        <v>484</v>
      </c>
      <c r="X9" s="14">
        <v>45709</v>
      </c>
      <c r="Y9" s="14">
        <v>45710</v>
      </c>
      <c r="AA9" s="9">
        <v>8502982</v>
      </c>
      <c r="AB9" s="14">
        <v>45710</v>
      </c>
      <c r="AC9" s="32">
        <v>45711</v>
      </c>
      <c r="AD9" s="2">
        <v>1065285</v>
      </c>
      <c r="AE9" s="2">
        <v>468300</v>
      </c>
      <c r="AF9" s="10">
        <v>45710</v>
      </c>
      <c r="AG9" s="10">
        <v>45712</v>
      </c>
      <c r="AH9" s="10">
        <v>45712</v>
      </c>
      <c r="AI9" s="14">
        <v>45712</v>
      </c>
      <c r="AJ9" s="2" t="s">
        <v>402</v>
      </c>
      <c r="AK9" s="2" t="s">
        <v>273</v>
      </c>
    </row>
    <row r="10" spans="1:85" x14ac:dyDescent="0.3">
      <c r="A10" s="1">
        <v>9</v>
      </c>
      <c r="B10" s="2">
        <v>49215</v>
      </c>
      <c r="C10" s="2" t="s">
        <v>285</v>
      </c>
      <c r="D10" s="14">
        <v>45702</v>
      </c>
      <c r="E10" s="45">
        <v>27922</v>
      </c>
      <c r="F10" s="2" t="s">
        <v>143</v>
      </c>
      <c r="G10" s="1" t="s">
        <v>142</v>
      </c>
      <c r="H10" s="2" t="s">
        <v>702</v>
      </c>
      <c r="I10" s="2" t="s">
        <v>373</v>
      </c>
      <c r="J10" s="1">
        <f t="shared" si="0"/>
        <v>0</v>
      </c>
      <c r="K10" s="2" t="s">
        <v>363</v>
      </c>
      <c r="M10" s="1"/>
      <c r="O10" s="2" t="s">
        <v>382</v>
      </c>
      <c r="P10" s="2" t="s">
        <v>199</v>
      </c>
      <c r="Q10" s="2">
        <v>60737205501</v>
      </c>
      <c r="R10" s="2"/>
      <c r="U10" s="2">
        <v>2</v>
      </c>
      <c r="V10" s="2">
        <v>425</v>
      </c>
      <c r="W10" s="14">
        <v>45714</v>
      </c>
      <c r="X10" s="14">
        <v>45714</v>
      </c>
      <c r="Y10" s="14">
        <v>45714</v>
      </c>
      <c r="AA10" s="2">
        <v>8577308</v>
      </c>
      <c r="AB10" s="14">
        <v>45714</v>
      </c>
      <c r="AC10" s="32">
        <v>45716</v>
      </c>
      <c r="AD10" s="2">
        <v>2450155.5</v>
      </c>
      <c r="AE10" s="2">
        <v>1077089</v>
      </c>
      <c r="AF10" s="14">
        <v>45715</v>
      </c>
      <c r="AG10" s="14">
        <v>45715</v>
      </c>
      <c r="AH10" s="10">
        <v>45716</v>
      </c>
      <c r="AI10" s="14">
        <v>45716</v>
      </c>
      <c r="AJ10" s="2" t="s">
        <v>403</v>
      </c>
      <c r="AK10" s="2" t="s">
        <v>273</v>
      </c>
    </row>
    <row r="11" spans="1:85" x14ac:dyDescent="0.3">
      <c r="A11" s="1">
        <v>10</v>
      </c>
      <c r="B11" s="2">
        <v>49223</v>
      </c>
      <c r="C11" s="2" t="s">
        <v>286</v>
      </c>
      <c r="D11" s="14" t="s">
        <v>291</v>
      </c>
      <c r="E11" s="2" t="s">
        <v>295</v>
      </c>
      <c r="F11" s="2" t="s">
        <v>143</v>
      </c>
      <c r="G11" s="1" t="s">
        <v>142</v>
      </c>
      <c r="H11" s="2" t="s">
        <v>702</v>
      </c>
      <c r="I11" s="2" t="s">
        <v>373</v>
      </c>
      <c r="J11" s="1">
        <f t="shared" si="0"/>
        <v>1</v>
      </c>
      <c r="K11" s="2" t="s">
        <v>364</v>
      </c>
      <c r="M11" s="1"/>
      <c r="O11" s="2" t="s">
        <v>382</v>
      </c>
      <c r="P11" s="2" t="s">
        <v>199</v>
      </c>
      <c r="Q11" s="2">
        <v>21703953320</v>
      </c>
      <c r="R11" s="2"/>
      <c r="U11" s="2">
        <v>8</v>
      </c>
      <c r="V11" s="2">
        <v>1845</v>
      </c>
      <c r="W11" s="14">
        <v>45714</v>
      </c>
      <c r="X11" s="14">
        <v>45714</v>
      </c>
      <c r="Y11" s="14">
        <v>45714</v>
      </c>
      <c r="AA11" s="2">
        <v>8588310</v>
      </c>
      <c r="AB11" s="14">
        <v>45715</v>
      </c>
      <c r="AC11" s="14">
        <v>45715</v>
      </c>
      <c r="AD11" s="2">
        <v>9800622</v>
      </c>
      <c r="AE11" s="2">
        <v>4308353</v>
      </c>
      <c r="AF11" s="14">
        <v>45715</v>
      </c>
      <c r="AG11" s="14">
        <v>45715</v>
      </c>
      <c r="AH11" s="10">
        <v>45716</v>
      </c>
      <c r="AI11" s="14">
        <v>45716</v>
      </c>
      <c r="AJ11" s="2" t="s">
        <v>403</v>
      </c>
      <c r="AK11" s="2" t="s">
        <v>273</v>
      </c>
    </row>
    <row r="12" spans="1:85" x14ac:dyDescent="0.3">
      <c r="A12" s="1">
        <v>11</v>
      </c>
      <c r="B12" s="2">
        <v>49299</v>
      </c>
      <c r="C12" s="2" t="s">
        <v>287</v>
      </c>
      <c r="D12" s="14" t="s">
        <v>292</v>
      </c>
      <c r="E12" s="2" t="s">
        <v>296</v>
      </c>
      <c r="F12" s="2" t="s">
        <v>143</v>
      </c>
      <c r="G12" s="1" t="s">
        <v>142</v>
      </c>
      <c r="H12" s="2" t="s">
        <v>702</v>
      </c>
      <c r="I12" s="2" t="s">
        <v>374</v>
      </c>
      <c r="J12" s="1">
        <f t="shared" si="0"/>
        <v>1</v>
      </c>
      <c r="K12" s="2" t="s">
        <v>365</v>
      </c>
      <c r="M12" s="2">
        <v>2571</v>
      </c>
      <c r="O12" s="2" t="s">
        <v>382</v>
      </c>
      <c r="P12" s="2" t="s">
        <v>199</v>
      </c>
      <c r="Q12" s="2" t="s">
        <v>386</v>
      </c>
      <c r="R12" s="2"/>
      <c r="U12" s="2">
        <v>12</v>
      </c>
      <c r="V12" s="2">
        <v>2574</v>
      </c>
      <c r="W12" s="14">
        <v>45723</v>
      </c>
      <c r="X12" s="14">
        <v>45723</v>
      </c>
      <c r="Y12" s="14">
        <v>45724</v>
      </c>
      <c r="AA12" s="2">
        <v>8774635</v>
      </c>
      <c r="AB12" s="14">
        <v>45724</v>
      </c>
      <c r="AC12" s="32">
        <v>45725</v>
      </c>
      <c r="AD12" s="2">
        <v>14229658</v>
      </c>
      <c r="AE12" s="2">
        <v>6255358</v>
      </c>
      <c r="AF12" s="14">
        <v>45724</v>
      </c>
      <c r="AG12" s="14">
        <v>45726</v>
      </c>
      <c r="AH12" s="10">
        <v>45726</v>
      </c>
      <c r="AI12" s="14">
        <v>45727</v>
      </c>
      <c r="AJ12" s="2" t="s">
        <v>404</v>
      </c>
      <c r="AK12" s="2" t="s">
        <v>273</v>
      </c>
    </row>
    <row r="13" spans="1:85" x14ac:dyDescent="0.3">
      <c r="A13" s="1">
        <v>12</v>
      </c>
      <c r="B13" s="2">
        <v>49300</v>
      </c>
      <c r="C13" s="2">
        <v>11705473</v>
      </c>
      <c r="D13" s="4">
        <v>45721</v>
      </c>
      <c r="E13" s="2">
        <v>1385</v>
      </c>
      <c r="F13" s="2" t="s">
        <v>143</v>
      </c>
      <c r="G13" s="1" t="s">
        <v>142</v>
      </c>
      <c r="H13" s="2" t="s">
        <v>702</v>
      </c>
      <c r="I13" s="2" t="s">
        <v>374</v>
      </c>
      <c r="J13" s="1">
        <f t="shared" si="0"/>
        <v>1</v>
      </c>
      <c r="K13" s="2" t="s">
        <v>366</v>
      </c>
      <c r="M13" s="2">
        <v>22</v>
      </c>
      <c r="O13" s="2" t="s">
        <v>382</v>
      </c>
      <c r="P13" s="2" t="s">
        <v>199</v>
      </c>
      <c r="Q13" s="2">
        <v>61840494226</v>
      </c>
      <c r="R13" s="2"/>
      <c r="U13" s="2">
        <v>1</v>
      </c>
      <c r="V13" s="2">
        <v>3</v>
      </c>
      <c r="W13" s="14">
        <v>45723</v>
      </c>
      <c r="X13" s="14">
        <v>45723</v>
      </c>
      <c r="Y13" s="14">
        <v>45724</v>
      </c>
      <c r="AA13" s="2">
        <v>8774632</v>
      </c>
      <c r="AB13" s="14">
        <v>45724</v>
      </c>
      <c r="AC13" s="32">
        <v>45725</v>
      </c>
      <c r="AD13" s="2">
        <v>121603</v>
      </c>
      <c r="AE13" s="2">
        <v>53457</v>
      </c>
      <c r="AF13" s="14">
        <v>45724</v>
      </c>
      <c r="AG13" s="14">
        <v>45726</v>
      </c>
      <c r="AH13" s="10">
        <v>45726</v>
      </c>
      <c r="AI13" s="14">
        <v>45727</v>
      </c>
      <c r="AJ13" s="2" t="s">
        <v>404</v>
      </c>
      <c r="AK13" s="2" t="s">
        <v>273</v>
      </c>
    </row>
    <row r="14" spans="1:85" x14ac:dyDescent="0.3">
      <c r="A14" s="1">
        <v>13</v>
      </c>
      <c r="B14" s="2">
        <v>49246</v>
      </c>
      <c r="C14" s="2">
        <v>250212821</v>
      </c>
      <c r="D14" s="4">
        <v>45712</v>
      </c>
      <c r="E14" s="45">
        <v>32440.720000000001</v>
      </c>
      <c r="F14" s="2" t="s">
        <v>143</v>
      </c>
      <c r="G14" s="1" t="s">
        <v>142</v>
      </c>
      <c r="H14" s="1" t="s">
        <v>680</v>
      </c>
      <c r="I14" s="2" t="s">
        <v>375</v>
      </c>
      <c r="J14" s="1">
        <f t="shared" si="0"/>
        <v>1</v>
      </c>
      <c r="K14" s="2" t="s">
        <v>367</v>
      </c>
      <c r="M14" s="2"/>
      <c r="O14" s="49" t="s">
        <v>203</v>
      </c>
      <c r="P14" s="2" t="s">
        <v>204</v>
      </c>
      <c r="Q14" s="2">
        <v>23587690724</v>
      </c>
      <c r="R14" s="2">
        <v>419260777</v>
      </c>
      <c r="U14" s="2">
        <v>1</v>
      </c>
      <c r="V14" s="2">
        <v>7.5</v>
      </c>
      <c r="W14" s="14">
        <v>45717</v>
      </c>
      <c r="X14" s="14">
        <v>45717</v>
      </c>
      <c r="Y14" s="14">
        <v>45717</v>
      </c>
      <c r="AA14" s="49">
        <v>8641420</v>
      </c>
      <c r="AB14" s="14">
        <v>45717</v>
      </c>
      <c r="AC14" s="32">
        <v>45723</v>
      </c>
      <c r="AD14" s="2" t="s">
        <v>394</v>
      </c>
      <c r="AE14" s="2" t="s">
        <v>396</v>
      </c>
      <c r="AF14" s="14">
        <v>45717</v>
      </c>
      <c r="AG14" s="14">
        <v>45719</v>
      </c>
      <c r="AH14" s="10">
        <v>45724</v>
      </c>
      <c r="AI14" s="14">
        <v>45726</v>
      </c>
      <c r="AJ14" s="2" t="s">
        <v>279</v>
      </c>
      <c r="AK14" s="2" t="s">
        <v>280</v>
      </c>
    </row>
    <row r="15" spans="1:85" x14ac:dyDescent="0.3">
      <c r="A15" s="1">
        <v>14</v>
      </c>
      <c r="B15" s="2">
        <v>49348</v>
      </c>
      <c r="C15" s="2">
        <v>11705699</v>
      </c>
      <c r="D15" s="4">
        <v>45726</v>
      </c>
      <c r="E15" s="45">
        <v>104337</v>
      </c>
      <c r="F15" s="2" t="s">
        <v>143</v>
      </c>
      <c r="G15" s="1" t="s">
        <v>142</v>
      </c>
      <c r="H15" s="2" t="s">
        <v>702</v>
      </c>
      <c r="I15" s="2" t="s">
        <v>376</v>
      </c>
      <c r="J15" s="1">
        <f t="shared" si="0"/>
        <v>2</v>
      </c>
      <c r="K15" s="2" t="s">
        <v>368</v>
      </c>
      <c r="M15" s="91" t="s">
        <v>378</v>
      </c>
      <c r="O15" s="2" t="s">
        <v>382</v>
      </c>
      <c r="P15" s="2" t="s">
        <v>199</v>
      </c>
      <c r="Q15" s="2">
        <v>61841657335</v>
      </c>
      <c r="R15" s="2"/>
      <c r="U15" s="2">
        <v>3</v>
      </c>
      <c r="V15" s="2">
        <v>853</v>
      </c>
      <c r="W15" s="14">
        <v>45729</v>
      </c>
      <c r="X15" s="14">
        <v>45729</v>
      </c>
      <c r="Y15" s="14">
        <v>45729</v>
      </c>
      <c r="AA15" s="2">
        <v>8896081</v>
      </c>
      <c r="AB15" s="14">
        <v>45731</v>
      </c>
      <c r="AC15" s="32">
        <v>45732</v>
      </c>
      <c r="AD15" s="2" t="s">
        <v>395</v>
      </c>
      <c r="AE15" s="2">
        <v>4027083</v>
      </c>
      <c r="AF15" s="14">
        <v>45731</v>
      </c>
      <c r="AG15" s="14">
        <v>45733</v>
      </c>
      <c r="AH15" s="10">
        <v>45734</v>
      </c>
      <c r="AI15" s="14">
        <v>45369</v>
      </c>
      <c r="AJ15" s="2" t="s">
        <v>405</v>
      </c>
      <c r="AK15" s="2" t="s">
        <v>273</v>
      </c>
    </row>
    <row r="16" spans="1:85" ht="15.6" x14ac:dyDescent="0.3">
      <c r="A16" s="1">
        <v>15</v>
      </c>
      <c r="B16" s="2">
        <v>49367</v>
      </c>
      <c r="C16" s="2" t="s">
        <v>288</v>
      </c>
      <c r="D16" s="14" t="s">
        <v>293</v>
      </c>
      <c r="E16" s="2" t="s">
        <v>297</v>
      </c>
      <c r="F16" s="2" t="s">
        <v>143</v>
      </c>
      <c r="G16" s="1" t="s">
        <v>142</v>
      </c>
      <c r="H16" s="2" t="s">
        <v>702</v>
      </c>
      <c r="I16" s="2" t="s">
        <v>377</v>
      </c>
      <c r="J16" s="1">
        <f t="shared" si="0"/>
        <v>2</v>
      </c>
      <c r="K16" s="2" t="s">
        <v>369</v>
      </c>
      <c r="L16" s="1">
        <v>10505</v>
      </c>
      <c r="M16" s="2"/>
      <c r="O16" s="2" t="s">
        <v>382</v>
      </c>
      <c r="P16" s="2" t="s">
        <v>199</v>
      </c>
      <c r="Q16" s="2">
        <v>17603577604</v>
      </c>
      <c r="R16" s="2"/>
      <c r="U16" s="2">
        <v>11</v>
      </c>
      <c r="V16" s="2">
        <v>2909</v>
      </c>
      <c r="W16" s="14">
        <v>45730</v>
      </c>
      <c r="X16" s="14">
        <v>45731</v>
      </c>
      <c r="Y16" s="14">
        <v>45733</v>
      </c>
      <c r="AA16" s="2">
        <v>8921615</v>
      </c>
      <c r="AB16" s="14">
        <v>45733</v>
      </c>
      <c r="AC16" s="14">
        <v>45733</v>
      </c>
      <c r="AD16" s="2">
        <v>16094969.199999999</v>
      </c>
      <c r="AE16" s="2" t="s">
        <v>397</v>
      </c>
      <c r="AF16" s="14">
        <v>45733</v>
      </c>
      <c r="AG16" s="14">
        <v>45733</v>
      </c>
      <c r="AH16" s="10">
        <v>45735</v>
      </c>
      <c r="AI16" s="14">
        <v>45735</v>
      </c>
      <c r="AJ16" s="2" t="s">
        <v>406</v>
      </c>
      <c r="AK16" s="2" t="s">
        <v>273</v>
      </c>
      <c r="AS16" s="92" t="s">
        <v>337</v>
      </c>
      <c r="AU16" s="32">
        <v>45735</v>
      </c>
      <c r="AV16" s="32">
        <v>45741</v>
      </c>
    </row>
    <row r="17" spans="1:45" s="1" customFormat="1" ht="15.6" x14ac:dyDescent="0.3">
      <c r="A17" s="1">
        <v>16</v>
      </c>
      <c r="B17" s="2">
        <v>49434</v>
      </c>
      <c r="C17" s="1" t="s">
        <v>195</v>
      </c>
      <c r="D17" s="3">
        <v>45735</v>
      </c>
      <c r="E17" s="1">
        <v>16996</v>
      </c>
      <c r="F17" s="2" t="s">
        <v>196</v>
      </c>
      <c r="G17" s="1" t="s">
        <v>142</v>
      </c>
      <c r="H17" s="2" t="s">
        <v>702</v>
      </c>
      <c r="I17" s="1" t="s">
        <v>331</v>
      </c>
      <c r="J17" s="1">
        <f t="shared" si="0"/>
        <v>1</v>
      </c>
      <c r="K17" s="1" t="s">
        <v>197</v>
      </c>
      <c r="M17" t="s">
        <v>306</v>
      </c>
      <c r="O17" s="2" t="s">
        <v>198</v>
      </c>
      <c r="P17" s="2" t="s">
        <v>199</v>
      </c>
      <c r="Q17" s="2">
        <v>21703582261</v>
      </c>
      <c r="T17" s="1" t="s">
        <v>200</v>
      </c>
      <c r="U17" s="1">
        <v>1</v>
      </c>
      <c r="V17" s="1">
        <v>272</v>
      </c>
      <c r="W17" s="14">
        <v>45737</v>
      </c>
      <c r="X17" s="5">
        <v>45737</v>
      </c>
      <c r="Y17" s="5">
        <v>45737</v>
      </c>
      <c r="AA17" s="1">
        <v>9041742</v>
      </c>
      <c r="AB17" s="5">
        <v>45738</v>
      </c>
      <c r="AC17" s="5">
        <v>45739</v>
      </c>
      <c r="AD17" s="1">
        <v>1483751</v>
      </c>
      <c r="AE17" s="1">
        <v>652257</v>
      </c>
      <c r="AF17" s="5">
        <v>45740</v>
      </c>
      <c r="AG17" s="5">
        <v>45740</v>
      </c>
      <c r="AH17" s="14">
        <v>45740</v>
      </c>
      <c r="AI17" s="14">
        <v>45742</v>
      </c>
      <c r="AJ17" s="2" t="s">
        <v>316</v>
      </c>
      <c r="AK17" s="2" t="s">
        <v>273</v>
      </c>
      <c r="AO17"/>
      <c r="AS17" s="92"/>
    </row>
    <row r="18" spans="1:45" s="1" customFormat="1" x14ac:dyDescent="0.3">
      <c r="A18" s="1">
        <v>17</v>
      </c>
      <c r="B18" s="2">
        <v>49439</v>
      </c>
      <c r="C18" s="1">
        <v>250309055</v>
      </c>
      <c r="D18" s="3">
        <v>45734</v>
      </c>
      <c r="E18" s="1">
        <v>12500</v>
      </c>
      <c r="F18" s="1" t="s">
        <v>196</v>
      </c>
      <c r="G18" s="1" t="s">
        <v>142</v>
      </c>
      <c r="H18" s="1" t="s">
        <v>680</v>
      </c>
      <c r="I18" s="1" t="s">
        <v>352</v>
      </c>
      <c r="J18" s="1">
        <f t="shared" si="0"/>
        <v>2</v>
      </c>
      <c r="K18" s="1" t="s">
        <v>202</v>
      </c>
      <c r="M18" t="s">
        <v>148</v>
      </c>
      <c r="O18" s="2" t="s">
        <v>203</v>
      </c>
      <c r="P18" s="1" t="s">
        <v>204</v>
      </c>
      <c r="Q18" s="50" t="s">
        <v>205</v>
      </c>
      <c r="R18" s="1" t="s">
        <v>206</v>
      </c>
      <c r="T18" s="1" t="s">
        <v>207</v>
      </c>
      <c r="U18" s="1">
        <v>1</v>
      </c>
      <c r="V18" s="1">
        <v>4</v>
      </c>
      <c r="W18" s="14">
        <v>45737</v>
      </c>
      <c r="X18" s="5">
        <v>45737</v>
      </c>
      <c r="Y18" s="5">
        <v>45737</v>
      </c>
      <c r="AA18" s="1">
        <v>9042771</v>
      </c>
      <c r="AB18" s="5">
        <v>45738</v>
      </c>
      <c r="AC18" s="5">
        <v>45741</v>
      </c>
      <c r="AD18" s="1">
        <v>1091250</v>
      </c>
      <c r="AE18" s="1">
        <v>479714</v>
      </c>
      <c r="AF18" s="5">
        <v>45740</v>
      </c>
      <c r="AG18" s="5">
        <v>45743</v>
      </c>
      <c r="AH18" s="14">
        <v>45743</v>
      </c>
      <c r="AI18" s="14">
        <v>45743</v>
      </c>
      <c r="AJ18" s="2"/>
      <c r="AK18" s="2" t="s">
        <v>280</v>
      </c>
    </row>
    <row r="19" spans="1:45" s="2" customFormat="1" x14ac:dyDescent="0.3">
      <c r="A19" s="1">
        <v>18</v>
      </c>
      <c r="B19" s="2">
        <v>49486</v>
      </c>
      <c r="C19" s="2" t="s">
        <v>332</v>
      </c>
      <c r="D19" s="4">
        <v>45737</v>
      </c>
      <c r="E19" s="45">
        <v>157820</v>
      </c>
      <c r="F19" s="2" t="s">
        <v>196</v>
      </c>
      <c r="G19" s="2" t="s">
        <v>142</v>
      </c>
      <c r="H19" s="2" t="s">
        <v>702</v>
      </c>
      <c r="I19" s="2" t="s">
        <v>505</v>
      </c>
      <c r="J19" s="1">
        <f t="shared" si="0"/>
        <v>6</v>
      </c>
      <c r="K19" s="2" t="s">
        <v>333</v>
      </c>
      <c r="O19" s="2" t="s">
        <v>334</v>
      </c>
      <c r="P19" s="1" t="s">
        <v>335</v>
      </c>
      <c r="Q19" s="2">
        <v>91017874393</v>
      </c>
      <c r="T19" s="2" t="s">
        <v>336</v>
      </c>
      <c r="U19" s="2">
        <v>8</v>
      </c>
      <c r="V19" s="2">
        <v>2430</v>
      </c>
      <c r="W19" s="14">
        <v>45742</v>
      </c>
      <c r="X19" s="14">
        <v>45742</v>
      </c>
      <c r="Y19" s="14">
        <v>45742</v>
      </c>
      <c r="AA19" s="2">
        <v>9133931</v>
      </c>
      <c r="AB19" s="14">
        <v>45743</v>
      </c>
      <c r="AC19" s="14">
        <v>45743</v>
      </c>
      <c r="AD19" s="2">
        <v>13777686</v>
      </c>
      <c r="AE19" s="2">
        <v>6056671</v>
      </c>
      <c r="AF19" s="14">
        <v>45743</v>
      </c>
      <c r="AG19" s="14">
        <v>45744</v>
      </c>
      <c r="AH19" s="14">
        <v>45749</v>
      </c>
      <c r="AI19" s="14">
        <v>45750</v>
      </c>
      <c r="AJ19" s="2" t="s">
        <v>504</v>
      </c>
      <c r="AS19" s="2" t="s">
        <v>342</v>
      </c>
    </row>
    <row r="20" spans="1:45" x14ac:dyDescent="0.3">
      <c r="A20" s="1">
        <v>19</v>
      </c>
      <c r="B20" s="2">
        <v>49589</v>
      </c>
      <c r="C20" s="1" t="s">
        <v>481</v>
      </c>
      <c r="D20" s="93">
        <v>45737</v>
      </c>
      <c r="E20" s="1">
        <v>9712</v>
      </c>
      <c r="F20" s="1" t="s">
        <v>196</v>
      </c>
      <c r="G20" s="1" t="s">
        <v>142</v>
      </c>
      <c r="H20" s="2" t="s">
        <v>683</v>
      </c>
      <c r="I20" s="2" t="s">
        <v>825</v>
      </c>
      <c r="J20" s="1">
        <f t="shared" si="0"/>
        <v>2</v>
      </c>
      <c r="K20" s="15" t="s">
        <v>482</v>
      </c>
      <c r="L20" s="1">
        <v>250</v>
      </c>
      <c r="M20" t="s">
        <v>511</v>
      </c>
      <c r="N20" t="s">
        <v>503</v>
      </c>
      <c r="O20" s="2" t="s">
        <v>198</v>
      </c>
      <c r="P20" s="15" t="s">
        <v>199</v>
      </c>
      <c r="Q20" s="15">
        <v>21703611576</v>
      </c>
      <c r="T20" s="1" t="s">
        <v>483</v>
      </c>
      <c r="U20" s="1">
        <v>1</v>
      </c>
      <c r="V20" s="15">
        <v>158</v>
      </c>
      <c r="W20" s="32">
        <v>45750</v>
      </c>
      <c r="X20" s="5">
        <v>45750</v>
      </c>
      <c r="Y20" s="5">
        <v>45750</v>
      </c>
      <c r="AA20">
        <v>9275979</v>
      </c>
      <c r="AB20" s="32">
        <v>45750</v>
      </c>
      <c r="AC20" s="32">
        <v>45749</v>
      </c>
      <c r="AD20" s="15" t="s">
        <v>501</v>
      </c>
      <c r="AE20" t="s">
        <v>502</v>
      </c>
      <c r="AF20" s="32">
        <v>45751</v>
      </c>
      <c r="AG20" s="32">
        <v>45751</v>
      </c>
      <c r="AH20" s="32">
        <v>45751</v>
      </c>
      <c r="AI20" s="14">
        <v>45752</v>
      </c>
      <c r="AJ20" s="2" t="s">
        <v>514</v>
      </c>
      <c r="AK20" s="2" t="s">
        <v>273</v>
      </c>
      <c r="AS20" s="15" t="s">
        <v>512</v>
      </c>
    </row>
    <row r="21" spans="1:45" x14ac:dyDescent="0.3">
      <c r="A21" s="1">
        <v>20</v>
      </c>
      <c r="B21" s="2">
        <v>49548</v>
      </c>
      <c r="C21" s="1">
        <v>250315341</v>
      </c>
      <c r="D21" s="93">
        <v>45744</v>
      </c>
      <c r="E21" s="1">
        <v>32440.720000000001</v>
      </c>
      <c r="F21" s="1" t="s">
        <v>196</v>
      </c>
      <c r="G21" s="1" t="s">
        <v>142</v>
      </c>
      <c r="H21" s="1" t="s">
        <v>680</v>
      </c>
      <c r="I21" s="2" t="s">
        <v>701</v>
      </c>
      <c r="J21" s="1">
        <f t="shared" si="0"/>
        <v>5</v>
      </c>
      <c r="K21" s="15" t="s">
        <v>367</v>
      </c>
      <c r="L21" s="1">
        <v>3491</v>
      </c>
      <c r="O21" s="2" t="s">
        <v>203</v>
      </c>
      <c r="P21" s="1" t="s">
        <v>204</v>
      </c>
      <c r="Q21" s="15">
        <v>60737907133</v>
      </c>
      <c r="R21" s="15">
        <v>4840703676</v>
      </c>
      <c r="T21" s="1" t="s">
        <v>179</v>
      </c>
      <c r="U21" s="1">
        <v>2</v>
      </c>
      <c r="V21" s="1">
        <v>6.5</v>
      </c>
      <c r="W21" s="32">
        <v>45746</v>
      </c>
      <c r="X21" s="5">
        <v>45747</v>
      </c>
      <c r="Y21" s="5">
        <v>45747</v>
      </c>
      <c r="AA21" s="15">
        <v>9226262</v>
      </c>
      <c r="AB21" s="32">
        <v>45748</v>
      </c>
      <c r="AC21" s="32">
        <v>45750</v>
      </c>
      <c r="AD21" s="15">
        <v>2832075</v>
      </c>
      <c r="AE21" s="15">
        <v>1244981</v>
      </c>
      <c r="AF21" s="32">
        <v>45749</v>
      </c>
      <c r="AG21" s="32">
        <v>45750</v>
      </c>
      <c r="AH21" s="32">
        <v>45755</v>
      </c>
      <c r="AI21" s="14">
        <v>45757</v>
      </c>
      <c r="AJ21" s="2" t="s">
        <v>783</v>
      </c>
      <c r="AK21" s="2" t="s">
        <v>273</v>
      </c>
    </row>
    <row r="22" spans="1:45" x14ac:dyDescent="0.3">
      <c r="A22" s="1">
        <v>21</v>
      </c>
      <c r="B22" s="2">
        <v>49651</v>
      </c>
      <c r="C22" s="1">
        <v>250403111</v>
      </c>
      <c r="D22" s="32">
        <v>45720</v>
      </c>
      <c r="E22" s="1">
        <v>2596</v>
      </c>
      <c r="F22" s="1" t="s">
        <v>196</v>
      </c>
      <c r="G22" s="1" t="s">
        <v>142</v>
      </c>
      <c r="H22" s="1" t="s">
        <v>680</v>
      </c>
      <c r="I22" s="2" t="s">
        <v>784</v>
      </c>
      <c r="J22" s="1">
        <f t="shared" si="0"/>
        <v>1</v>
      </c>
      <c r="K22" s="15" t="s">
        <v>606</v>
      </c>
      <c r="L22" s="1">
        <v>900</v>
      </c>
      <c r="M22" t="s">
        <v>715</v>
      </c>
      <c r="O22" s="1" t="s">
        <v>203</v>
      </c>
      <c r="P22" s="1" t="s">
        <v>204</v>
      </c>
      <c r="Q22" s="15">
        <v>16091343092</v>
      </c>
      <c r="R22" s="15" t="s">
        <v>607</v>
      </c>
      <c r="T22" s="1" t="s">
        <v>179</v>
      </c>
      <c r="U22" s="1">
        <v>1</v>
      </c>
      <c r="V22" s="15">
        <v>3</v>
      </c>
      <c r="W22" s="32">
        <v>45755</v>
      </c>
      <c r="X22" s="5">
        <v>45755</v>
      </c>
      <c r="Y22" s="5">
        <v>45755</v>
      </c>
      <c r="AA22" s="15">
        <v>9371943</v>
      </c>
      <c r="AB22" s="32">
        <v>45755</v>
      </c>
      <c r="AC22" s="32">
        <v>45757</v>
      </c>
      <c r="AD22" s="15">
        <v>224814</v>
      </c>
      <c r="AE22" s="15">
        <v>84237</v>
      </c>
      <c r="AF22" s="32">
        <v>45756</v>
      </c>
      <c r="AG22" s="32">
        <v>45758</v>
      </c>
      <c r="AH22" s="32">
        <v>45758</v>
      </c>
      <c r="AI22" s="14">
        <v>45762</v>
      </c>
      <c r="AJ22" s="2" t="s">
        <v>783</v>
      </c>
      <c r="AK22" s="2" t="s">
        <v>273</v>
      </c>
    </row>
    <row r="23" spans="1:45" x14ac:dyDescent="0.3">
      <c r="A23" s="1">
        <v>22</v>
      </c>
      <c r="B23" s="2">
        <v>49692</v>
      </c>
      <c r="C23" s="1" t="s">
        <v>682</v>
      </c>
      <c r="D23" s="93">
        <v>45754</v>
      </c>
      <c r="E23" s="1">
        <v>831</v>
      </c>
      <c r="F23" s="1" t="s">
        <v>196</v>
      </c>
      <c r="G23" s="1" t="s">
        <v>142</v>
      </c>
      <c r="H23" s="1" t="s">
        <v>683</v>
      </c>
      <c r="I23" s="1" t="s">
        <v>790</v>
      </c>
      <c r="J23" s="1">
        <f t="shared" si="0"/>
        <v>1</v>
      </c>
      <c r="K23" s="15" t="s">
        <v>684</v>
      </c>
      <c r="O23" s="1" t="s">
        <v>198</v>
      </c>
      <c r="P23" s="1" t="s">
        <v>204</v>
      </c>
      <c r="Q23" s="15">
        <v>61841836325</v>
      </c>
      <c r="T23" s="1" t="s">
        <v>685</v>
      </c>
      <c r="U23" s="1">
        <v>1</v>
      </c>
      <c r="V23" s="15">
        <v>2.5</v>
      </c>
      <c r="W23" s="32">
        <v>45757</v>
      </c>
      <c r="X23" s="5">
        <v>45757</v>
      </c>
      <c r="Y23" s="5">
        <v>45757</v>
      </c>
      <c r="AA23" s="15">
        <v>9454555</v>
      </c>
      <c r="AB23" s="32">
        <v>45759</v>
      </c>
      <c r="AC23" s="32">
        <v>45761</v>
      </c>
      <c r="AD23" s="15">
        <v>71965</v>
      </c>
      <c r="AE23" s="15">
        <v>31635</v>
      </c>
      <c r="AF23" s="32">
        <v>45761</v>
      </c>
      <c r="AG23" s="32">
        <v>45761</v>
      </c>
      <c r="AH23" s="32">
        <v>45762</v>
      </c>
      <c r="AI23" s="14">
        <v>45763</v>
      </c>
      <c r="AK23" s="2" t="s">
        <v>791</v>
      </c>
    </row>
    <row r="24" spans="1:45" x14ac:dyDescent="0.3">
      <c r="A24" s="1">
        <v>23</v>
      </c>
      <c r="B24" s="2">
        <v>49864</v>
      </c>
      <c r="C24" s="1">
        <v>250412105</v>
      </c>
      <c r="D24" s="3">
        <v>45768</v>
      </c>
      <c r="E24" s="2">
        <v>350</v>
      </c>
      <c r="F24" s="2" t="s">
        <v>817</v>
      </c>
      <c r="G24" s="2" t="s">
        <v>142</v>
      </c>
      <c r="H24" s="2" t="s">
        <v>677</v>
      </c>
      <c r="I24" s="15" t="s">
        <v>991</v>
      </c>
      <c r="J24" s="1">
        <f t="shared" si="0"/>
        <v>2</v>
      </c>
      <c r="K24" s="15" t="s">
        <v>858</v>
      </c>
      <c r="O24" s="2" t="s">
        <v>334</v>
      </c>
      <c r="P24" s="1" t="s">
        <v>335</v>
      </c>
      <c r="Q24" s="84" t="s">
        <v>859</v>
      </c>
      <c r="R24" s="15" t="s">
        <v>860</v>
      </c>
      <c r="T24" s="1" t="s">
        <v>179</v>
      </c>
      <c r="U24" s="1">
        <v>1</v>
      </c>
      <c r="V24" s="2">
        <v>78.5</v>
      </c>
      <c r="W24" s="5">
        <v>45769</v>
      </c>
      <c r="X24" s="5">
        <v>45769</v>
      </c>
      <c r="Y24" s="5">
        <v>45770</v>
      </c>
      <c r="AA24" s="15">
        <v>9681017</v>
      </c>
      <c r="AB24" s="32">
        <v>45771</v>
      </c>
      <c r="AC24" s="32">
        <v>45777</v>
      </c>
      <c r="AD24" s="15">
        <v>30240</v>
      </c>
      <c r="AE24" s="15">
        <v>11331</v>
      </c>
      <c r="AF24" s="32">
        <v>45772</v>
      </c>
      <c r="AG24" s="32">
        <v>45772</v>
      </c>
      <c r="AH24" s="32">
        <v>45779</v>
      </c>
      <c r="AI24" s="14">
        <v>45780</v>
      </c>
      <c r="AJ24" s="2" t="s">
        <v>980</v>
      </c>
      <c r="AK24" s="2" t="s">
        <v>273</v>
      </c>
    </row>
    <row r="25" spans="1:45" x14ac:dyDescent="0.3">
      <c r="A25" s="1">
        <v>24</v>
      </c>
      <c r="B25" s="2">
        <v>49866</v>
      </c>
      <c r="C25" s="1">
        <v>250409056</v>
      </c>
      <c r="D25" s="3">
        <v>45764</v>
      </c>
      <c r="E25" s="2">
        <v>18906.16</v>
      </c>
      <c r="F25" s="2" t="s">
        <v>817</v>
      </c>
      <c r="G25" s="2" t="s">
        <v>142</v>
      </c>
      <c r="H25" s="2" t="s">
        <v>677</v>
      </c>
      <c r="I25" s="15" t="s">
        <v>992</v>
      </c>
      <c r="J25" s="1">
        <f t="shared" si="0"/>
        <v>2</v>
      </c>
      <c r="K25" s="15" t="s">
        <v>861</v>
      </c>
      <c r="O25" s="1" t="s">
        <v>818</v>
      </c>
      <c r="P25" s="1" t="s">
        <v>204</v>
      </c>
      <c r="Q25" s="84" t="s">
        <v>859</v>
      </c>
      <c r="R25" s="15" t="s">
        <v>862</v>
      </c>
      <c r="T25" s="1" t="s">
        <v>179</v>
      </c>
      <c r="U25" s="1">
        <v>1</v>
      </c>
      <c r="V25" s="2">
        <v>78.5</v>
      </c>
      <c r="W25" s="5">
        <v>45769</v>
      </c>
      <c r="X25" s="5">
        <v>45769</v>
      </c>
      <c r="Y25" s="5">
        <v>45770</v>
      </c>
      <c r="AA25" s="15">
        <v>9680935</v>
      </c>
      <c r="AB25" s="32">
        <v>45771</v>
      </c>
      <c r="AC25" s="32">
        <v>45777</v>
      </c>
      <c r="AD25" s="15">
        <v>1633492</v>
      </c>
      <c r="AE25" s="15">
        <v>718083</v>
      </c>
      <c r="AF25" s="32">
        <v>45772</v>
      </c>
      <c r="AG25" s="32">
        <v>45776</v>
      </c>
      <c r="AH25" s="32">
        <v>45779</v>
      </c>
      <c r="AI25" s="14">
        <v>45780</v>
      </c>
      <c r="AJ25" s="2" t="s">
        <v>981</v>
      </c>
      <c r="AK25" s="2" t="s">
        <v>273</v>
      </c>
    </row>
    <row r="26" spans="1:45" x14ac:dyDescent="0.3">
      <c r="A26" s="1">
        <v>25</v>
      </c>
      <c r="B26" s="2">
        <v>49867</v>
      </c>
      <c r="C26" s="1">
        <v>250409052</v>
      </c>
      <c r="D26" s="3">
        <v>45764</v>
      </c>
      <c r="E26" s="2">
        <v>399.55</v>
      </c>
      <c r="F26" s="2" t="s">
        <v>817</v>
      </c>
      <c r="G26" s="2" t="s">
        <v>142</v>
      </c>
      <c r="H26" s="2" t="s">
        <v>677</v>
      </c>
      <c r="I26" s="15" t="s">
        <v>993</v>
      </c>
      <c r="J26" s="1">
        <f t="shared" si="0"/>
        <v>2</v>
      </c>
      <c r="K26" s="15" t="s">
        <v>863</v>
      </c>
      <c r="O26" s="1" t="s">
        <v>818</v>
      </c>
      <c r="P26" s="1" t="s">
        <v>204</v>
      </c>
      <c r="Q26" s="84" t="s">
        <v>859</v>
      </c>
      <c r="R26" s="15" t="s">
        <v>864</v>
      </c>
      <c r="T26" s="1" t="s">
        <v>179</v>
      </c>
      <c r="U26" s="1">
        <v>1</v>
      </c>
      <c r="V26" s="2">
        <v>78.5</v>
      </c>
      <c r="W26" s="5">
        <v>45769</v>
      </c>
      <c r="X26" s="5">
        <v>45769</v>
      </c>
      <c r="Y26" s="5">
        <v>45770</v>
      </c>
      <c r="AA26" s="15">
        <v>9681009</v>
      </c>
      <c r="AB26" s="32">
        <v>45771</v>
      </c>
      <c r="AC26" s="32">
        <v>45777</v>
      </c>
      <c r="AD26" s="15">
        <v>34521</v>
      </c>
      <c r="AE26" s="15">
        <v>15175</v>
      </c>
      <c r="AF26" s="32">
        <v>45772</v>
      </c>
      <c r="AG26" s="32">
        <v>45772</v>
      </c>
      <c r="AH26" s="32">
        <v>45779</v>
      </c>
      <c r="AI26" s="14">
        <v>45780</v>
      </c>
      <c r="AJ26" s="2" t="s">
        <v>981</v>
      </c>
      <c r="AK26" s="2" t="s">
        <v>273</v>
      </c>
    </row>
    <row r="27" spans="1:45" s="2" customFormat="1" x14ac:dyDescent="0.3">
      <c r="A27" s="1">
        <v>26</v>
      </c>
      <c r="B27" s="2">
        <v>49942</v>
      </c>
      <c r="C27" s="2">
        <v>250414171</v>
      </c>
      <c r="D27" s="4">
        <v>45776</v>
      </c>
      <c r="E27" s="2">
        <v>45776</v>
      </c>
      <c r="F27" s="2" t="s">
        <v>817</v>
      </c>
      <c r="G27" s="2" t="s">
        <v>142</v>
      </c>
      <c r="H27" s="2" t="s">
        <v>677</v>
      </c>
      <c r="I27" s="2" t="s">
        <v>1029</v>
      </c>
      <c r="J27" s="1">
        <f t="shared" si="0"/>
        <v>0</v>
      </c>
      <c r="K27" s="2" t="s">
        <v>956</v>
      </c>
      <c r="O27" s="2" t="s">
        <v>334</v>
      </c>
      <c r="P27" s="1" t="s">
        <v>335</v>
      </c>
      <c r="Q27" s="50" t="s">
        <v>957</v>
      </c>
      <c r="R27" s="2" t="s">
        <v>958</v>
      </c>
      <c r="T27" s="2" t="s">
        <v>179</v>
      </c>
      <c r="U27" s="2">
        <v>2</v>
      </c>
      <c r="V27" s="2">
        <v>402</v>
      </c>
      <c r="W27" s="14">
        <v>45777</v>
      </c>
      <c r="X27" s="14">
        <v>45777</v>
      </c>
      <c r="Y27" s="14">
        <v>45777</v>
      </c>
      <c r="AA27" s="49">
        <v>9902773</v>
      </c>
      <c r="AB27" s="96">
        <v>45783</v>
      </c>
      <c r="AC27" s="14">
        <v>45784</v>
      </c>
      <c r="AD27" s="2" t="s">
        <v>1011</v>
      </c>
      <c r="AE27" s="2" t="s">
        <v>1012</v>
      </c>
      <c r="AF27" s="14">
        <v>45783</v>
      </c>
      <c r="AG27" s="14">
        <v>45784</v>
      </c>
      <c r="AH27" s="14">
        <v>45784</v>
      </c>
      <c r="AI27" s="14">
        <v>45785</v>
      </c>
      <c r="AJ27" s="118" t="s">
        <v>1032</v>
      </c>
      <c r="AK27" s="2" t="s">
        <v>282</v>
      </c>
    </row>
    <row r="28" spans="1:45" s="2" customFormat="1" ht="43.2" x14ac:dyDescent="0.3">
      <c r="A28" s="1">
        <v>27</v>
      </c>
      <c r="B28" s="2">
        <v>49964</v>
      </c>
      <c r="C28" s="7" t="s">
        <v>986</v>
      </c>
      <c r="D28" s="7" t="s">
        <v>987</v>
      </c>
      <c r="E28" s="7" t="s">
        <v>988</v>
      </c>
      <c r="F28" s="2" t="s">
        <v>989</v>
      </c>
      <c r="G28" s="2" t="s">
        <v>142</v>
      </c>
      <c r="H28" s="2" t="s">
        <v>683</v>
      </c>
      <c r="I28" s="2" t="s">
        <v>1030</v>
      </c>
      <c r="J28" s="1">
        <f t="shared" si="0"/>
        <v>1</v>
      </c>
      <c r="K28" s="7" t="s">
        <v>990</v>
      </c>
      <c r="M28" s="2" t="s">
        <v>1024</v>
      </c>
      <c r="O28" s="2" t="s">
        <v>334</v>
      </c>
      <c r="P28" s="1" t="s">
        <v>335</v>
      </c>
      <c r="Q28" s="2" t="s">
        <v>1021</v>
      </c>
      <c r="T28" s="2" t="s">
        <v>483</v>
      </c>
      <c r="U28" s="2">
        <v>10</v>
      </c>
      <c r="V28" s="2">
        <v>3056</v>
      </c>
      <c r="W28" s="14">
        <v>45780</v>
      </c>
      <c r="X28" s="14">
        <v>45780</v>
      </c>
      <c r="Y28" s="14">
        <v>45782</v>
      </c>
      <c r="AA28" s="2">
        <v>9897848</v>
      </c>
      <c r="AB28" s="14">
        <v>45783</v>
      </c>
      <c r="AC28" s="14">
        <v>45783</v>
      </c>
      <c r="AD28" s="2">
        <v>17136521</v>
      </c>
      <c r="AE28" s="2">
        <v>7533215</v>
      </c>
      <c r="AF28" s="14">
        <v>45783</v>
      </c>
      <c r="AG28" s="14">
        <v>45784</v>
      </c>
      <c r="AH28" s="14">
        <v>45784</v>
      </c>
      <c r="AI28" s="14">
        <v>45785</v>
      </c>
      <c r="AJ28" s="2" t="s">
        <v>1031</v>
      </c>
      <c r="AK28" s="2" t="s">
        <v>280</v>
      </c>
    </row>
    <row r="29" spans="1:45" s="7" customFormat="1" ht="86.4" x14ac:dyDescent="0.3">
      <c r="A29" s="7">
        <v>28</v>
      </c>
      <c r="B29" s="7">
        <v>49978</v>
      </c>
      <c r="C29" s="7" t="s">
        <v>1014</v>
      </c>
      <c r="D29" s="7" t="s">
        <v>1015</v>
      </c>
      <c r="E29" s="7" t="s">
        <v>1016</v>
      </c>
      <c r="F29" s="7" t="s">
        <v>989</v>
      </c>
      <c r="G29" s="7" t="s">
        <v>142</v>
      </c>
      <c r="H29" s="7" t="s">
        <v>683</v>
      </c>
      <c r="I29" s="97" t="s">
        <v>1050</v>
      </c>
      <c r="J29" s="1">
        <f t="shared" si="0"/>
        <v>1</v>
      </c>
      <c r="K29" s="7" t="s">
        <v>1017</v>
      </c>
      <c r="O29" s="7" t="s">
        <v>334</v>
      </c>
      <c r="P29" s="1" t="s">
        <v>335</v>
      </c>
      <c r="Q29" s="7" t="s">
        <v>1018</v>
      </c>
      <c r="T29" s="7" t="s">
        <v>483</v>
      </c>
      <c r="U29" s="7">
        <v>7</v>
      </c>
      <c r="V29" s="7">
        <v>2074</v>
      </c>
      <c r="W29" s="60">
        <v>45784</v>
      </c>
      <c r="X29" s="60">
        <v>45784</v>
      </c>
      <c r="Y29" s="60">
        <v>45784</v>
      </c>
      <c r="AA29" s="7">
        <v>9933538</v>
      </c>
      <c r="AB29" s="60">
        <v>45785</v>
      </c>
      <c r="AC29" s="60">
        <v>45785</v>
      </c>
      <c r="AD29" s="7" t="s">
        <v>1027</v>
      </c>
      <c r="AE29" s="7" t="s">
        <v>1028</v>
      </c>
      <c r="AF29" s="60">
        <v>45785</v>
      </c>
      <c r="AG29" s="60">
        <v>45785</v>
      </c>
      <c r="AH29" s="60">
        <v>45786</v>
      </c>
      <c r="AI29" s="60">
        <v>45786</v>
      </c>
      <c r="AJ29" s="7" t="s">
        <v>1051</v>
      </c>
      <c r="AK29" s="7" t="s">
        <v>280</v>
      </c>
    </row>
    <row r="30" spans="1:45" s="2" customFormat="1" x14ac:dyDescent="0.3">
      <c r="A30" s="2">
        <v>29</v>
      </c>
      <c r="B30" s="2">
        <v>49996</v>
      </c>
      <c r="C30" s="2">
        <v>250504169</v>
      </c>
      <c r="D30" s="4">
        <v>45783</v>
      </c>
      <c r="E30" s="2">
        <v>64881.440000000002</v>
      </c>
      <c r="F30" s="2" t="s">
        <v>989</v>
      </c>
      <c r="G30" s="2" t="s">
        <v>142</v>
      </c>
      <c r="H30" s="2" t="s">
        <v>677</v>
      </c>
      <c r="I30" s="98" t="s">
        <v>1062</v>
      </c>
      <c r="J30" s="1">
        <f t="shared" si="0"/>
        <v>1</v>
      </c>
      <c r="K30" s="2" t="s">
        <v>367</v>
      </c>
      <c r="O30" s="2" t="s">
        <v>818</v>
      </c>
      <c r="P30" s="2" t="s">
        <v>204</v>
      </c>
      <c r="Q30" s="2" t="s">
        <v>1026</v>
      </c>
      <c r="R30" s="2">
        <v>4840709024</v>
      </c>
      <c r="T30" s="2" t="s">
        <v>179</v>
      </c>
      <c r="U30" s="2">
        <v>4</v>
      </c>
      <c r="V30" s="2">
        <v>14.5</v>
      </c>
      <c r="W30" s="14">
        <v>45785</v>
      </c>
      <c r="X30" s="14">
        <v>45785</v>
      </c>
      <c r="Y30" s="14">
        <v>45785</v>
      </c>
      <c r="AA30" s="2">
        <v>9941353</v>
      </c>
      <c r="AB30" s="14">
        <v>45785</v>
      </c>
      <c r="AC30" s="14">
        <v>45786</v>
      </c>
      <c r="AD30" s="2">
        <v>5550607.1900000004</v>
      </c>
      <c r="AE30" s="2">
        <v>2440046.7999999998</v>
      </c>
      <c r="AF30" s="14">
        <v>45785</v>
      </c>
      <c r="AG30" s="14">
        <v>45786</v>
      </c>
      <c r="AH30" s="14">
        <v>45787</v>
      </c>
      <c r="AI30" s="14">
        <v>45789</v>
      </c>
      <c r="AJ30" s="2" t="s">
        <v>1061</v>
      </c>
      <c r="AK30" s="2" t="s">
        <v>273</v>
      </c>
    </row>
    <row r="31" spans="1:45" x14ac:dyDescent="0.3">
      <c r="A31" s="2">
        <v>30</v>
      </c>
      <c r="B31" s="2">
        <v>50045</v>
      </c>
      <c r="C31" s="7" t="s">
        <v>1070</v>
      </c>
      <c r="D31" s="3">
        <v>45785</v>
      </c>
      <c r="E31" s="2">
        <v>21852</v>
      </c>
      <c r="F31" s="2" t="s">
        <v>989</v>
      </c>
      <c r="G31" s="2" t="s">
        <v>142</v>
      </c>
      <c r="H31" s="2" t="s">
        <v>683</v>
      </c>
      <c r="I31" s="1" t="s">
        <v>1087</v>
      </c>
      <c r="J31" s="1">
        <f t="shared" si="0"/>
        <v>1</v>
      </c>
      <c r="K31" s="7" t="s">
        <v>333</v>
      </c>
      <c r="L31" s="15"/>
      <c r="M31" s="1">
        <v>338</v>
      </c>
      <c r="O31" s="1" t="s">
        <v>1071</v>
      </c>
      <c r="P31" s="1" t="s">
        <v>335</v>
      </c>
      <c r="Q31" s="1" t="s">
        <v>1072</v>
      </c>
      <c r="T31" s="1" t="s">
        <v>200</v>
      </c>
      <c r="U31" s="1">
        <v>1</v>
      </c>
      <c r="V31" s="2">
        <v>336</v>
      </c>
      <c r="W31" s="5">
        <v>45791</v>
      </c>
      <c r="X31" s="5">
        <v>45791</v>
      </c>
      <c r="Y31" s="5">
        <v>45791</v>
      </c>
      <c r="AA31" s="2">
        <v>2062402</v>
      </c>
      <c r="AB31" s="14">
        <v>45792</v>
      </c>
      <c r="AC31" s="32">
        <v>45792</v>
      </c>
      <c r="AD31" s="15">
        <v>934719.3</v>
      </c>
      <c r="AE31" s="15">
        <v>410902.7</v>
      </c>
      <c r="AF31" s="14">
        <v>45792</v>
      </c>
      <c r="AG31" s="32">
        <v>45793</v>
      </c>
      <c r="AH31" s="32">
        <v>45793</v>
      </c>
      <c r="AI31" s="14">
        <v>45793</v>
      </c>
      <c r="AJ31" s="2" t="s">
        <v>1086</v>
      </c>
      <c r="AK31" s="2" t="s">
        <v>280</v>
      </c>
    </row>
    <row r="32" spans="1:45" ht="57.6" x14ac:dyDescent="0.3">
      <c r="A32" s="2">
        <v>31</v>
      </c>
      <c r="B32" s="2">
        <v>50046</v>
      </c>
      <c r="C32" s="7" t="s">
        <v>1073</v>
      </c>
      <c r="D32" s="7" t="s">
        <v>1074</v>
      </c>
      <c r="E32" s="7" t="s">
        <v>1075</v>
      </c>
      <c r="F32" s="2" t="s">
        <v>989</v>
      </c>
      <c r="G32" s="2" t="s">
        <v>142</v>
      </c>
      <c r="H32" s="2" t="s">
        <v>683</v>
      </c>
      <c r="I32" s="2" t="s">
        <v>1084</v>
      </c>
      <c r="J32" s="1">
        <f t="shared" si="0"/>
        <v>1</v>
      </c>
      <c r="K32" s="2" t="s">
        <v>1076</v>
      </c>
      <c r="L32" s="15"/>
      <c r="O32" s="2" t="s">
        <v>382</v>
      </c>
      <c r="P32" s="2" t="s">
        <v>199</v>
      </c>
      <c r="Q32" s="102" t="s">
        <v>1077</v>
      </c>
      <c r="T32" s="2" t="s">
        <v>200</v>
      </c>
      <c r="U32" s="2">
        <v>3</v>
      </c>
      <c r="V32" s="2">
        <v>1002</v>
      </c>
      <c r="W32" s="14">
        <v>45791</v>
      </c>
      <c r="X32" s="14">
        <v>45791</v>
      </c>
      <c r="Y32" s="14">
        <v>45791</v>
      </c>
      <c r="AA32" s="2">
        <v>2062524</v>
      </c>
      <c r="AB32" s="14">
        <v>45792</v>
      </c>
      <c r="AC32" s="14">
        <v>45792</v>
      </c>
      <c r="AD32" s="2">
        <v>1609794.35</v>
      </c>
      <c r="AE32" s="2">
        <v>1609794.35</v>
      </c>
      <c r="AF32" s="14">
        <v>45792</v>
      </c>
      <c r="AG32" s="14">
        <v>45792</v>
      </c>
      <c r="AH32" s="14">
        <v>45793</v>
      </c>
      <c r="AI32" s="14">
        <v>45793</v>
      </c>
      <c r="AJ32" s="2" t="s">
        <v>1085</v>
      </c>
      <c r="AK32" s="2" t="s">
        <v>280</v>
      </c>
    </row>
    <row r="33" spans="1:37" s="2" customFormat="1" ht="28.8" x14ac:dyDescent="0.3">
      <c r="A33" s="2">
        <v>32</v>
      </c>
      <c r="B33" s="2">
        <v>49828</v>
      </c>
      <c r="C33" s="7" t="s">
        <v>814</v>
      </c>
      <c r="D33" s="7" t="s">
        <v>815</v>
      </c>
      <c r="E33" s="7" t="s">
        <v>816</v>
      </c>
      <c r="F33" s="2" t="s">
        <v>817</v>
      </c>
      <c r="G33" s="2" t="s">
        <v>142</v>
      </c>
      <c r="H33" s="2" t="s">
        <v>677</v>
      </c>
      <c r="I33" s="105" t="s">
        <v>1275</v>
      </c>
      <c r="J33" s="1">
        <f t="shared" si="0"/>
        <v>23</v>
      </c>
      <c r="K33" s="7" t="s">
        <v>857</v>
      </c>
      <c r="L33" s="2">
        <v>99650</v>
      </c>
      <c r="M33" s="2">
        <v>8600</v>
      </c>
      <c r="O33" s="2" t="s">
        <v>818</v>
      </c>
      <c r="P33" s="2" t="s">
        <v>204</v>
      </c>
      <c r="Q33" s="2" t="s">
        <v>819</v>
      </c>
      <c r="R33" s="2" t="s">
        <v>820</v>
      </c>
      <c r="T33" s="2" t="s">
        <v>179</v>
      </c>
      <c r="U33" s="2">
        <v>4</v>
      </c>
      <c r="V33" s="2">
        <v>264</v>
      </c>
      <c r="W33" s="14">
        <v>45766</v>
      </c>
      <c r="X33" s="14">
        <v>45766</v>
      </c>
      <c r="Y33" s="14">
        <v>45768</v>
      </c>
      <c r="AA33" s="2">
        <v>9622923</v>
      </c>
      <c r="AB33" s="14">
        <v>45768</v>
      </c>
      <c r="AC33" s="14">
        <v>45768</v>
      </c>
      <c r="AD33" s="2">
        <v>2379729</v>
      </c>
      <c r="AE33" s="2">
        <v>951266</v>
      </c>
      <c r="AF33" s="14">
        <v>45769</v>
      </c>
      <c r="AG33" s="14">
        <v>45791</v>
      </c>
      <c r="AH33" s="14">
        <v>45791</v>
      </c>
      <c r="AI33" s="14">
        <v>45796</v>
      </c>
      <c r="AJ33" s="2" t="s">
        <v>1131</v>
      </c>
      <c r="AK33" s="2" t="s">
        <v>273</v>
      </c>
    </row>
    <row r="34" spans="1:37" ht="100.8" x14ac:dyDescent="0.3">
      <c r="A34" s="2">
        <v>33</v>
      </c>
      <c r="B34" s="2">
        <v>50126</v>
      </c>
      <c r="C34" s="8" t="s">
        <v>1137</v>
      </c>
      <c r="D34" s="8" t="s">
        <v>1138</v>
      </c>
      <c r="E34" s="107" t="s">
        <v>1139</v>
      </c>
      <c r="F34" s="2" t="s">
        <v>1140</v>
      </c>
      <c r="G34" s="2" t="s">
        <v>142</v>
      </c>
      <c r="H34" s="2" t="s">
        <v>683</v>
      </c>
      <c r="I34" s="2" t="s">
        <v>1167</v>
      </c>
      <c r="J34" s="1">
        <f t="shared" si="0"/>
        <v>1</v>
      </c>
      <c r="K34" s="8" t="s">
        <v>1141</v>
      </c>
      <c r="L34" s="15"/>
      <c r="M34" s="2" t="s">
        <v>1154</v>
      </c>
      <c r="O34" s="2" t="s">
        <v>382</v>
      </c>
      <c r="P34" s="2" t="s">
        <v>199</v>
      </c>
      <c r="Q34" s="102" t="s">
        <v>1142</v>
      </c>
      <c r="T34" s="2" t="s">
        <v>1143</v>
      </c>
      <c r="U34" s="2">
        <v>3</v>
      </c>
      <c r="V34" s="2">
        <v>948</v>
      </c>
      <c r="W34" s="14">
        <v>45797</v>
      </c>
      <c r="X34" s="14">
        <v>45797</v>
      </c>
      <c r="Y34" s="14">
        <v>45797</v>
      </c>
      <c r="AA34" s="2">
        <v>2187035</v>
      </c>
      <c r="AB34" s="10">
        <v>45798</v>
      </c>
      <c r="AC34" s="14">
        <v>45798</v>
      </c>
      <c r="AD34" s="9">
        <v>5349370</v>
      </c>
      <c r="AE34" s="9">
        <v>2351583</v>
      </c>
      <c r="AF34" s="10">
        <v>45798</v>
      </c>
      <c r="AG34" s="14">
        <v>45799</v>
      </c>
      <c r="AH34" s="14">
        <v>45799</v>
      </c>
      <c r="AI34" s="14">
        <v>45800</v>
      </c>
      <c r="AJ34" s="2" t="s">
        <v>1168</v>
      </c>
      <c r="AK34" s="2" t="s">
        <v>280</v>
      </c>
    </row>
    <row r="35" spans="1:37" s="9" customFormat="1" ht="28.8" x14ac:dyDescent="0.3">
      <c r="A35" s="2">
        <v>34</v>
      </c>
      <c r="B35" s="2">
        <v>50187</v>
      </c>
      <c r="C35" s="7" t="s">
        <v>1169</v>
      </c>
      <c r="D35" s="7" t="s">
        <v>1170</v>
      </c>
      <c r="E35" s="7" t="s">
        <v>1171</v>
      </c>
      <c r="F35" s="2" t="s">
        <v>1140</v>
      </c>
      <c r="G35" s="2" t="s">
        <v>142</v>
      </c>
      <c r="H35" s="2" t="s">
        <v>683</v>
      </c>
      <c r="I35" s="2" t="s">
        <v>1226</v>
      </c>
      <c r="J35" s="1">
        <f t="shared" si="0"/>
        <v>1</v>
      </c>
      <c r="K35" s="7" t="s">
        <v>1172</v>
      </c>
      <c r="M35" s="2" t="s">
        <v>1223</v>
      </c>
      <c r="O35" s="7" t="s">
        <v>334</v>
      </c>
      <c r="P35" s="1" t="s">
        <v>335</v>
      </c>
      <c r="Q35" s="9" t="s">
        <v>1173</v>
      </c>
      <c r="T35" s="2" t="s">
        <v>483</v>
      </c>
      <c r="U35" s="2">
        <v>7</v>
      </c>
      <c r="V35" s="2">
        <v>2110</v>
      </c>
      <c r="W35" s="14">
        <v>45800</v>
      </c>
      <c r="X35" s="14">
        <v>45801</v>
      </c>
      <c r="Y35" s="14">
        <v>45801</v>
      </c>
      <c r="AA35" s="2">
        <v>2283989</v>
      </c>
      <c r="AB35" s="14">
        <v>45803</v>
      </c>
      <c r="AC35" s="14">
        <v>45803</v>
      </c>
      <c r="AD35" s="2">
        <v>11852525</v>
      </c>
      <c r="AE35" s="2">
        <v>5210370</v>
      </c>
      <c r="AF35" s="10">
        <v>45803</v>
      </c>
      <c r="AG35" s="10">
        <v>45804</v>
      </c>
      <c r="AH35" s="10">
        <v>45804</v>
      </c>
      <c r="AI35" s="14">
        <v>45805</v>
      </c>
      <c r="AJ35" s="2" t="s">
        <v>1225</v>
      </c>
      <c r="AK35" s="2" t="s">
        <v>280</v>
      </c>
    </row>
    <row r="36" spans="1:37" ht="72" x14ac:dyDescent="0.3">
      <c r="A36" s="2">
        <v>35</v>
      </c>
      <c r="B36" s="2">
        <v>50188</v>
      </c>
      <c r="C36" s="8" t="s">
        <v>1174</v>
      </c>
      <c r="D36" s="110" t="s">
        <v>1175</v>
      </c>
      <c r="E36" s="7" t="s">
        <v>1176</v>
      </c>
      <c r="F36" s="2" t="s">
        <v>1140</v>
      </c>
      <c r="G36" s="2" t="s">
        <v>142</v>
      </c>
      <c r="H36" s="2" t="s">
        <v>683</v>
      </c>
      <c r="I36" s="2" t="s">
        <v>1236</v>
      </c>
      <c r="J36" s="1">
        <f t="shared" si="0"/>
        <v>1</v>
      </c>
      <c r="K36" s="8" t="s">
        <v>1177</v>
      </c>
      <c r="L36" s="15"/>
      <c r="M36" s="2" t="s">
        <v>1222</v>
      </c>
      <c r="O36" s="2" t="s">
        <v>382</v>
      </c>
      <c r="P36" s="2" t="s">
        <v>199</v>
      </c>
      <c r="Q36" s="2" t="s">
        <v>1178</v>
      </c>
      <c r="T36" s="2" t="s">
        <v>483</v>
      </c>
      <c r="U36" s="2">
        <v>2</v>
      </c>
      <c r="V36" s="2">
        <v>456</v>
      </c>
      <c r="W36" s="14">
        <v>45800</v>
      </c>
      <c r="X36" s="14">
        <v>45801</v>
      </c>
      <c r="Y36" s="14">
        <v>45801</v>
      </c>
      <c r="AA36" s="2">
        <v>2283993</v>
      </c>
      <c r="AB36" s="14">
        <v>45803</v>
      </c>
      <c r="AC36" s="14">
        <v>45803</v>
      </c>
      <c r="AD36" s="2">
        <v>2517350</v>
      </c>
      <c r="AE36" s="2">
        <v>1106627</v>
      </c>
      <c r="AF36" s="14">
        <v>45803</v>
      </c>
      <c r="AG36" s="14">
        <v>45804</v>
      </c>
      <c r="AH36" s="10">
        <v>45804</v>
      </c>
      <c r="AI36" s="14">
        <v>45805</v>
      </c>
      <c r="AJ36" s="2" t="s">
        <v>1235</v>
      </c>
      <c r="AK36" s="2" t="s">
        <v>280</v>
      </c>
    </row>
    <row r="37" spans="1:37" x14ac:dyDescent="0.3">
      <c r="A37" s="2">
        <v>36</v>
      </c>
      <c r="B37" s="2">
        <v>50172</v>
      </c>
      <c r="C37" s="1">
        <v>250512983</v>
      </c>
      <c r="D37" s="3">
        <v>45799</v>
      </c>
      <c r="E37" s="45">
        <v>15960</v>
      </c>
      <c r="F37" s="2" t="s">
        <v>1161</v>
      </c>
      <c r="G37" s="2" t="s">
        <v>142</v>
      </c>
      <c r="H37" s="2" t="s">
        <v>677</v>
      </c>
      <c r="I37" s="2" t="s">
        <v>1267</v>
      </c>
      <c r="J37" s="1">
        <f t="shared" si="0"/>
        <v>1</v>
      </c>
      <c r="K37" s="1" t="s">
        <v>1162</v>
      </c>
      <c r="L37" s="15"/>
      <c r="O37" s="2" t="s">
        <v>818</v>
      </c>
      <c r="P37" s="2" t="s">
        <v>204</v>
      </c>
      <c r="Q37" s="84" t="s">
        <v>1164</v>
      </c>
      <c r="R37" s="15" t="s">
        <v>1163</v>
      </c>
      <c r="T37" s="1" t="s">
        <v>179</v>
      </c>
      <c r="U37" s="1">
        <v>1</v>
      </c>
      <c r="V37" s="1">
        <v>143</v>
      </c>
      <c r="W37" s="5">
        <v>45800</v>
      </c>
      <c r="X37" s="5">
        <v>45800</v>
      </c>
      <c r="Y37" s="5">
        <v>45800</v>
      </c>
      <c r="AA37" s="2">
        <v>2290204</v>
      </c>
      <c r="AB37" s="32">
        <v>45803</v>
      </c>
      <c r="AC37" s="14">
        <v>45809</v>
      </c>
      <c r="AD37" s="2">
        <v>1378944</v>
      </c>
      <c r="AE37" s="2">
        <v>248210</v>
      </c>
      <c r="AF37" s="32">
        <v>45804</v>
      </c>
      <c r="AG37" s="32">
        <v>45805</v>
      </c>
      <c r="AH37" s="32">
        <v>45810</v>
      </c>
      <c r="AI37" s="14">
        <v>45811</v>
      </c>
      <c r="AJ37" s="2" t="s">
        <v>1268</v>
      </c>
      <c r="AK37" s="1" t="s">
        <v>273</v>
      </c>
    </row>
    <row r="38" spans="1:37" x14ac:dyDescent="0.3">
      <c r="A38" s="2">
        <v>37</v>
      </c>
      <c r="B38" s="2">
        <v>50173</v>
      </c>
      <c r="C38" s="1">
        <v>250512712</v>
      </c>
      <c r="D38" s="3">
        <v>45799</v>
      </c>
      <c r="E38" s="2">
        <v>12600</v>
      </c>
      <c r="F38" s="2" t="s">
        <v>1161</v>
      </c>
      <c r="G38" s="2" t="s">
        <v>142</v>
      </c>
      <c r="H38" s="2" t="s">
        <v>677</v>
      </c>
      <c r="I38" s="2" t="s">
        <v>1267</v>
      </c>
      <c r="J38" s="1">
        <f t="shared" si="0"/>
        <v>1</v>
      </c>
      <c r="K38" s="1" t="s">
        <v>1165</v>
      </c>
      <c r="L38" s="15"/>
      <c r="O38" s="2" t="s">
        <v>818</v>
      </c>
      <c r="P38" s="2" t="s">
        <v>204</v>
      </c>
      <c r="Q38" s="84" t="s">
        <v>1164</v>
      </c>
      <c r="R38" s="15" t="s">
        <v>1166</v>
      </c>
      <c r="T38" s="1" t="s">
        <v>179</v>
      </c>
      <c r="U38" s="1">
        <v>1</v>
      </c>
      <c r="V38" s="1">
        <v>143</v>
      </c>
      <c r="W38" s="5">
        <v>45800</v>
      </c>
      <c r="X38" s="5">
        <v>45800</v>
      </c>
      <c r="Y38" s="5">
        <v>45800</v>
      </c>
      <c r="AA38" s="2">
        <v>2290203</v>
      </c>
      <c r="AB38" s="32">
        <v>45803</v>
      </c>
      <c r="AC38" s="14">
        <v>45809</v>
      </c>
      <c r="AD38" s="2">
        <v>1088640</v>
      </c>
      <c r="AE38" s="2">
        <v>195955</v>
      </c>
      <c r="AF38" s="32">
        <v>45804</v>
      </c>
      <c r="AG38" s="32">
        <v>45805</v>
      </c>
      <c r="AH38" s="32">
        <v>45810</v>
      </c>
      <c r="AI38" s="14">
        <v>45811</v>
      </c>
      <c r="AJ38" s="2" t="s">
        <v>1268</v>
      </c>
      <c r="AK38" s="1" t="s">
        <v>273</v>
      </c>
    </row>
    <row r="39" spans="1:37" ht="72" x14ac:dyDescent="0.3">
      <c r="A39" s="2">
        <v>38</v>
      </c>
      <c r="B39" s="2">
        <v>50253</v>
      </c>
      <c r="C39" s="8" t="s">
        <v>1237</v>
      </c>
      <c r="D39" s="4">
        <v>45805</v>
      </c>
      <c r="E39" s="7" t="s">
        <v>1238</v>
      </c>
      <c r="F39" s="2" t="s">
        <v>1140</v>
      </c>
      <c r="G39" s="2" t="s">
        <v>142</v>
      </c>
      <c r="H39" s="2" t="s">
        <v>683</v>
      </c>
      <c r="I39" s="7" t="s">
        <v>1269</v>
      </c>
      <c r="J39" s="1">
        <f t="shared" si="0"/>
        <v>1</v>
      </c>
      <c r="K39" s="8" t="s">
        <v>1239</v>
      </c>
      <c r="L39" s="15"/>
      <c r="O39" s="2" t="s">
        <v>382</v>
      </c>
      <c r="P39" s="2" t="s">
        <v>199</v>
      </c>
      <c r="Q39" s="2" t="s">
        <v>1240</v>
      </c>
      <c r="T39" s="2" t="s">
        <v>483</v>
      </c>
      <c r="U39" s="2">
        <v>5</v>
      </c>
      <c r="V39" s="1"/>
      <c r="W39" s="14">
        <v>45807</v>
      </c>
      <c r="X39" s="14">
        <v>45807</v>
      </c>
      <c r="Y39" s="14">
        <v>45808</v>
      </c>
      <c r="AA39" s="2">
        <v>2395219</v>
      </c>
      <c r="AB39" s="14">
        <v>45808</v>
      </c>
      <c r="AC39" s="14">
        <v>45809</v>
      </c>
      <c r="AD39" s="2">
        <v>9230285</v>
      </c>
      <c r="AE39" s="2">
        <v>4057634</v>
      </c>
      <c r="AF39" s="10">
        <v>45808</v>
      </c>
      <c r="AG39" s="14">
        <v>45810</v>
      </c>
      <c r="AH39" s="14">
        <v>45810</v>
      </c>
      <c r="AI39" s="14">
        <v>45811</v>
      </c>
      <c r="AJ39" s="2" t="s">
        <v>398</v>
      </c>
      <c r="AK39" s="2" t="s">
        <v>280</v>
      </c>
    </row>
    <row r="40" spans="1:37" x14ac:dyDescent="0.3">
      <c r="A40" s="2">
        <v>39</v>
      </c>
      <c r="B40" s="2">
        <v>50227</v>
      </c>
      <c r="C40" s="1">
        <v>250515322</v>
      </c>
      <c r="D40" s="3">
        <v>45804</v>
      </c>
      <c r="E40" s="45">
        <v>77034.55</v>
      </c>
      <c r="F40" s="2" t="s">
        <v>1161</v>
      </c>
      <c r="G40" s="2" t="s">
        <v>142</v>
      </c>
      <c r="H40" s="2" t="s">
        <v>677</v>
      </c>
      <c r="I40" s="2" t="s">
        <v>1297</v>
      </c>
      <c r="J40" s="1">
        <f t="shared" si="0"/>
        <v>0</v>
      </c>
      <c r="K40" s="1" t="s">
        <v>1207</v>
      </c>
      <c r="L40" s="15"/>
      <c r="O40" s="2" t="s">
        <v>818</v>
      </c>
      <c r="P40" s="2" t="s">
        <v>204</v>
      </c>
      <c r="Q40" s="15" t="s">
        <v>1208</v>
      </c>
      <c r="R40" s="15" t="s">
        <v>1209</v>
      </c>
      <c r="T40" s="1" t="s">
        <v>179</v>
      </c>
      <c r="U40" s="1">
        <v>1</v>
      </c>
      <c r="V40" s="1">
        <v>26</v>
      </c>
      <c r="W40" s="5">
        <v>45805</v>
      </c>
      <c r="X40" s="5">
        <v>45805</v>
      </c>
      <c r="Y40" s="5">
        <v>45805</v>
      </c>
      <c r="AA40" s="2">
        <v>2371494</v>
      </c>
      <c r="AB40" s="32">
        <v>45807</v>
      </c>
      <c r="AC40" s="14">
        <v>45812</v>
      </c>
      <c r="AD40" s="2">
        <v>6655785</v>
      </c>
      <c r="AE40" s="2">
        <v>2925883</v>
      </c>
      <c r="AF40" s="32">
        <v>45810</v>
      </c>
      <c r="AG40" s="32">
        <v>45811</v>
      </c>
      <c r="AH40" s="32">
        <v>45812</v>
      </c>
      <c r="AI40" s="14">
        <v>45812</v>
      </c>
      <c r="AJ40" s="2" t="s">
        <v>1296</v>
      </c>
      <c r="AK40" s="1" t="s">
        <v>273</v>
      </c>
    </row>
    <row r="41" spans="1:37" x14ac:dyDescent="0.3">
      <c r="A41" s="2">
        <v>40</v>
      </c>
      <c r="B41" s="2">
        <v>50312</v>
      </c>
      <c r="C41" s="1" t="s">
        <v>1281</v>
      </c>
      <c r="D41" s="3">
        <v>45772</v>
      </c>
      <c r="E41" s="45">
        <v>48560</v>
      </c>
      <c r="F41" s="2" t="s">
        <v>1140</v>
      </c>
      <c r="G41" s="2" t="s">
        <v>142</v>
      </c>
      <c r="H41" s="2" t="s">
        <v>683</v>
      </c>
      <c r="I41" s="2" t="s">
        <v>1324</v>
      </c>
      <c r="J41" s="1">
        <f t="shared" si="0"/>
        <v>1</v>
      </c>
      <c r="K41" s="1" t="s">
        <v>1282</v>
      </c>
      <c r="L41" s="15"/>
      <c r="M41" s="88" t="s">
        <v>1309</v>
      </c>
      <c r="O41" s="2" t="s">
        <v>382</v>
      </c>
      <c r="P41" s="2" t="s">
        <v>199</v>
      </c>
      <c r="Q41" s="9" t="s">
        <v>1280</v>
      </c>
      <c r="T41" s="2" t="s">
        <v>483</v>
      </c>
      <c r="U41" s="1">
        <v>3</v>
      </c>
      <c r="V41" s="1">
        <v>756</v>
      </c>
      <c r="W41" s="14">
        <v>45812</v>
      </c>
      <c r="X41" s="14">
        <v>45812</v>
      </c>
      <c r="Y41" s="5">
        <v>45812</v>
      </c>
      <c r="AA41" s="2">
        <v>2477736</v>
      </c>
      <c r="AB41" s="116">
        <v>45813</v>
      </c>
      <c r="AC41" s="14">
        <v>45813</v>
      </c>
      <c r="AD41" s="88" t="s">
        <v>1301</v>
      </c>
      <c r="AE41" s="2" t="s">
        <v>1302</v>
      </c>
      <c r="AF41" s="32">
        <v>45813</v>
      </c>
      <c r="AG41" s="5">
        <v>45814</v>
      </c>
      <c r="AH41" s="5">
        <v>45814</v>
      </c>
      <c r="AI41" s="14">
        <v>45814</v>
      </c>
      <c r="AJ41" s="2" t="s">
        <v>398</v>
      </c>
      <c r="AK41" s="1" t="s">
        <v>280</v>
      </c>
    </row>
    <row r="42" spans="1:37" x14ac:dyDescent="0.3">
      <c r="A42" s="2">
        <v>41</v>
      </c>
      <c r="B42" s="2">
        <v>50251</v>
      </c>
      <c r="C42" s="1">
        <v>250516140</v>
      </c>
      <c r="D42" s="3">
        <v>45806</v>
      </c>
      <c r="E42" s="45">
        <v>10437.4</v>
      </c>
      <c r="F42" s="2" t="s">
        <v>1161</v>
      </c>
      <c r="G42" s="2" t="s">
        <v>142</v>
      </c>
      <c r="H42" s="2" t="s">
        <v>677</v>
      </c>
      <c r="I42" s="2" t="s">
        <v>1323</v>
      </c>
      <c r="J42" s="1">
        <f t="shared" si="0"/>
        <v>0</v>
      </c>
      <c r="K42" s="1" t="s">
        <v>1241</v>
      </c>
      <c r="L42" s="15"/>
      <c r="M42" s="1"/>
      <c r="O42" s="2" t="s">
        <v>818</v>
      </c>
      <c r="P42" s="2" t="s">
        <v>204</v>
      </c>
      <c r="Q42" s="15" t="s">
        <v>1242</v>
      </c>
      <c r="R42" s="15" t="s">
        <v>1243</v>
      </c>
      <c r="T42" s="1" t="s">
        <v>179</v>
      </c>
      <c r="U42" s="1">
        <v>2</v>
      </c>
      <c r="V42" s="1">
        <v>4</v>
      </c>
      <c r="W42" s="5">
        <v>45807</v>
      </c>
      <c r="X42" s="5">
        <v>45807</v>
      </c>
      <c r="Y42" s="5">
        <v>45807</v>
      </c>
      <c r="AA42" s="2">
        <v>2419769</v>
      </c>
      <c r="AB42" s="32">
        <v>45810</v>
      </c>
      <c r="AC42" s="14">
        <v>45814</v>
      </c>
      <c r="AD42" s="2">
        <v>901791</v>
      </c>
      <c r="AE42" s="2">
        <v>386966</v>
      </c>
      <c r="AF42" s="32">
        <v>45810</v>
      </c>
      <c r="AG42" s="5">
        <v>45811</v>
      </c>
      <c r="AH42" s="14">
        <v>45814</v>
      </c>
      <c r="AI42" s="14">
        <v>45814</v>
      </c>
      <c r="AJ42" s="2" t="s">
        <v>1322</v>
      </c>
      <c r="AK42" s="1" t="s">
        <v>273</v>
      </c>
    </row>
    <row r="43" spans="1:37" s="9" customFormat="1" ht="43.2" x14ac:dyDescent="0.3">
      <c r="A43" s="2">
        <v>42</v>
      </c>
      <c r="B43" s="2">
        <v>50309</v>
      </c>
      <c r="C43" s="7" t="s">
        <v>1276</v>
      </c>
      <c r="D43" s="11" t="s">
        <v>1277</v>
      </c>
      <c r="E43" s="115" t="s">
        <v>1278</v>
      </c>
      <c r="F43" s="2" t="s">
        <v>1140</v>
      </c>
      <c r="G43" s="2" t="s">
        <v>142</v>
      </c>
      <c r="H43" s="2" t="s">
        <v>683</v>
      </c>
      <c r="I43" s="2" t="s">
        <v>1325</v>
      </c>
      <c r="J43" s="1">
        <f t="shared" si="0"/>
        <v>1</v>
      </c>
      <c r="K43" s="7" t="s">
        <v>1279</v>
      </c>
      <c r="M43" s="2">
        <v>2141</v>
      </c>
      <c r="O43" s="7" t="s">
        <v>334</v>
      </c>
      <c r="P43" s="1" t="s">
        <v>335</v>
      </c>
      <c r="Q43" s="9" t="s">
        <v>1300</v>
      </c>
      <c r="T43" s="2" t="s">
        <v>483</v>
      </c>
      <c r="U43" s="2">
        <v>7</v>
      </c>
      <c r="V43" s="2">
        <v>2120</v>
      </c>
      <c r="W43" s="14">
        <v>45812</v>
      </c>
      <c r="X43" s="14">
        <v>45812</v>
      </c>
      <c r="Y43" s="14">
        <v>45812</v>
      </c>
      <c r="AA43" s="2">
        <v>2478054</v>
      </c>
      <c r="AB43" s="10">
        <v>45813</v>
      </c>
      <c r="AC43" s="14">
        <v>45813</v>
      </c>
      <c r="AD43" s="2">
        <v>11852525</v>
      </c>
      <c r="AE43" s="2">
        <v>5210371</v>
      </c>
      <c r="AF43" s="10">
        <v>45813</v>
      </c>
      <c r="AG43" s="14">
        <v>45814</v>
      </c>
      <c r="AH43" s="14">
        <v>45814</v>
      </c>
      <c r="AI43" s="14">
        <v>45814</v>
      </c>
      <c r="AJ43" s="2" t="s">
        <v>1326</v>
      </c>
      <c r="AK43" s="2" t="s">
        <v>280</v>
      </c>
    </row>
    <row r="44" spans="1:37" s="9" customFormat="1" ht="28.8" x14ac:dyDescent="0.3">
      <c r="A44" s="2">
        <v>43</v>
      </c>
      <c r="B44" s="2">
        <v>50374</v>
      </c>
      <c r="C44" s="7" t="s">
        <v>1351</v>
      </c>
      <c r="D44" s="4">
        <v>45814</v>
      </c>
      <c r="E44" s="7" t="s">
        <v>1352</v>
      </c>
      <c r="F44" s="2" t="s">
        <v>1140</v>
      </c>
      <c r="G44" s="2" t="s">
        <v>142</v>
      </c>
      <c r="H44" s="2" t="s">
        <v>683</v>
      </c>
      <c r="I44" s="2" t="s">
        <v>1408</v>
      </c>
      <c r="J44" s="1">
        <f t="shared" si="0"/>
        <v>1</v>
      </c>
      <c r="K44" s="7" t="s">
        <v>1353</v>
      </c>
      <c r="M44" s="2"/>
      <c r="O44" s="2" t="s">
        <v>382</v>
      </c>
      <c r="P44" s="2" t="s">
        <v>199</v>
      </c>
      <c r="Q44" s="2" t="s">
        <v>1354</v>
      </c>
      <c r="T44" s="2" t="s">
        <v>483</v>
      </c>
      <c r="U44" s="2">
        <v>7</v>
      </c>
      <c r="V44" s="2">
        <v>2234</v>
      </c>
      <c r="W44" s="14">
        <v>45818</v>
      </c>
      <c r="X44" s="14">
        <v>45818</v>
      </c>
      <c r="Y44" s="14">
        <v>45818</v>
      </c>
      <c r="AA44" s="2">
        <v>2602325</v>
      </c>
      <c r="AB44" s="2" t="s">
        <v>1373</v>
      </c>
      <c r="AC44" s="14">
        <v>45820</v>
      </c>
      <c r="AD44" s="2" t="s">
        <v>1374</v>
      </c>
      <c r="AE44" s="2" t="s">
        <v>1375</v>
      </c>
      <c r="AF44" s="10">
        <v>45820</v>
      </c>
      <c r="AG44" s="14">
        <v>45820</v>
      </c>
      <c r="AH44" s="14">
        <v>45821</v>
      </c>
      <c r="AI44" s="14">
        <v>45821</v>
      </c>
      <c r="AJ44" s="2" t="s">
        <v>1407</v>
      </c>
      <c r="AK44" s="2" t="s">
        <v>280</v>
      </c>
    </row>
    <row r="45" spans="1:37" x14ac:dyDescent="0.3">
      <c r="A45" s="2">
        <v>44</v>
      </c>
      <c r="B45" s="2">
        <v>50343</v>
      </c>
      <c r="C45" s="1">
        <v>250604258</v>
      </c>
      <c r="D45" s="3">
        <v>45813</v>
      </c>
      <c r="E45" s="2">
        <v>1229.5999999999999</v>
      </c>
      <c r="F45" s="2" t="s">
        <v>1161</v>
      </c>
      <c r="G45" s="2" t="s">
        <v>142</v>
      </c>
      <c r="H45" s="2" t="s">
        <v>677</v>
      </c>
      <c r="I45" s="120" t="s">
        <v>1575</v>
      </c>
      <c r="J45" s="1">
        <f t="shared" si="0"/>
        <v>1</v>
      </c>
      <c r="K45" s="1" t="s">
        <v>1310</v>
      </c>
      <c r="L45" s="1">
        <v>900</v>
      </c>
      <c r="M45" s="1">
        <v>16</v>
      </c>
      <c r="O45" s="2" t="s">
        <v>818</v>
      </c>
      <c r="P45" s="2" t="s">
        <v>204</v>
      </c>
      <c r="Q45" s="15" t="s">
        <v>1311</v>
      </c>
      <c r="R45" s="15" t="s">
        <v>1312</v>
      </c>
      <c r="T45" s="1" t="s">
        <v>179</v>
      </c>
      <c r="U45" s="1">
        <v>2</v>
      </c>
      <c r="V45" s="1">
        <v>51.5</v>
      </c>
      <c r="W45" s="5">
        <v>45814</v>
      </c>
      <c r="X45" s="5">
        <v>45814</v>
      </c>
      <c r="Y45" s="5">
        <v>45814</v>
      </c>
      <c r="AA45" s="2">
        <v>2590565</v>
      </c>
      <c r="AB45" s="32">
        <v>45819</v>
      </c>
      <c r="AC45" s="14">
        <v>45820</v>
      </c>
      <c r="AD45" s="2">
        <v>106668</v>
      </c>
      <c r="AE45" s="2">
        <v>39968</v>
      </c>
      <c r="AF45" s="32">
        <v>45819</v>
      </c>
      <c r="AG45" s="5">
        <v>45821</v>
      </c>
      <c r="AH45" s="5">
        <v>45821</v>
      </c>
      <c r="AI45" s="14">
        <v>45822</v>
      </c>
      <c r="AJ45" s="1" t="s">
        <v>1409</v>
      </c>
      <c r="AK45" s="1" t="s">
        <v>282</v>
      </c>
    </row>
    <row r="46" spans="1:37" x14ac:dyDescent="0.3">
      <c r="A46" s="2">
        <v>45</v>
      </c>
      <c r="B46" s="2">
        <v>50344</v>
      </c>
      <c r="C46" s="1">
        <v>250604254</v>
      </c>
      <c r="D46" s="3">
        <v>45813</v>
      </c>
      <c r="E46" s="2">
        <v>761.08</v>
      </c>
      <c r="F46" s="2" t="s">
        <v>1161</v>
      </c>
      <c r="G46" s="2" t="s">
        <v>142</v>
      </c>
      <c r="H46" s="2" t="s">
        <v>677</v>
      </c>
      <c r="I46" s="120" t="s">
        <v>1575</v>
      </c>
      <c r="J46" s="1">
        <f t="shared" si="0"/>
        <v>1</v>
      </c>
      <c r="K46" s="1" t="s">
        <v>1313</v>
      </c>
      <c r="L46" s="1">
        <v>3490</v>
      </c>
      <c r="M46" s="1">
        <v>12</v>
      </c>
      <c r="O46" s="2" t="s">
        <v>818</v>
      </c>
      <c r="P46" s="2" t="s">
        <v>204</v>
      </c>
      <c r="Q46" s="15" t="s">
        <v>1311</v>
      </c>
      <c r="R46" s="15" t="s">
        <v>1314</v>
      </c>
      <c r="T46" s="1" t="s">
        <v>179</v>
      </c>
      <c r="U46" s="1">
        <v>1</v>
      </c>
      <c r="V46" s="1">
        <v>1.5</v>
      </c>
      <c r="W46" s="5">
        <v>45814</v>
      </c>
      <c r="X46" s="5">
        <v>45814</v>
      </c>
      <c r="Y46" s="5">
        <v>45814</v>
      </c>
      <c r="AA46" s="2">
        <v>2588151</v>
      </c>
      <c r="AB46" s="32">
        <v>45819</v>
      </c>
      <c r="AC46" s="14">
        <v>45820</v>
      </c>
      <c r="AD46" s="2">
        <v>66024</v>
      </c>
      <c r="AE46" s="2">
        <v>29025</v>
      </c>
      <c r="AF46" s="32">
        <v>45819</v>
      </c>
      <c r="AG46" s="5">
        <v>45821</v>
      </c>
      <c r="AH46" s="5">
        <v>45821</v>
      </c>
      <c r="AI46" s="14">
        <v>45822</v>
      </c>
      <c r="AJ46" s="1" t="s">
        <v>1409</v>
      </c>
      <c r="AK46" s="1" t="s">
        <v>282</v>
      </c>
    </row>
    <row r="47" spans="1:37" x14ac:dyDescent="0.3">
      <c r="A47" s="2">
        <v>46</v>
      </c>
      <c r="B47" s="2">
        <v>50422</v>
      </c>
      <c r="C47" s="1">
        <v>250609450</v>
      </c>
      <c r="D47" s="3">
        <v>45819</v>
      </c>
      <c r="E47" s="2">
        <v>371</v>
      </c>
      <c r="F47" s="2" t="s">
        <v>1161</v>
      </c>
      <c r="G47" s="2" t="s">
        <v>142</v>
      </c>
      <c r="H47" s="2" t="s">
        <v>677</v>
      </c>
      <c r="I47" s="1" t="s">
        <v>1453</v>
      </c>
      <c r="J47" s="1">
        <f t="shared" si="0"/>
        <v>1</v>
      </c>
      <c r="K47" s="1" t="s">
        <v>1310</v>
      </c>
      <c r="L47" s="15"/>
      <c r="M47" s="1"/>
      <c r="O47" s="2" t="s">
        <v>818</v>
      </c>
      <c r="P47" s="2" t="s">
        <v>204</v>
      </c>
      <c r="Q47" s="15" t="s">
        <v>1396</v>
      </c>
      <c r="R47" s="15" t="s">
        <v>1395</v>
      </c>
      <c r="T47" s="1" t="s">
        <v>179</v>
      </c>
      <c r="U47" s="1">
        <v>1</v>
      </c>
      <c r="V47" s="1">
        <v>4</v>
      </c>
      <c r="W47" s="5">
        <v>45821</v>
      </c>
      <c r="X47" s="5">
        <v>45821</v>
      </c>
      <c r="Y47" s="5">
        <v>45821</v>
      </c>
      <c r="AA47" s="2">
        <v>2674998</v>
      </c>
      <c r="AB47" s="32">
        <v>45824</v>
      </c>
      <c r="AC47" s="14">
        <v>45825</v>
      </c>
      <c r="AD47" s="2">
        <v>32184</v>
      </c>
      <c r="AE47" s="2">
        <v>12060</v>
      </c>
      <c r="AF47" s="32">
        <v>45824</v>
      </c>
      <c r="AG47" s="5">
        <v>45825</v>
      </c>
      <c r="AH47" s="32">
        <v>45826</v>
      </c>
      <c r="AI47" s="14">
        <v>45826</v>
      </c>
      <c r="AJ47" s="1" t="s">
        <v>1454</v>
      </c>
      <c r="AK47" s="1" t="s">
        <v>273</v>
      </c>
    </row>
    <row r="48" spans="1:37" x14ac:dyDescent="0.3">
      <c r="A48" s="2">
        <v>47</v>
      </c>
      <c r="B48" s="2">
        <v>50450</v>
      </c>
      <c r="C48" s="1">
        <v>250611123</v>
      </c>
      <c r="D48" s="3">
        <v>45821</v>
      </c>
      <c r="E48" s="2">
        <v>1533.6</v>
      </c>
      <c r="F48" s="2" t="s">
        <v>1161</v>
      </c>
      <c r="G48" s="2" t="s">
        <v>142</v>
      </c>
      <c r="H48" s="2" t="s">
        <v>677</v>
      </c>
      <c r="I48" s="1" t="s">
        <v>1484</v>
      </c>
      <c r="J48" s="1">
        <f t="shared" si="0"/>
        <v>1</v>
      </c>
      <c r="K48" s="1" t="s">
        <v>1423</v>
      </c>
      <c r="L48" s="15"/>
      <c r="M48" s="1"/>
      <c r="O48" s="1" t="s">
        <v>818</v>
      </c>
      <c r="P48" s="1" t="s">
        <v>204</v>
      </c>
      <c r="Q48" s="15" t="s">
        <v>1424</v>
      </c>
      <c r="R48" s="15" t="s">
        <v>1425</v>
      </c>
      <c r="T48" s="1" t="s">
        <v>179</v>
      </c>
      <c r="U48" s="1">
        <v>2</v>
      </c>
      <c r="V48" s="1">
        <v>3.5</v>
      </c>
      <c r="W48" s="5">
        <v>45822</v>
      </c>
      <c r="X48" s="14">
        <v>45824</v>
      </c>
      <c r="Y48" s="5">
        <v>45824</v>
      </c>
      <c r="AA48" s="2">
        <v>2714281</v>
      </c>
      <c r="AB48" s="32">
        <v>45825</v>
      </c>
      <c r="AC48" s="14">
        <v>45828</v>
      </c>
      <c r="AD48" s="2">
        <v>133040</v>
      </c>
      <c r="AE48" s="2">
        <v>53369</v>
      </c>
      <c r="AF48" s="32">
        <v>45826</v>
      </c>
      <c r="AG48" s="5">
        <v>45826</v>
      </c>
      <c r="AH48" s="32">
        <v>45829</v>
      </c>
      <c r="AI48" s="14">
        <v>45831</v>
      </c>
      <c r="AJ48" s="1" t="s">
        <v>1485</v>
      </c>
      <c r="AK48" s="1" t="s">
        <v>273</v>
      </c>
    </row>
    <row r="49" spans="1:45" x14ac:dyDescent="0.3">
      <c r="A49" s="2">
        <v>48</v>
      </c>
      <c r="B49" s="2">
        <v>50496</v>
      </c>
      <c r="C49" s="1">
        <v>250605817</v>
      </c>
      <c r="D49" s="3">
        <v>45825</v>
      </c>
      <c r="E49" s="2">
        <v>750</v>
      </c>
      <c r="F49" s="2" t="s">
        <v>1161</v>
      </c>
      <c r="G49" s="2" t="s">
        <v>142</v>
      </c>
      <c r="H49" s="2" t="s">
        <v>677</v>
      </c>
      <c r="I49" s="1" t="s">
        <v>1526</v>
      </c>
      <c r="J49" s="1">
        <f t="shared" si="0"/>
        <v>1</v>
      </c>
      <c r="K49" s="1" t="s">
        <v>1444</v>
      </c>
      <c r="L49" s="15"/>
      <c r="M49" s="1"/>
      <c r="O49" s="1" t="s">
        <v>818</v>
      </c>
      <c r="P49" s="1" t="s">
        <v>204</v>
      </c>
      <c r="Q49" s="15" t="s">
        <v>1445</v>
      </c>
      <c r="R49" s="15" t="s">
        <v>1446</v>
      </c>
      <c r="T49" s="1" t="s">
        <v>179</v>
      </c>
      <c r="U49" s="1">
        <v>1</v>
      </c>
      <c r="V49" s="1">
        <v>1.5</v>
      </c>
      <c r="W49" s="5">
        <v>45826</v>
      </c>
      <c r="X49" s="14">
        <v>45826</v>
      </c>
      <c r="Y49" s="5">
        <v>45827</v>
      </c>
      <c r="AA49" s="2">
        <v>2773765</v>
      </c>
      <c r="AB49" s="32">
        <v>45828</v>
      </c>
      <c r="AC49" s="14">
        <v>45835</v>
      </c>
      <c r="AD49" s="2">
        <v>65738</v>
      </c>
      <c r="AE49" s="2">
        <v>28899</v>
      </c>
      <c r="AF49" s="32">
        <v>45828</v>
      </c>
      <c r="AG49" s="5">
        <v>45831</v>
      </c>
      <c r="AH49" s="32">
        <v>45836</v>
      </c>
      <c r="AI49" s="14">
        <v>45838</v>
      </c>
      <c r="AJ49" s="1" t="s">
        <v>1527</v>
      </c>
      <c r="AK49" s="1" t="s">
        <v>282</v>
      </c>
    </row>
    <row r="50" spans="1:45" x14ac:dyDescent="0.3">
      <c r="A50" s="2">
        <v>49</v>
      </c>
      <c r="B50" s="2">
        <v>50497</v>
      </c>
      <c r="C50" s="1">
        <v>250605868</v>
      </c>
      <c r="D50" s="3">
        <v>45825</v>
      </c>
      <c r="E50" s="2">
        <v>3000</v>
      </c>
      <c r="F50" s="2" t="s">
        <v>1161</v>
      </c>
      <c r="G50" s="2" t="s">
        <v>142</v>
      </c>
      <c r="H50" s="2" t="s">
        <v>677</v>
      </c>
      <c r="I50" s="1" t="s">
        <v>1526</v>
      </c>
      <c r="J50" s="1">
        <f t="shared" si="0"/>
        <v>1</v>
      </c>
      <c r="K50" s="1" t="s">
        <v>1447</v>
      </c>
      <c r="L50" s="15"/>
      <c r="M50" s="1"/>
      <c r="O50" s="1" t="s">
        <v>818</v>
      </c>
      <c r="P50" s="1" t="s">
        <v>204</v>
      </c>
      <c r="Q50" s="15" t="s">
        <v>1445</v>
      </c>
      <c r="R50" s="15" t="s">
        <v>1448</v>
      </c>
      <c r="T50" s="1" t="s">
        <v>179</v>
      </c>
      <c r="U50" s="1">
        <v>1</v>
      </c>
      <c r="V50" s="1">
        <v>1.5</v>
      </c>
      <c r="W50" s="5">
        <v>45826</v>
      </c>
      <c r="X50" s="14">
        <v>45826</v>
      </c>
      <c r="Y50" s="5">
        <v>45827</v>
      </c>
      <c r="AA50" s="2">
        <v>2773760</v>
      </c>
      <c r="AB50" s="32">
        <v>45828</v>
      </c>
      <c r="AC50" s="14">
        <v>45835</v>
      </c>
      <c r="AD50" s="2">
        <v>262950</v>
      </c>
      <c r="AE50" s="2">
        <v>115593</v>
      </c>
      <c r="AF50" s="32">
        <v>45828</v>
      </c>
      <c r="AG50" s="5">
        <v>45831</v>
      </c>
      <c r="AH50" s="32">
        <v>45836</v>
      </c>
      <c r="AI50" s="14">
        <v>45838</v>
      </c>
      <c r="AJ50" s="1" t="s">
        <v>1527</v>
      </c>
      <c r="AK50" s="1" t="s">
        <v>282</v>
      </c>
    </row>
    <row r="51" spans="1:45" x14ac:dyDescent="0.3">
      <c r="A51" s="2">
        <v>50</v>
      </c>
      <c r="B51" s="2">
        <v>50601</v>
      </c>
      <c r="C51" s="1">
        <v>250618558</v>
      </c>
      <c r="D51" s="5">
        <v>45835</v>
      </c>
      <c r="E51" s="2">
        <v>8021.02</v>
      </c>
      <c r="F51" s="2" t="s">
        <v>1161</v>
      </c>
      <c r="G51" s="2" t="s">
        <v>142</v>
      </c>
      <c r="H51" s="2" t="s">
        <v>677</v>
      </c>
      <c r="I51" s="1" t="s">
        <v>1556</v>
      </c>
      <c r="J51" s="1">
        <f t="shared" si="0"/>
        <v>0</v>
      </c>
      <c r="K51" s="1" t="s">
        <v>1310</v>
      </c>
      <c r="L51" s="15"/>
      <c r="M51" s="1"/>
      <c r="O51" s="1" t="s">
        <v>818</v>
      </c>
      <c r="P51" s="1" t="s">
        <v>204</v>
      </c>
      <c r="Q51" s="15" t="s">
        <v>1523</v>
      </c>
      <c r="R51" s="15" t="s">
        <v>1524</v>
      </c>
      <c r="T51" s="1" t="s">
        <v>179</v>
      </c>
      <c r="U51" s="1">
        <v>2</v>
      </c>
      <c r="V51" s="1">
        <v>18</v>
      </c>
      <c r="W51" s="32">
        <v>45836</v>
      </c>
      <c r="X51" s="14">
        <v>45836</v>
      </c>
      <c r="Y51" s="5">
        <v>45838</v>
      </c>
      <c r="AA51" s="9">
        <v>2982725</v>
      </c>
      <c r="AB51" s="32">
        <v>45839</v>
      </c>
      <c r="AC51" s="14">
        <v>45841</v>
      </c>
      <c r="AD51" s="2">
        <v>703042</v>
      </c>
      <c r="AE51" s="2">
        <v>280187</v>
      </c>
      <c r="AF51" s="5">
        <v>45839</v>
      </c>
      <c r="AG51" s="5">
        <v>45840</v>
      </c>
      <c r="AH51" s="32">
        <v>45841</v>
      </c>
      <c r="AI51" s="14">
        <v>45842</v>
      </c>
      <c r="AJ51" s="1" t="s">
        <v>1557</v>
      </c>
      <c r="AK51" s="1" t="s">
        <v>273</v>
      </c>
    </row>
    <row r="52" spans="1:45" x14ac:dyDescent="0.3">
      <c r="A52" s="2">
        <v>51</v>
      </c>
      <c r="B52" s="2">
        <v>50659</v>
      </c>
      <c r="C52" s="1">
        <v>250621321</v>
      </c>
      <c r="D52" s="3">
        <v>45841</v>
      </c>
      <c r="E52" s="2">
        <v>30813.82</v>
      </c>
      <c r="F52" s="2" t="s">
        <v>1140</v>
      </c>
      <c r="G52" s="2" t="s">
        <v>142</v>
      </c>
      <c r="H52" s="2" t="s">
        <v>677</v>
      </c>
      <c r="I52" s="1" t="s">
        <v>1638</v>
      </c>
      <c r="J52" s="1">
        <f t="shared" si="0"/>
        <v>0</v>
      </c>
      <c r="K52" s="1" t="s">
        <v>1207</v>
      </c>
      <c r="L52" s="15"/>
      <c r="M52" s="1"/>
      <c r="O52" s="1" t="s">
        <v>818</v>
      </c>
      <c r="P52" s="1" t="s">
        <v>204</v>
      </c>
      <c r="Q52" s="15" t="s">
        <v>1574</v>
      </c>
      <c r="R52" s="15">
        <v>4840720315</v>
      </c>
      <c r="T52" s="1" t="s">
        <v>179</v>
      </c>
      <c r="U52" s="1">
        <v>2</v>
      </c>
      <c r="V52" s="1">
        <v>8.5</v>
      </c>
      <c r="W52" s="32">
        <v>45845</v>
      </c>
      <c r="X52" s="14">
        <v>45845</v>
      </c>
      <c r="Y52" s="5">
        <v>45845</v>
      </c>
      <c r="AA52" s="15">
        <v>3111902</v>
      </c>
      <c r="AB52" s="32">
        <v>45845</v>
      </c>
      <c r="AC52" s="14">
        <v>45846</v>
      </c>
      <c r="AD52" s="2" t="s">
        <v>1592</v>
      </c>
      <c r="AE52" s="15" t="s">
        <v>1593</v>
      </c>
      <c r="AF52" s="5">
        <v>45845</v>
      </c>
      <c r="AG52" s="5">
        <v>45846</v>
      </c>
      <c r="AH52" s="5">
        <v>45846</v>
      </c>
      <c r="AI52" s="14">
        <v>45847</v>
      </c>
      <c r="AJ52" s="1" t="s">
        <v>1527</v>
      </c>
      <c r="AK52" s="1" t="s">
        <v>273</v>
      </c>
    </row>
    <row r="53" spans="1:45" x14ac:dyDescent="0.3">
      <c r="A53" s="2">
        <v>52</v>
      </c>
      <c r="B53" s="2">
        <v>50682</v>
      </c>
      <c r="C53" s="1">
        <v>250704397</v>
      </c>
      <c r="D53" s="3">
        <v>45842</v>
      </c>
      <c r="E53" s="2">
        <v>26767.119999999999</v>
      </c>
      <c r="F53" s="2" t="s">
        <v>1161</v>
      </c>
      <c r="G53" s="2" t="s">
        <v>142</v>
      </c>
      <c r="H53" s="2" t="s">
        <v>677</v>
      </c>
      <c r="I53" s="1" t="s">
        <v>1647</v>
      </c>
      <c r="J53" s="1">
        <f t="shared" si="0"/>
        <v>0</v>
      </c>
      <c r="K53" s="1" t="s">
        <v>1310</v>
      </c>
      <c r="L53" s="15"/>
      <c r="M53" s="1"/>
      <c r="O53" s="1" t="s">
        <v>818</v>
      </c>
      <c r="P53" s="1" t="s">
        <v>204</v>
      </c>
      <c r="Q53" s="15" t="s">
        <v>1590</v>
      </c>
      <c r="R53" s="15" t="s">
        <v>1591</v>
      </c>
      <c r="T53" s="1" t="s">
        <v>179</v>
      </c>
      <c r="U53" s="1">
        <v>3</v>
      </c>
      <c r="V53" s="1">
        <v>44.5</v>
      </c>
      <c r="W53" s="32">
        <v>45845</v>
      </c>
      <c r="X53" s="14">
        <v>45845</v>
      </c>
      <c r="Y53" s="5">
        <v>45846</v>
      </c>
      <c r="AA53" s="15">
        <v>3131830</v>
      </c>
      <c r="AB53" s="32">
        <v>45846</v>
      </c>
      <c r="AC53" s="14">
        <v>45848</v>
      </c>
      <c r="AD53" s="2" t="s">
        <v>1595</v>
      </c>
      <c r="AE53" s="15" t="s">
        <v>1596</v>
      </c>
      <c r="AF53" s="5">
        <v>45846</v>
      </c>
      <c r="AG53" s="5">
        <v>45847</v>
      </c>
      <c r="AH53" s="32">
        <v>45848</v>
      </c>
      <c r="AI53" s="14">
        <v>45848</v>
      </c>
      <c r="AJ53" s="1" t="s">
        <v>1557</v>
      </c>
      <c r="AK53" s="1" t="s">
        <v>273</v>
      </c>
    </row>
    <row r="54" spans="1:45" x14ac:dyDescent="0.3">
      <c r="A54" s="2">
        <v>53</v>
      </c>
      <c r="B54" s="2">
        <v>50646</v>
      </c>
      <c r="C54" s="1">
        <v>250621151</v>
      </c>
      <c r="D54" s="3">
        <v>45841</v>
      </c>
      <c r="E54" s="2">
        <v>116.6</v>
      </c>
      <c r="F54" s="2" t="s">
        <v>1161</v>
      </c>
      <c r="G54" s="2" t="s">
        <v>142</v>
      </c>
      <c r="H54" s="2" t="s">
        <v>677</v>
      </c>
      <c r="I54" s="1" t="s">
        <v>1741</v>
      </c>
      <c r="J54" s="1">
        <f t="shared" si="0"/>
        <v>2</v>
      </c>
      <c r="K54" s="1" t="s">
        <v>1310</v>
      </c>
      <c r="L54" s="1">
        <v>900</v>
      </c>
      <c r="M54" s="1"/>
      <c r="O54" s="1" t="s">
        <v>818</v>
      </c>
      <c r="P54" s="1" t="s">
        <v>204</v>
      </c>
      <c r="Q54" s="15" t="s">
        <v>1555</v>
      </c>
      <c r="R54" s="15" t="s">
        <v>1554</v>
      </c>
      <c r="T54" s="1" t="s">
        <v>179</v>
      </c>
      <c r="U54" s="1">
        <v>1</v>
      </c>
      <c r="V54" s="1">
        <v>17.5</v>
      </c>
      <c r="W54" s="32">
        <v>45842</v>
      </c>
      <c r="X54" s="14">
        <v>45842</v>
      </c>
      <c r="Y54" s="5">
        <v>45842</v>
      </c>
      <c r="AA54" s="9">
        <v>3073985</v>
      </c>
      <c r="AB54" s="32">
        <v>45843</v>
      </c>
      <c r="AC54" s="14">
        <v>45850</v>
      </c>
      <c r="AD54" s="2" t="s">
        <v>1558</v>
      </c>
      <c r="AE54" s="2" t="s">
        <v>1559</v>
      </c>
      <c r="AF54" s="5">
        <v>45843</v>
      </c>
      <c r="AG54" s="5">
        <v>45845</v>
      </c>
      <c r="AH54" s="32">
        <v>45852</v>
      </c>
      <c r="AI54" s="14">
        <v>45853</v>
      </c>
      <c r="AJ54" s="1" t="s">
        <v>1740</v>
      </c>
      <c r="AK54" s="1" t="s">
        <v>273</v>
      </c>
    </row>
    <row r="55" spans="1:45" x14ac:dyDescent="0.3">
      <c r="A55" s="2">
        <v>54</v>
      </c>
      <c r="B55" s="2">
        <v>50760</v>
      </c>
      <c r="C55" s="1">
        <v>250708056</v>
      </c>
      <c r="D55" s="3">
        <v>45849</v>
      </c>
      <c r="E55" s="2">
        <v>6344.1</v>
      </c>
      <c r="F55" s="2" t="s">
        <v>1161</v>
      </c>
      <c r="G55" s="2" t="s">
        <v>142</v>
      </c>
      <c r="H55" s="2" t="s">
        <v>677</v>
      </c>
      <c r="I55" s="1" t="s">
        <v>1772</v>
      </c>
      <c r="J55" s="1">
        <f t="shared" si="0"/>
        <v>1</v>
      </c>
      <c r="K55" s="1" t="s">
        <v>1310</v>
      </c>
      <c r="L55" s="15"/>
      <c r="M55" s="1"/>
      <c r="O55" s="1" t="s">
        <v>818</v>
      </c>
      <c r="P55" s="1" t="s">
        <v>204</v>
      </c>
      <c r="Q55" s="15" t="s">
        <v>1686</v>
      </c>
      <c r="R55" s="15" t="s">
        <v>1687</v>
      </c>
      <c r="T55" s="1" t="s">
        <v>179</v>
      </c>
      <c r="U55" s="1">
        <v>1</v>
      </c>
      <c r="V55" s="1">
        <v>4</v>
      </c>
      <c r="W55" s="32">
        <v>45850</v>
      </c>
      <c r="X55" s="5">
        <v>45850</v>
      </c>
      <c r="Y55" s="5">
        <v>45852</v>
      </c>
      <c r="AA55" s="9">
        <v>3272609</v>
      </c>
      <c r="AB55" s="32">
        <v>45853</v>
      </c>
      <c r="AC55" s="14">
        <v>45855</v>
      </c>
      <c r="AD55" s="2">
        <v>546861</v>
      </c>
      <c r="AE55" s="2">
        <v>98435</v>
      </c>
      <c r="AF55" s="5">
        <v>45854</v>
      </c>
      <c r="AG55" s="5">
        <v>45855</v>
      </c>
      <c r="AH55" s="32">
        <v>45856</v>
      </c>
      <c r="AI55" s="14">
        <v>45856</v>
      </c>
      <c r="AJ55" s="1" t="s">
        <v>1771</v>
      </c>
      <c r="AK55" s="1" t="s">
        <v>273</v>
      </c>
    </row>
    <row r="56" spans="1:45" x14ac:dyDescent="0.3">
      <c r="A56" s="2">
        <v>55</v>
      </c>
      <c r="B56" s="2">
        <v>50761</v>
      </c>
      <c r="C56" s="1">
        <v>250708282</v>
      </c>
      <c r="D56" s="3">
        <v>45849</v>
      </c>
      <c r="E56" s="2">
        <v>5565</v>
      </c>
      <c r="F56" s="2" t="s">
        <v>1161</v>
      </c>
      <c r="G56" s="2" t="s">
        <v>142</v>
      </c>
      <c r="H56" s="2" t="s">
        <v>677</v>
      </c>
      <c r="I56" s="1" t="s">
        <v>1772</v>
      </c>
      <c r="J56" s="1">
        <f t="shared" si="0"/>
        <v>1</v>
      </c>
      <c r="K56" s="1" t="s">
        <v>1310</v>
      </c>
      <c r="L56" s="15"/>
      <c r="M56" s="1"/>
      <c r="O56" s="1" t="s">
        <v>818</v>
      </c>
      <c r="P56" s="1" t="s">
        <v>204</v>
      </c>
      <c r="Q56" s="15" t="s">
        <v>1686</v>
      </c>
      <c r="R56" s="15" t="s">
        <v>1688</v>
      </c>
      <c r="T56" s="1" t="s">
        <v>179</v>
      </c>
      <c r="U56" s="1">
        <v>1</v>
      </c>
      <c r="V56" s="1">
        <v>41.5</v>
      </c>
      <c r="W56" s="32">
        <v>45850</v>
      </c>
      <c r="X56" s="5">
        <v>45850</v>
      </c>
      <c r="Y56" s="5">
        <v>45852</v>
      </c>
      <c r="AA56" s="9">
        <v>3272613</v>
      </c>
      <c r="AB56" s="32">
        <v>45853</v>
      </c>
      <c r="AC56" s="14">
        <v>45855</v>
      </c>
      <c r="AD56" s="2">
        <v>479703</v>
      </c>
      <c r="AE56" s="2">
        <v>209965</v>
      </c>
      <c r="AF56" s="5">
        <v>45854</v>
      </c>
      <c r="AG56" s="5">
        <v>45855</v>
      </c>
      <c r="AH56" s="32">
        <v>45856</v>
      </c>
      <c r="AI56" s="14">
        <v>45856</v>
      </c>
      <c r="AJ56" s="1" t="s">
        <v>1771</v>
      </c>
      <c r="AK56" s="1" t="s">
        <v>273</v>
      </c>
    </row>
    <row r="57" spans="1:45" x14ac:dyDescent="0.3">
      <c r="A57" s="2">
        <v>56</v>
      </c>
      <c r="B57" s="2">
        <v>50745</v>
      </c>
      <c r="C57" s="1">
        <v>250707286</v>
      </c>
      <c r="D57" s="3">
        <v>45848</v>
      </c>
      <c r="E57" s="2">
        <v>636</v>
      </c>
      <c r="F57" s="2" t="s">
        <v>1161</v>
      </c>
      <c r="G57" s="2" t="s">
        <v>142</v>
      </c>
      <c r="H57" s="2" t="s">
        <v>677</v>
      </c>
      <c r="I57" s="1" t="s">
        <v>1773</v>
      </c>
      <c r="J57" s="1">
        <f t="shared" si="0"/>
        <v>1</v>
      </c>
      <c r="K57" s="1" t="s">
        <v>1310</v>
      </c>
      <c r="L57" s="15"/>
      <c r="M57" s="1"/>
      <c r="O57" s="1" t="s">
        <v>818</v>
      </c>
      <c r="P57" s="1" t="s">
        <v>204</v>
      </c>
      <c r="Q57" s="15" t="s">
        <v>1657</v>
      </c>
      <c r="R57" s="15" t="s">
        <v>1658</v>
      </c>
      <c r="T57" s="1" t="s">
        <v>179</v>
      </c>
      <c r="U57" s="1">
        <v>1</v>
      </c>
      <c r="V57" s="1">
        <v>6</v>
      </c>
      <c r="W57" s="32">
        <v>45849</v>
      </c>
      <c r="X57" s="14">
        <v>45849</v>
      </c>
      <c r="Y57" s="5">
        <v>45852</v>
      </c>
      <c r="AA57" s="15">
        <v>3272605</v>
      </c>
      <c r="AB57" s="14">
        <v>45853</v>
      </c>
      <c r="AC57" s="14">
        <v>45856</v>
      </c>
      <c r="AD57" s="2">
        <v>54823</v>
      </c>
      <c r="AE57" s="1">
        <v>20542</v>
      </c>
      <c r="AF57" s="5">
        <v>45854</v>
      </c>
      <c r="AG57" s="5">
        <v>45856</v>
      </c>
      <c r="AH57" s="32">
        <v>45857</v>
      </c>
      <c r="AI57" s="14">
        <v>45859</v>
      </c>
      <c r="AJ57" s="1" t="s">
        <v>1774</v>
      </c>
      <c r="AK57" s="1" t="s">
        <v>282</v>
      </c>
    </row>
    <row r="58" spans="1:45" s="9" customFormat="1" ht="115.2" x14ac:dyDescent="0.3">
      <c r="A58" s="2">
        <v>57</v>
      </c>
      <c r="B58" s="2">
        <v>50797</v>
      </c>
      <c r="C58" s="2">
        <v>250708434</v>
      </c>
      <c r="D58" s="4">
        <v>45852</v>
      </c>
      <c r="E58" s="2">
        <v>508428.03</v>
      </c>
      <c r="F58" s="2" t="s">
        <v>1140</v>
      </c>
      <c r="G58" s="2" t="s">
        <v>142</v>
      </c>
      <c r="H58" s="2" t="s">
        <v>677</v>
      </c>
      <c r="I58" s="2" t="s">
        <v>1784</v>
      </c>
      <c r="J58" s="2">
        <f t="shared" si="0"/>
        <v>2</v>
      </c>
      <c r="K58" s="2" t="s">
        <v>1207</v>
      </c>
      <c r="L58" s="2">
        <v>3490</v>
      </c>
      <c r="M58" s="2"/>
      <c r="O58" s="2" t="s">
        <v>818</v>
      </c>
      <c r="P58" s="2" t="s">
        <v>204</v>
      </c>
      <c r="Q58" s="9" t="s">
        <v>1742</v>
      </c>
      <c r="R58" s="9">
        <v>4840721770</v>
      </c>
      <c r="T58" s="2" t="s">
        <v>179</v>
      </c>
      <c r="U58" s="2">
        <v>1</v>
      </c>
      <c r="V58" s="2">
        <v>204.5</v>
      </c>
      <c r="W58" s="10">
        <v>45854</v>
      </c>
      <c r="X58" s="14">
        <v>45854</v>
      </c>
      <c r="Y58" s="14">
        <v>45854</v>
      </c>
      <c r="AA58" s="127">
        <v>3295919</v>
      </c>
      <c r="AB58" s="10">
        <v>45854</v>
      </c>
      <c r="AC58" s="14">
        <v>45857</v>
      </c>
      <c r="AD58" s="2" t="s">
        <v>1744</v>
      </c>
      <c r="AE58" s="9" t="s">
        <v>1745</v>
      </c>
      <c r="AF58" s="14">
        <v>45854</v>
      </c>
      <c r="AG58" s="14">
        <v>45855</v>
      </c>
      <c r="AH58" s="10">
        <v>45859</v>
      </c>
      <c r="AI58" s="14">
        <v>45860</v>
      </c>
      <c r="AJ58" s="128" t="s">
        <v>1785</v>
      </c>
      <c r="AK58" s="2" t="s">
        <v>273</v>
      </c>
      <c r="AS58" s="31" t="s">
        <v>2063</v>
      </c>
    </row>
    <row r="59" spans="1:45" x14ac:dyDescent="0.3">
      <c r="A59" s="2">
        <v>58</v>
      </c>
      <c r="B59" s="2">
        <v>50948</v>
      </c>
      <c r="C59" s="1">
        <v>250717611</v>
      </c>
      <c r="D59" s="3">
        <v>45863</v>
      </c>
      <c r="E59" s="2">
        <v>12570.54</v>
      </c>
      <c r="F59" s="2" t="s">
        <v>1161</v>
      </c>
      <c r="G59" s="2" t="s">
        <v>142</v>
      </c>
      <c r="H59" s="2" t="s">
        <v>677</v>
      </c>
      <c r="I59" s="1" t="s">
        <v>1899</v>
      </c>
      <c r="J59" s="1">
        <f t="shared" si="0"/>
        <v>1</v>
      </c>
      <c r="K59" s="15" t="s">
        <v>863</v>
      </c>
      <c r="L59" s="15"/>
      <c r="M59" s="1"/>
      <c r="O59" s="2" t="s">
        <v>203</v>
      </c>
      <c r="P59" s="1" t="s">
        <v>204</v>
      </c>
      <c r="Q59" s="15" t="s">
        <v>1860</v>
      </c>
      <c r="R59" s="15" t="s">
        <v>1861</v>
      </c>
      <c r="T59" s="1" t="s">
        <v>1862</v>
      </c>
      <c r="U59" s="1">
        <v>3</v>
      </c>
      <c r="V59" s="1">
        <v>412.5</v>
      </c>
      <c r="W59" s="5">
        <v>45864</v>
      </c>
      <c r="X59" s="14">
        <v>45864</v>
      </c>
      <c r="Y59" s="5">
        <v>45866</v>
      </c>
      <c r="AA59" s="2">
        <v>3538189</v>
      </c>
      <c r="AB59" s="32">
        <v>45866</v>
      </c>
      <c r="AC59" s="14">
        <v>45870</v>
      </c>
      <c r="AD59" s="2">
        <v>1091123</v>
      </c>
      <c r="AE59" s="2">
        <v>479659</v>
      </c>
      <c r="AF59" s="32">
        <v>45866</v>
      </c>
      <c r="AG59" s="5">
        <v>45867</v>
      </c>
      <c r="AH59" s="32">
        <v>45871</v>
      </c>
      <c r="AI59" s="14">
        <v>45871</v>
      </c>
      <c r="AJ59" s="1" t="s">
        <v>1898</v>
      </c>
      <c r="AK59" s="1" t="s">
        <v>273</v>
      </c>
    </row>
    <row r="60" spans="1:45" x14ac:dyDescent="0.3">
      <c r="A60" s="2">
        <v>59</v>
      </c>
      <c r="B60" s="2">
        <v>51111</v>
      </c>
      <c r="C60" s="1">
        <v>250803426</v>
      </c>
      <c r="D60" s="3">
        <v>45876</v>
      </c>
      <c r="E60" s="2">
        <v>30813.82</v>
      </c>
      <c r="F60" s="2" t="s">
        <v>143</v>
      </c>
      <c r="G60" s="1" t="s">
        <v>142</v>
      </c>
      <c r="H60" s="1" t="s">
        <v>680</v>
      </c>
      <c r="I60" s="1" t="s">
        <v>1966</v>
      </c>
      <c r="J60" s="1">
        <f t="shared" si="0"/>
        <v>0</v>
      </c>
      <c r="K60" s="15" t="s">
        <v>1958</v>
      </c>
      <c r="L60" s="15"/>
      <c r="M60" s="1"/>
      <c r="O60" s="2" t="s">
        <v>203</v>
      </c>
      <c r="P60" s="1" t="s">
        <v>1959</v>
      </c>
      <c r="Q60" s="15" t="s">
        <v>1960</v>
      </c>
      <c r="R60" s="15">
        <v>4840726021</v>
      </c>
      <c r="T60" s="1" t="s">
        <v>179</v>
      </c>
      <c r="U60" s="1">
        <v>2</v>
      </c>
      <c r="V60" s="1">
        <v>7.5</v>
      </c>
      <c r="W60" s="5">
        <v>45879</v>
      </c>
      <c r="X60" s="14">
        <v>45880</v>
      </c>
      <c r="Y60" s="5">
        <v>45880</v>
      </c>
      <c r="AA60" s="2">
        <v>3815581</v>
      </c>
      <c r="AB60" s="32">
        <v>45880</v>
      </c>
      <c r="AC60" s="14">
        <v>45881</v>
      </c>
      <c r="AD60" s="1" t="s">
        <v>1963</v>
      </c>
      <c r="AE60" s="15" t="s">
        <v>1964</v>
      </c>
      <c r="AF60" s="32">
        <v>45880</v>
      </c>
      <c r="AG60" s="5">
        <v>45881</v>
      </c>
      <c r="AH60" s="32">
        <v>45881</v>
      </c>
      <c r="AI60" s="5">
        <v>45882</v>
      </c>
      <c r="AJ60" s="1" t="s">
        <v>1965</v>
      </c>
      <c r="AK60" s="1" t="s">
        <v>273</v>
      </c>
    </row>
    <row r="61" spans="1:45" s="2" customFormat="1" ht="83.25" customHeight="1" x14ac:dyDescent="0.3">
      <c r="A61" s="2">
        <v>60</v>
      </c>
      <c r="B61" s="2">
        <v>51167</v>
      </c>
      <c r="C61" s="2">
        <v>250805905</v>
      </c>
      <c r="D61" s="4">
        <v>45882</v>
      </c>
      <c r="E61" s="2">
        <v>318</v>
      </c>
      <c r="F61" s="2" t="s">
        <v>1161</v>
      </c>
      <c r="G61" s="2" t="s">
        <v>142</v>
      </c>
      <c r="H61" s="2" t="s">
        <v>677</v>
      </c>
      <c r="I61" s="2" t="s">
        <v>2014</v>
      </c>
      <c r="J61" s="2">
        <f t="shared" si="0"/>
        <v>2</v>
      </c>
      <c r="K61" s="2" t="s">
        <v>1310</v>
      </c>
      <c r="L61" s="2">
        <v>900</v>
      </c>
      <c r="M61" s="2">
        <v>4</v>
      </c>
      <c r="O61" s="2" t="s">
        <v>203</v>
      </c>
      <c r="P61" s="2" t="s">
        <v>204</v>
      </c>
      <c r="Q61" s="2" t="s">
        <v>1997</v>
      </c>
      <c r="R61" s="2" t="s">
        <v>1998</v>
      </c>
      <c r="T61" s="2" t="s">
        <v>179</v>
      </c>
      <c r="U61" s="2">
        <v>1</v>
      </c>
      <c r="V61" s="2">
        <v>6</v>
      </c>
      <c r="W61" s="14">
        <v>45883</v>
      </c>
      <c r="X61" s="14">
        <v>45883</v>
      </c>
      <c r="Y61" s="14">
        <v>45885</v>
      </c>
      <c r="AA61" s="49">
        <v>3920046</v>
      </c>
      <c r="AB61" s="14">
        <v>45885</v>
      </c>
      <c r="AC61" s="14">
        <v>45886</v>
      </c>
      <c r="AD61" s="2" t="s">
        <v>2004</v>
      </c>
      <c r="AE61" s="2" t="s">
        <v>2005</v>
      </c>
      <c r="AF61" s="14">
        <v>45885</v>
      </c>
      <c r="AG61" s="14">
        <v>45887</v>
      </c>
      <c r="AH61" s="14">
        <v>45888</v>
      </c>
      <c r="AI61" s="14">
        <v>45891</v>
      </c>
      <c r="AJ61" s="2" t="s">
        <v>1527</v>
      </c>
      <c r="AK61" s="2" t="s">
        <v>282</v>
      </c>
      <c r="AS61" s="7" t="s">
        <v>2016</v>
      </c>
    </row>
    <row r="62" spans="1:45" x14ac:dyDescent="0.3">
      <c r="A62" s="2">
        <v>61</v>
      </c>
      <c r="B62" s="2">
        <v>51178</v>
      </c>
      <c r="C62" s="1">
        <v>250806306</v>
      </c>
      <c r="D62" s="5">
        <v>45885</v>
      </c>
      <c r="E62" s="2">
        <v>797.12</v>
      </c>
      <c r="F62" s="2" t="s">
        <v>1161</v>
      </c>
      <c r="G62" s="2" t="s">
        <v>142</v>
      </c>
      <c r="H62" s="2" t="s">
        <v>677</v>
      </c>
      <c r="I62" s="1" t="s">
        <v>2015</v>
      </c>
      <c r="J62" s="1">
        <f t="shared" si="0"/>
        <v>1</v>
      </c>
      <c r="K62" s="1" t="s">
        <v>2006</v>
      </c>
      <c r="L62" s="15"/>
      <c r="M62" s="1">
        <v>5</v>
      </c>
      <c r="O62" s="2" t="s">
        <v>203</v>
      </c>
      <c r="P62" s="1" t="s">
        <v>204</v>
      </c>
      <c r="Q62" s="15" t="s">
        <v>2008</v>
      </c>
      <c r="R62" s="15" t="s">
        <v>2007</v>
      </c>
      <c r="T62" s="1" t="s">
        <v>179</v>
      </c>
      <c r="U62" s="1">
        <v>1</v>
      </c>
      <c r="V62" s="1">
        <v>15.5</v>
      </c>
      <c r="W62" s="5">
        <v>45886</v>
      </c>
      <c r="X62" s="14">
        <v>45887</v>
      </c>
      <c r="Y62" s="5">
        <v>45887</v>
      </c>
      <c r="AA62" s="2">
        <v>3990474</v>
      </c>
      <c r="AB62" s="32">
        <v>45889</v>
      </c>
      <c r="AC62" s="14">
        <v>45890</v>
      </c>
      <c r="AD62" s="2">
        <v>70625</v>
      </c>
      <c r="AE62" s="2" t="s">
        <v>2009</v>
      </c>
      <c r="AF62" s="32">
        <v>45889</v>
      </c>
      <c r="AG62" s="5">
        <v>45891</v>
      </c>
      <c r="AH62" s="32">
        <v>45891</v>
      </c>
      <c r="AI62" s="14">
        <v>45891</v>
      </c>
      <c r="AJ62" s="2" t="s">
        <v>1527</v>
      </c>
      <c r="AK62" s="1" t="s">
        <v>282</v>
      </c>
    </row>
    <row r="63" spans="1:45" x14ac:dyDescent="0.3">
      <c r="A63" s="2">
        <v>62</v>
      </c>
      <c r="B63" s="2">
        <v>51411</v>
      </c>
      <c r="C63" s="1">
        <v>250907617</v>
      </c>
      <c r="D63" s="3">
        <v>45912</v>
      </c>
      <c r="E63" s="2">
        <v>46220.73</v>
      </c>
      <c r="F63" s="2" t="s">
        <v>2208</v>
      </c>
      <c r="G63" s="2" t="s">
        <v>142</v>
      </c>
      <c r="H63" s="2" t="s">
        <v>677</v>
      </c>
      <c r="I63" s="1" t="s">
        <v>2270</v>
      </c>
      <c r="J63" s="1">
        <f t="shared" si="0"/>
        <v>1</v>
      </c>
      <c r="K63" s="15" t="s">
        <v>1958</v>
      </c>
      <c r="L63" s="15"/>
      <c r="M63" s="1"/>
      <c r="O63" s="2" t="s">
        <v>203</v>
      </c>
      <c r="P63" s="1" t="s">
        <v>1959</v>
      </c>
      <c r="Q63" s="15" t="s">
        <v>2209</v>
      </c>
      <c r="R63" s="15">
        <v>4840732008</v>
      </c>
      <c r="T63" s="1" t="s">
        <v>179</v>
      </c>
      <c r="U63" s="1">
        <v>3</v>
      </c>
      <c r="V63" s="1">
        <v>11</v>
      </c>
      <c r="W63" s="32">
        <v>45914</v>
      </c>
      <c r="X63" s="14">
        <v>45915</v>
      </c>
      <c r="Y63" s="5">
        <v>45915</v>
      </c>
      <c r="AA63">
        <v>4517753</v>
      </c>
      <c r="AB63" s="32">
        <v>45915</v>
      </c>
      <c r="AC63" s="14">
        <v>45916</v>
      </c>
      <c r="AD63" t="s">
        <v>2210</v>
      </c>
      <c r="AE63" t="s">
        <v>2211</v>
      </c>
      <c r="AF63" s="32">
        <v>45915</v>
      </c>
      <c r="AG63" s="5">
        <v>45916</v>
      </c>
      <c r="AH63" s="32">
        <v>45917</v>
      </c>
      <c r="AI63" s="14">
        <v>45918</v>
      </c>
      <c r="AJ63" s="2" t="s">
        <v>2269</v>
      </c>
      <c r="AK63" s="1" t="s">
        <v>273</v>
      </c>
    </row>
    <row r="64" spans="1:45" s="2" customFormat="1" ht="72" x14ac:dyDescent="0.3">
      <c r="A64" s="2">
        <v>63</v>
      </c>
      <c r="B64" s="2">
        <v>51833</v>
      </c>
      <c r="C64" s="2">
        <v>251009080</v>
      </c>
      <c r="D64" s="4">
        <v>45952</v>
      </c>
      <c r="E64" s="2">
        <v>3805.4</v>
      </c>
      <c r="F64" s="2" t="s">
        <v>1161</v>
      </c>
      <c r="G64" s="2" t="s">
        <v>142</v>
      </c>
      <c r="H64" s="2" t="s">
        <v>677</v>
      </c>
      <c r="I64" s="2" t="s">
        <v>2562</v>
      </c>
      <c r="J64" s="2">
        <f t="shared" si="0"/>
        <v>1</v>
      </c>
      <c r="K64" s="2" t="s">
        <v>2517</v>
      </c>
      <c r="L64" s="2">
        <v>899.16</v>
      </c>
      <c r="M64" s="2">
        <v>61</v>
      </c>
      <c r="O64" s="2" t="s">
        <v>203</v>
      </c>
      <c r="P64" s="2" t="s">
        <v>1959</v>
      </c>
      <c r="Q64" s="50" t="s">
        <v>2518</v>
      </c>
      <c r="R64" s="2" t="s">
        <v>2519</v>
      </c>
      <c r="T64" s="2" t="s">
        <v>629</v>
      </c>
      <c r="U64" s="2">
        <v>1</v>
      </c>
      <c r="V64" s="2">
        <v>15.5</v>
      </c>
      <c r="W64" s="14">
        <v>45954</v>
      </c>
      <c r="X64" s="14">
        <v>45954</v>
      </c>
      <c r="Y64" s="14">
        <v>45954</v>
      </c>
      <c r="AA64" s="2">
        <v>5328639</v>
      </c>
      <c r="AB64" s="14">
        <v>45957</v>
      </c>
      <c r="AC64" s="14">
        <v>45958</v>
      </c>
      <c r="AD64" s="2">
        <v>337539</v>
      </c>
      <c r="AE64" s="2">
        <v>148383</v>
      </c>
      <c r="AF64" s="14">
        <v>45957</v>
      </c>
      <c r="AG64" s="14">
        <v>45959</v>
      </c>
      <c r="AH64" s="14">
        <v>45959</v>
      </c>
      <c r="AI64" s="14">
        <v>45960</v>
      </c>
      <c r="AJ64" s="2" t="s">
        <v>2565</v>
      </c>
      <c r="AK64" s="2" t="s">
        <v>273</v>
      </c>
      <c r="AS64" s="7" t="s">
        <v>2680</v>
      </c>
    </row>
    <row r="65" spans="1:45" s="2" customFormat="1" ht="100.8" x14ac:dyDescent="0.3">
      <c r="A65" s="2">
        <v>64</v>
      </c>
      <c r="B65" s="2">
        <v>51834</v>
      </c>
      <c r="C65" s="2">
        <v>250911555</v>
      </c>
      <c r="D65" s="4">
        <v>45952</v>
      </c>
      <c r="E65" s="2">
        <v>3805.4</v>
      </c>
      <c r="F65" s="2" t="s">
        <v>1161</v>
      </c>
      <c r="G65" s="2" t="s">
        <v>142</v>
      </c>
      <c r="H65" s="2" t="s">
        <v>677</v>
      </c>
      <c r="I65" s="2" t="s">
        <v>2563</v>
      </c>
      <c r="J65" s="2">
        <f t="shared" si="0"/>
        <v>2</v>
      </c>
      <c r="K65" s="2" t="s">
        <v>2517</v>
      </c>
      <c r="L65" s="2">
        <v>899.16</v>
      </c>
      <c r="O65" s="2" t="s">
        <v>203</v>
      </c>
      <c r="P65" s="2" t="s">
        <v>1959</v>
      </c>
      <c r="Q65" s="50" t="s">
        <v>2518</v>
      </c>
      <c r="R65" s="2" t="s">
        <v>2520</v>
      </c>
      <c r="T65" s="2" t="s">
        <v>629</v>
      </c>
      <c r="U65" s="2">
        <v>1</v>
      </c>
      <c r="V65" s="2">
        <v>26</v>
      </c>
      <c r="W65" s="14">
        <v>45954</v>
      </c>
      <c r="X65" s="14">
        <v>45954</v>
      </c>
      <c r="Y65" s="14">
        <v>45954</v>
      </c>
      <c r="AA65" s="2">
        <v>5328642</v>
      </c>
      <c r="AB65" s="14">
        <v>45957</v>
      </c>
      <c r="AC65" s="14">
        <v>45958</v>
      </c>
      <c r="AD65" s="2">
        <v>337539</v>
      </c>
      <c r="AE65" s="2">
        <v>148383</v>
      </c>
      <c r="AF65" s="14">
        <v>45957</v>
      </c>
      <c r="AG65" s="14">
        <v>45958</v>
      </c>
      <c r="AH65" s="14">
        <v>45960</v>
      </c>
      <c r="AI65" s="14">
        <v>45960</v>
      </c>
      <c r="AJ65" s="2" t="s">
        <v>2565</v>
      </c>
      <c r="AK65" s="2" t="s">
        <v>273</v>
      </c>
      <c r="AS65" s="7" t="s">
        <v>2679</v>
      </c>
    </row>
    <row r="66" spans="1:45" s="2" customFormat="1" ht="72" x14ac:dyDescent="0.3">
      <c r="A66" s="2">
        <v>65</v>
      </c>
      <c r="B66" s="2">
        <v>51835</v>
      </c>
      <c r="C66" s="2">
        <v>250911458</v>
      </c>
      <c r="D66" s="4">
        <v>45952</v>
      </c>
      <c r="E66" s="2">
        <v>1522.16</v>
      </c>
      <c r="F66" s="2" t="s">
        <v>1161</v>
      </c>
      <c r="G66" s="2" t="s">
        <v>142</v>
      </c>
      <c r="H66" s="2" t="s">
        <v>677</v>
      </c>
      <c r="I66" s="2" t="s">
        <v>2564</v>
      </c>
      <c r="J66" s="2">
        <f t="shared" si="0"/>
        <v>0</v>
      </c>
      <c r="K66" s="2" t="s">
        <v>2517</v>
      </c>
      <c r="L66" s="2">
        <v>899.16</v>
      </c>
      <c r="O66" s="2" t="s">
        <v>203</v>
      </c>
      <c r="P66" s="2" t="s">
        <v>1959</v>
      </c>
      <c r="Q66" s="50" t="s">
        <v>2518</v>
      </c>
      <c r="R66" s="2" t="s">
        <v>2521</v>
      </c>
      <c r="T66" s="2" t="s">
        <v>629</v>
      </c>
      <c r="U66" s="2">
        <v>1</v>
      </c>
      <c r="V66" s="2">
        <v>5.5</v>
      </c>
      <c r="W66" s="14">
        <v>45954</v>
      </c>
      <c r="X66" s="14">
        <v>45954</v>
      </c>
      <c r="Y66" s="14">
        <v>45954</v>
      </c>
      <c r="AA66" s="2">
        <v>5328643</v>
      </c>
      <c r="AB66" s="14">
        <v>45957</v>
      </c>
      <c r="AC66" s="14">
        <v>45958</v>
      </c>
      <c r="AD66" s="2">
        <v>135016</v>
      </c>
      <c r="AE66" s="2">
        <v>59352</v>
      </c>
      <c r="AF66" s="14">
        <v>45957</v>
      </c>
      <c r="AG66" s="14">
        <v>45958</v>
      </c>
      <c r="AH66" s="14">
        <v>45958</v>
      </c>
      <c r="AI66" s="14">
        <v>45960</v>
      </c>
      <c r="AJ66" s="2" t="s">
        <v>2565</v>
      </c>
      <c r="AK66" s="2" t="s">
        <v>273</v>
      </c>
      <c r="AS66" s="7" t="s">
        <v>2681</v>
      </c>
    </row>
    <row r="67" spans="1:45" s="1" customFormat="1" x14ac:dyDescent="0.3">
      <c r="A67" s="2">
        <v>66</v>
      </c>
      <c r="B67" s="2">
        <v>51865</v>
      </c>
      <c r="C67" s="1">
        <v>250915283</v>
      </c>
      <c r="D67" s="3">
        <v>45954</v>
      </c>
      <c r="E67" s="2">
        <v>46220.73</v>
      </c>
      <c r="F67" s="2" t="s">
        <v>2208</v>
      </c>
      <c r="G67" s="2" t="s">
        <v>142</v>
      </c>
      <c r="H67" s="2" t="s">
        <v>677</v>
      </c>
      <c r="I67" s="1" t="s">
        <v>2562</v>
      </c>
      <c r="J67" s="1">
        <f t="shared" ref="J67:J130" si="1">AH67-AC67</f>
        <v>1</v>
      </c>
      <c r="K67" s="1" t="s">
        <v>2532</v>
      </c>
      <c r="O67" s="2" t="s">
        <v>203</v>
      </c>
      <c r="P67" s="1" t="s">
        <v>1959</v>
      </c>
      <c r="Q67" s="1" t="s">
        <v>2533</v>
      </c>
      <c r="R67" s="1">
        <v>4840739088</v>
      </c>
      <c r="T67" s="1" t="s">
        <v>179</v>
      </c>
      <c r="U67" s="1">
        <v>3</v>
      </c>
      <c r="V67" s="1">
        <v>11.5</v>
      </c>
      <c r="W67" s="5">
        <v>45957</v>
      </c>
      <c r="X67" s="5">
        <v>45957</v>
      </c>
      <c r="Y67" s="5">
        <v>45957</v>
      </c>
      <c r="AA67" s="2">
        <v>5339115</v>
      </c>
      <c r="AB67" s="5">
        <v>45957</v>
      </c>
      <c r="AC67" s="14">
        <v>45958</v>
      </c>
      <c r="AD67" s="1">
        <v>4099778.75</v>
      </c>
      <c r="AE67" s="1">
        <v>1802263</v>
      </c>
      <c r="AF67" s="5">
        <v>45957</v>
      </c>
      <c r="AG67" s="5">
        <v>45958</v>
      </c>
      <c r="AH67" s="5">
        <v>45959</v>
      </c>
      <c r="AI67" s="14">
        <v>45960</v>
      </c>
      <c r="AJ67" s="1" t="s">
        <v>2565</v>
      </c>
      <c r="AK67" s="1" t="s">
        <v>273</v>
      </c>
    </row>
    <row r="68" spans="1:45" s="1" customFormat="1" ht="86.4" x14ac:dyDescent="0.3">
      <c r="A68" s="2">
        <v>67</v>
      </c>
      <c r="B68" s="2">
        <v>51906</v>
      </c>
      <c r="C68" s="2">
        <v>251017801</v>
      </c>
      <c r="D68" s="4">
        <v>45958</v>
      </c>
      <c r="E68" s="2">
        <v>231103.65</v>
      </c>
      <c r="F68" s="2" t="s">
        <v>2208</v>
      </c>
      <c r="G68" s="2" t="s">
        <v>142</v>
      </c>
      <c r="H68" s="2" t="s">
        <v>677</v>
      </c>
      <c r="I68" s="2" t="s">
        <v>2618</v>
      </c>
      <c r="J68" s="2">
        <f t="shared" si="1"/>
        <v>5</v>
      </c>
      <c r="K68" s="2" t="s">
        <v>2551</v>
      </c>
      <c r="L68" s="2">
        <v>9957.6200000000008</v>
      </c>
      <c r="M68" s="2">
        <v>18516</v>
      </c>
      <c r="N68" s="2"/>
      <c r="O68" s="2" t="s">
        <v>203</v>
      </c>
      <c r="P68" s="2" t="s">
        <v>1959</v>
      </c>
      <c r="Q68" s="2" t="s">
        <v>2547</v>
      </c>
      <c r="R68" s="2">
        <v>4840739674</v>
      </c>
      <c r="S68" s="2"/>
      <c r="T68" s="2" t="s">
        <v>179</v>
      </c>
      <c r="U68" s="2">
        <v>1</v>
      </c>
      <c r="V68" s="2">
        <v>106</v>
      </c>
      <c r="W68" s="14">
        <v>45959</v>
      </c>
      <c r="X68" s="14">
        <v>45960</v>
      </c>
      <c r="Y68" s="14">
        <v>45960</v>
      </c>
      <c r="Z68" s="2"/>
      <c r="AA68" s="2">
        <v>5396445</v>
      </c>
      <c r="AB68" s="14">
        <v>45960</v>
      </c>
      <c r="AC68" s="14">
        <v>45960</v>
      </c>
      <c r="AD68" s="2">
        <v>20498894</v>
      </c>
      <c r="AE68" s="2">
        <v>9011314</v>
      </c>
      <c r="AF68" s="14">
        <v>45960</v>
      </c>
      <c r="AG68" s="14">
        <v>45965</v>
      </c>
      <c r="AH68" s="14">
        <v>45965</v>
      </c>
      <c r="AI68" s="14">
        <v>45965</v>
      </c>
      <c r="AJ68" s="2" t="s">
        <v>1409</v>
      </c>
      <c r="AK68" s="2" t="s">
        <v>273</v>
      </c>
      <c r="AS68" s="8" t="s">
        <v>2682</v>
      </c>
    </row>
    <row r="69" spans="1:45" s="1" customFormat="1" x14ac:dyDescent="0.3">
      <c r="A69" s="2">
        <v>68</v>
      </c>
      <c r="B69" s="2">
        <v>51941</v>
      </c>
      <c r="C69" s="1">
        <v>250908114</v>
      </c>
      <c r="D69" s="3">
        <v>45960</v>
      </c>
      <c r="E69" s="2">
        <v>5000</v>
      </c>
      <c r="F69" s="2" t="s">
        <v>1161</v>
      </c>
      <c r="G69" s="2" t="s">
        <v>142</v>
      </c>
      <c r="H69" s="2" t="s">
        <v>677</v>
      </c>
      <c r="I69" s="1" t="s">
        <v>2624</v>
      </c>
      <c r="J69" s="1">
        <f t="shared" si="1"/>
        <v>0</v>
      </c>
      <c r="K69" s="1" t="s">
        <v>2551</v>
      </c>
      <c r="O69" s="2" t="s">
        <v>203</v>
      </c>
      <c r="P69" s="1" t="s">
        <v>1959</v>
      </c>
      <c r="Q69" s="1" t="s">
        <v>2588</v>
      </c>
      <c r="R69" s="1" t="s">
        <v>2589</v>
      </c>
      <c r="T69" s="1" t="s">
        <v>179</v>
      </c>
      <c r="U69" s="1">
        <v>1</v>
      </c>
      <c r="V69" s="1">
        <v>2</v>
      </c>
      <c r="W69" s="5">
        <v>45962</v>
      </c>
      <c r="X69" s="5">
        <v>45962</v>
      </c>
      <c r="Y69" s="5">
        <v>45962</v>
      </c>
      <c r="AA69" s="2">
        <v>5443487</v>
      </c>
      <c r="AB69" s="5">
        <v>45962</v>
      </c>
      <c r="AC69" s="14">
        <v>45965</v>
      </c>
      <c r="AD69" s="2">
        <v>443500</v>
      </c>
      <c r="AE69" s="2">
        <v>194963</v>
      </c>
      <c r="AF69" s="5">
        <v>45962</v>
      </c>
      <c r="AG69" s="5">
        <v>45964</v>
      </c>
      <c r="AH69" s="5">
        <v>45965</v>
      </c>
      <c r="AI69" s="14">
        <v>45966</v>
      </c>
      <c r="AJ69" s="2" t="s">
        <v>1527</v>
      </c>
      <c r="AK69" s="1" t="s">
        <v>273</v>
      </c>
    </row>
    <row r="70" spans="1:45" s="1" customFormat="1" x14ac:dyDescent="0.3">
      <c r="A70" s="2">
        <v>69</v>
      </c>
      <c r="B70" s="2">
        <v>51942</v>
      </c>
      <c r="C70" s="1">
        <v>250908116</v>
      </c>
      <c r="D70" s="3">
        <v>45960</v>
      </c>
      <c r="E70" s="2">
        <v>3750</v>
      </c>
      <c r="F70" s="2" t="s">
        <v>1161</v>
      </c>
      <c r="G70" s="2" t="s">
        <v>142</v>
      </c>
      <c r="H70" s="2" t="s">
        <v>677</v>
      </c>
      <c r="I70" s="1" t="s">
        <v>2629</v>
      </c>
      <c r="J70" s="1">
        <f t="shared" si="1"/>
        <v>0</v>
      </c>
      <c r="K70" s="1" t="s">
        <v>2591</v>
      </c>
      <c r="O70" s="2" t="s">
        <v>163</v>
      </c>
      <c r="P70" s="2" t="s">
        <v>2592</v>
      </c>
      <c r="Q70" s="1" t="s">
        <v>2588</v>
      </c>
      <c r="R70" s="1" t="s">
        <v>2590</v>
      </c>
      <c r="T70" s="1" t="s">
        <v>179</v>
      </c>
      <c r="U70" s="1">
        <v>1</v>
      </c>
      <c r="V70" s="1">
        <v>2</v>
      </c>
      <c r="W70" s="5">
        <v>45962</v>
      </c>
      <c r="X70" s="5">
        <v>45962</v>
      </c>
      <c r="Y70" s="5">
        <v>45962</v>
      </c>
      <c r="AA70" s="2">
        <v>5444008</v>
      </c>
      <c r="AB70" s="5">
        <v>45962</v>
      </c>
      <c r="AC70" s="14">
        <v>45965</v>
      </c>
      <c r="AD70" s="2">
        <v>332625</v>
      </c>
      <c r="AE70" s="2">
        <v>146223</v>
      </c>
      <c r="AF70" s="5">
        <v>45962</v>
      </c>
      <c r="AG70" s="5">
        <v>45964</v>
      </c>
      <c r="AH70" s="5">
        <v>45965</v>
      </c>
      <c r="AI70" s="14">
        <v>45967</v>
      </c>
      <c r="AJ70" s="2" t="s">
        <v>2628</v>
      </c>
      <c r="AK70" s="1" t="s">
        <v>282</v>
      </c>
    </row>
    <row r="71" spans="1:45" s="1" customFormat="1" x14ac:dyDescent="0.3">
      <c r="A71" s="2">
        <v>70</v>
      </c>
      <c r="B71" s="2">
        <v>51962</v>
      </c>
      <c r="C71" s="1" t="s">
        <v>2608</v>
      </c>
      <c r="D71" s="3">
        <v>45959</v>
      </c>
      <c r="E71" s="2">
        <v>37634</v>
      </c>
      <c r="F71" s="2" t="s">
        <v>1140</v>
      </c>
      <c r="G71" s="2" t="s">
        <v>142</v>
      </c>
      <c r="H71" s="2" t="s">
        <v>683</v>
      </c>
      <c r="I71" s="1" t="s">
        <v>2630</v>
      </c>
      <c r="J71" s="1">
        <f t="shared" si="1"/>
        <v>1</v>
      </c>
      <c r="K71" s="1" t="s">
        <v>2609</v>
      </c>
      <c r="M71" s="1">
        <v>603</v>
      </c>
      <c r="O71" s="2" t="s">
        <v>163</v>
      </c>
      <c r="P71" s="2" t="s">
        <v>335</v>
      </c>
      <c r="Q71" s="1">
        <v>21706963515</v>
      </c>
      <c r="T71" s="1" t="s">
        <v>483</v>
      </c>
      <c r="U71" s="1">
        <v>2</v>
      </c>
      <c r="V71" s="1">
        <v>588</v>
      </c>
      <c r="W71" s="5">
        <v>45964</v>
      </c>
      <c r="X71" s="5">
        <v>45964</v>
      </c>
      <c r="Y71" s="5">
        <v>45964</v>
      </c>
      <c r="AA71" s="2">
        <v>5492001</v>
      </c>
      <c r="AB71" s="5">
        <v>45965</v>
      </c>
      <c r="AC71" s="14">
        <v>45965</v>
      </c>
      <c r="AD71" s="2">
        <v>3338136</v>
      </c>
      <c r="AE71" s="2">
        <v>1467445</v>
      </c>
      <c r="AF71" s="14">
        <v>45965</v>
      </c>
      <c r="AG71" s="5">
        <v>45966</v>
      </c>
      <c r="AH71" s="5">
        <v>45966</v>
      </c>
      <c r="AI71" s="14">
        <v>45967</v>
      </c>
      <c r="AJ71" s="2" t="s">
        <v>2628</v>
      </c>
      <c r="AK71" s="1" t="s">
        <v>282</v>
      </c>
    </row>
    <row r="72" spans="1:45" s="1" customFormat="1" ht="28.8" x14ac:dyDescent="0.3">
      <c r="A72" s="2">
        <v>71</v>
      </c>
      <c r="B72" s="2">
        <v>51965</v>
      </c>
      <c r="C72" s="1" t="s">
        <v>2610</v>
      </c>
      <c r="D72" s="4">
        <v>45959</v>
      </c>
      <c r="E72" s="2">
        <v>24280</v>
      </c>
      <c r="F72" s="2" t="s">
        <v>1140</v>
      </c>
      <c r="G72" s="2" t="s">
        <v>142</v>
      </c>
      <c r="H72" s="2" t="s">
        <v>683</v>
      </c>
      <c r="I72" s="1" t="s">
        <v>2631</v>
      </c>
      <c r="J72" s="1">
        <f t="shared" si="1"/>
        <v>1</v>
      </c>
      <c r="K72" s="8" t="s">
        <v>2611</v>
      </c>
      <c r="M72" s="1">
        <v>389</v>
      </c>
      <c r="O72" s="2" t="s">
        <v>163</v>
      </c>
      <c r="P72" s="2" t="s">
        <v>335</v>
      </c>
      <c r="Q72" s="1">
        <v>21706963375</v>
      </c>
      <c r="T72" s="1" t="s">
        <v>483</v>
      </c>
      <c r="U72" s="1">
        <v>2</v>
      </c>
      <c r="V72" s="1">
        <v>394</v>
      </c>
      <c r="W72" s="5">
        <v>45964</v>
      </c>
      <c r="X72" s="5">
        <v>45964</v>
      </c>
      <c r="Y72" s="5">
        <v>45964</v>
      </c>
      <c r="AA72" s="2">
        <v>5492176</v>
      </c>
      <c r="AB72" s="14">
        <v>45965</v>
      </c>
      <c r="AC72" s="14">
        <v>45965</v>
      </c>
      <c r="AD72" s="2">
        <v>2153636</v>
      </c>
      <c r="AE72" s="2">
        <v>946738</v>
      </c>
      <c r="AF72" s="14">
        <v>45965</v>
      </c>
      <c r="AG72" s="5">
        <v>45966</v>
      </c>
      <c r="AH72" s="5">
        <v>45966</v>
      </c>
      <c r="AI72" s="14">
        <v>45967</v>
      </c>
      <c r="AJ72" s="2" t="s">
        <v>2628</v>
      </c>
      <c r="AK72" s="1" t="s">
        <v>282</v>
      </c>
    </row>
    <row r="73" spans="1:45" s="1" customFormat="1" ht="57.6" x14ac:dyDescent="0.3">
      <c r="A73" s="2">
        <v>72</v>
      </c>
      <c r="B73" s="2">
        <v>51966</v>
      </c>
      <c r="C73" s="7" t="s">
        <v>2612</v>
      </c>
      <c r="D73" s="7" t="s">
        <v>2613</v>
      </c>
      <c r="E73" s="7" t="s">
        <v>2614</v>
      </c>
      <c r="F73" s="2" t="s">
        <v>1140</v>
      </c>
      <c r="G73" s="2" t="s">
        <v>142</v>
      </c>
      <c r="H73" s="2" t="s">
        <v>683</v>
      </c>
      <c r="I73" s="1" t="s">
        <v>2632</v>
      </c>
      <c r="J73" s="1">
        <f t="shared" si="1"/>
        <v>1</v>
      </c>
      <c r="K73" s="8" t="s">
        <v>2615</v>
      </c>
      <c r="M73" s="1">
        <v>1167</v>
      </c>
      <c r="O73" s="2" t="s">
        <v>163</v>
      </c>
      <c r="P73" s="2" t="s">
        <v>335</v>
      </c>
      <c r="Q73" s="2">
        <v>21706963390</v>
      </c>
      <c r="T73" s="1" t="s">
        <v>483</v>
      </c>
      <c r="U73" s="1">
        <v>4</v>
      </c>
      <c r="V73" s="1">
        <v>1132</v>
      </c>
      <c r="W73" s="5">
        <v>45964</v>
      </c>
      <c r="X73" s="5">
        <v>45964</v>
      </c>
      <c r="Y73" s="5">
        <v>45964</v>
      </c>
      <c r="AA73" s="2">
        <v>5492053</v>
      </c>
      <c r="AB73" s="14">
        <v>45965</v>
      </c>
      <c r="AC73" s="14">
        <v>45965</v>
      </c>
      <c r="AD73" s="2">
        <v>6460908</v>
      </c>
      <c r="AE73" s="2">
        <v>2840215</v>
      </c>
      <c r="AF73" s="14">
        <v>45965</v>
      </c>
      <c r="AG73" s="14">
        <v>45966</v>
      </c>
      <c r="AH73" s="14">
        <v>45966</v>
      </c>
      <c r="AI73" s="14">
        <v>45967</v>
      </c>
      <c r="AJ73" s="2" t="s">
        <v>2628</v>
      </c>
      <c r="AK73" s="1" t="s">
        <v>282</v>
      </c>
    </row>
    <row r="74" spans="1:45" s="1" customFormat="1" x14ac:dyDescent="0.3">
      <c r="A74" s="2">
        <v>73</v>
      </c>
      <c r="B74" s="2">
        <v>51961</v>
      </c>
      <c r="C74" s="1" t="s">
        <v>2605</v>
      </c>
      <c r="D74" s="3">
        <v>45959</v>
      </c>
      <c r="E74" s="2">
        <v>143252</v>
      </c>
      <c r="F74" s="2" t="s">
        <v>1140</v>
      </c>
      <c r="G74" s="2" t="s">
        <v>142</v>
      </c>
      <c r="H74" s="2" t="s">
        <v>683</v>
      </c>
      <c r="I74" s="1" t="s">
        <v>2634</v>
      </c>
      <c r="J74" s="1">
        <f t="shared" si="1"/>
        <v>1</v>
      </c>
      <c r="K74" s="1" t="s">
        <v>2606</v>
      </c>
      <c r="M74" s="1">
        <v>2296</v>
      </c>
      <c r="O74" s="2" t="s">
        <v>382</v>
      </c>
      <c r="P74" s="2" t="s">
        <v>199</v>
      </c>
      <c r="Q74" s="1" t="s">
        <v>2607</v>
      </c>
      <c r="T74" s="1" t="s">
        <v>483</v>
      </c>
      <c r="U74" s="1">
        <v>7</v>
      </c>
      <c r="V74" s="1">
        <v>2216</v>
      </c>
      <c r="W74" s="5">
        <v>45964</v>
      </c>
      <c r="X74" s="5">
        <v>45964</v>
      </c>
      <c r="Y74" s="5">
        <v>45964</v>
      </c>
      <c r="AA74" s="2">
        <v>5492211</v>
      </c>
      <c r="AB74" s="5">
        <v>45965</v>
      </c>
      <c r="AC74" s="14">
        <v>45965</v>
      </c>
      <c r="AD74" s="2">
        <v>12706452</v>
      </c>
      <c r="AE74" s="2">
        <v>5585757</v>
      </c>
      <c r="AF74" s="14">
        <v>45965</v>
      </c>
      <c r="AG74" s="5">
        <v>45966</v>
      </c>
      <c r="AH74" s="5">
        <v>45966</v>
      </c>
      <c r="AI74" s="14">
        <v>45967</v>
      </c>
      <c r="AJ74" s="2" t="s">
        <v>2633</v>
      </c>
      <c r="AK74" s="1" t="s">
        <v>273</v>
      </c>
    </row>
    <row r="75" spans="1:45" s="2" customFormat="1" ht="28.8" x14ac:dyDescent="0.3">
      <c r="A75" s="2">
        <v>74</v>
      </c>
      <c r="B75" s="2">
        <v>51993</v>
      </c>
      <c r="C75" s="7" t="s">
        <v>2619</v>
      </c>
      <c r="D75" s="7" t="s">
        <v>2620</v>
      </c>
      <c r="E75" s="7" t="s">
        <v>2621</v>
      </c>
      <c r="F75" s="2" t="s">
        <v>685</v>
      </c>
      <c r="G75" s="2" t="s">
        <v>142</v>
      </c>
      <c r="H75" s="2" t="s">
        <v>683</v>
      </c>
      <c r="I75" s="2" t="s">
        <v>2663</v>
      </c>
      <c r="J75" s="1">
        <f t="shared" si="1"/>
        <v>2</v>
      </c>
      <c r="K75" s="7" t="s">
        <v>2622</v>
      </c>
      <c r="O75" s="2" t="s">
        <v>382</v>
      </c>
      <c r="P75" s="2" t="s">
        <v>199</v>
      </c>
      <c r="Q75" s="2" t="s">
        <v>2623</v>
      </c>
      <c r="T75" s="2" t="s">
        <v>685</v>
      </c>
      <c r="U75" s="2">
        <v>1</v>
      </c>
      <c r="V75" s="2">
        <v>2</v>
      </c>
      <c r="W75" s="14">
        <v>45966</v>
      </c>
      <c r="X75" s="14">
        <v>45966</v>
      </c>
      <c r="Y75" s="14">
        <v>45966</v>
      </c>
      <c r="AA75" s="2">
        <v>5529597</v>
      </c>
      <c r="AB75" s="14">
        <v>45967</v>
      </c>
      <c r="AC75" s="14">
        <v>45967</v>
      </c>
      <c r="AD75" s="2">
        <v>73709.710000000006</v>
      </c>
      <c r="AE75" s="2">
        <v>32403</v>
      </c>
      <c r="AF75" s="14">
        <v>45967</v>
      </c>
      <c r="AG75" s="14">
        <v>45968</v>
      </c>
      <c r="AH75" s="14">
        <v>45969</v>
      </c>
      <c r="AI75" s="14">
        <v>45972</v>
      </c>
      <c r="AJ75" s="2" t="s">
        <v>2664</v>
      </c>
    </row>
    <row r="76" spans="1:45" s="1" customFormat="1" ht="57.6" x14ac:dyDescent="0.3">
      <c r="A76" s="2">
        <v>75</v>
      </c>
      <c r="B76" s="2">
        <v>52049</v>
      </c>
      <c r="C76" s="8" t="s">
        <v>2657</v>
      </c>
      <c r="D76" s="8" t="s">
        <v>2658</v>
      </c>
      <c r="E76" s="7" t="s">
        <v>2659</v>
      </c>
      <c r="F76" s="2" t="s">
        <v>1140</v>
      </c>
      <c r="G76" s="2" t="s">
        <v>142</v>
      </c>
      <c r="H76" s="2" t="s">
        <v>683</v>
      </c>
      <c r="I76" s="2" t="s">
        <v>2708</v>
      </c>
      <c r="J76" s="1">
        <f t="shared" si="1"/>
        <v>1</v>
      </c>
      <c r="K76" s="8" t="s">
        <v>2660</v>
      </c>
      <c r="M76" s="2">
        <v>2002</v>
      </c>
      <c r="O76" s="2" t="s">
        <v>382</v>
      </c>
      <c r="P76" s="2" t="s">
        <v>199</v>
      </c>
      <c r="Q76" s="2">
        <v>21706963655</v>
      </c>
      <c r="T76" s="2" t="s">
        <v>483</v>
      </c>
      <c r="U76" s="2">
        <v>6</v>
      </c>
      <c r="V76" s="2">
        <v>1924</v>
      </c>
      <c r="W76" s="14">
        <v>45971</v>
      </c>
      <c r="X76" s="14">
        <v>45971</v>
      </c>
      <c r="Y76" s="14">
        <v>45971</v>
      </c>
      <c r="AA76" s="2">
        <v>5631058</v>
      </c>
      <c r="AB76" s="4">
        <v>45972</v>
      </c>
      <c r="AC76" s="14">
        <v>45972</v>
      </c>
      <c r="AD76" s="2">
        <v>11082606</v>
      </c>
      <c r="AE76" s="2">
        <v>4871913</v>
      </c>
      <c r="AF76" s="14">
        <v>45972</v>
      </c>
      <c r="AG76" s="14">
        <v>45973</v>
      </c>
      <c r="AH76" s="14">
        <v>45973</v>
      </c>
      <c r="AI76" s="14">
        <v>45974</v>
      </c>
      <c r="AJ76" s="2" t="s">
        <v>2706</v>
      </c>
      <c r="AK76" s="2" t="s">
        <v>273</v>
      </c>
    </row>
    <row r="77" spans="1:45" s="1" customFormat="1" x14ac:dyDescent="0.3">
      <c r="A77" s="2">
        <v>76</v>
      </c>
      <c r="B77" s="2">
        <v>52051</v>
      </c>
      <c r="C77" s="1" t="s">
        <v>2689</v>
      </c>
      <c r="D77" s="3">
        <v>45967</v>
      </c>
      <c r="E77" s="2">
        <v>121400</v>
      </c>
      <c r="F77" s="2" t="s">
        <v>1140</v>
      </c>
      <c r="G77" s="2" t="s">
        <v>142</v>
      </c>
      <c r="H77" s="2" t="s">
        <v>683</v>
      </c>
      <c r="I77" s="2" t="s">
        <v>2709</v>
      </c>
      <c r="J77" s="1">
        <f t="shared" si="1"/>
        <v>1</v>
      </c>
      <c r="K77" s="1" t="s">
        <v>2661</v>
      </c>
      <c r="M77" s="1">
        <v>1963</v>
      </c>
      <c r="O77" s="2" t="s">
        <v>163</v>
      </c>
      <c r="P77" s="2" t="s">
        <v>335</v>
      </c>
      <c r="Q77" s="2">
        <v>21706963751</v>
      </c>
      <c r="T77" s="2" t="s">
        <v>483</v>
      </c>
      <c r="U77" s="1">
        <v>6</v>
      </c>
      <c r="V77" s="1">
        <v>1880</v>
      </c>
      <c r="W77" s="14">
        <v>45971</v>
      </c>
      <c r="X77" s="14">
        <v>45971</v>
      </c>
      <c r="Y77" s="14">
        <v>45971</v>
      </c>
      <c r="AA77" s="2">
        <v>5631056</v>
      </c>
      <c r="AB77" s="4">
        <v>45972</v>
      </c>
      <c r="AC77" s="14">
        <v>45972</v>
      </c>
      <c r="AD77" s="2">
        <v>10865300</v>
      </c>
      <c r="AE77" s="2">
        <v>4776386</v>
      </c>
      <c r="AF77" s="14">
        <v>45972</v>
      </c>
      <c r="AG77" s="5">
        <v>45973</v>
      </c>
      <c r="AH77" s="14">
        <v>45973</v>
      </c>
      <c r="AI77" s="14">
        <v>45974</v>
      </c>
      <c r="AJ77" s="2" t="s">
        <v>2707</v>
      </c>
      <c r="AK77" s="2" t="s">
        <v>273</v>
      </c>
    </row>
    <row r="78" spans="1:45" s="1" customFormat="1" x14ac:dyDescent="0.3">
      <c r="A78" s="2">
        <v>77</v>
      </c>
      <c r="B78" s="2">
        <v>52079</v>
      </c>
      <c r="C78" s="1">
        <v>251104812</v>
      </c>
      <c r="D78" s="3">
        <v>45971</v>
      </c>
      <c r="E78" s="2">
        <v>77034.55</v>
      </c>
      <c r="F78" s="2" t="s">
        <v>2208</v>
      </c>
      <c r="G78" s="2" t="s">
        <v>142</v>
      </c>
      <c r="H78" s="2" t="s">
        <v>677</v>
      </c>
      <c r="I78" s="1" t="s">
        <v>2710</v>
      </c>
      <c r="J78" s="1">
        <f t="shared" si="1"/>
        <v>0</v>
      </c>
      <c r="K78" s="1" t="s">
        <v>2687</v>
      </c>
      <c r="O78" s="2" t="s">
        <v>818</v>
      </c>
      <c r="P78" s="2" t="s">
        <v>204</v>
      </c>
      <c r="Q78" s="2">
        <v>60751026426</v>
      </c>
      <c r="R78" s="1">
        <v>4840741592</v>
      </c>
      <c r="T78" s="1" t="s">
        <v>179</v>
      </c>
      <c r="U78" s="1">
        <v>5</v>
      </c>
      <c r="V78" s="1">
        <v>21.5</v>
      </c>
      <c r="W78" s="5">
        <v>45973</v>
      </c>
      <c r="X78" s="14">
        <v>45974</v>
      </c>
      <c r="Y78" s="14">
        <v>45974</v>
      </c>
      <c r="AA78" s="2">
        <v>5673252</v>
      </c>
      <c r="AB78" s="5">
        <v>45974</v>
      </c>
      <c r="AC78" s="14">
        <v>45975</v>
      </c>
      <c r="AD78" s="2">
        <v>6894592</v>
      </c>
      <c r="AE78" s="2">
        <v>3030863</v>
      </c>
      <c r="AF78" s="14">
        <v>45974</v>
      </c>
      <c r="AG78" s="5">
        <v>45975</v>
      </c>
      <c r="AH78" s="5">
        <v>45975</v>
      </c>
      <c r="AI78" s="14">
        <v>45975</v>
      </c>
      <c r="AJ78" s="2" t="s">
        <v>1527</v>
      </c>
      <c r="AK78" s="1" t="s">
        <v>273</v>
      </c>
    </row>
    <row r="79" spans="1:45" s="1" customFormat="1" x14ac:dyDescent="0.3">
      <c r="A79" s="2">
        <v>78</v>
      </c>
      <c r="B79" s="2">
        <v>52054</v>
      </c>
      <c r="C79" s="2">
        <v>251104120</v>
      </c>
      <c r="D79" s="3">
        <v>45971</v>
      </c>
      <c r="E79" s="2">
        <v>129.80000000000001</v>
      </c>
      <c r="F79" s="2" t="s">
        <v>1161</v>
      </c>
      <c r="G79" s="2" t="s">
        <v>142</v>
      </c>
      <c r="H79" s="2" t="s">
        <v>677</v>
      </c>
      <c r="I79" s="1" t="s">
        <v>2734</v>
      </c>
      <c r="J79" s="1">
        <f t="shared" si="1"/>
        <v>1</v>
      </c>
      <c r="K79" s="1" t="s">
        <v>2665</v>
      </c>
      <c r="O79" s="2" t="s">
        <v>163</v>
      </c>
      <c r="P79" s="2" t="s">
        <v>2592</v>
      </c>
      <c r="Q79" s="1" t="s">
        <v>2666</v>
      </c>
      <c r="R79" s="1" t="s">
        <v>2667</v>
      </c>
      <c r="T79" s="1" t="s">
        <v>179</v>
      </c>
      <c r="U79" s="1">
        <v>1</v>
      </c>
      <c r="V79" s="1">
        <v>1.5</v>
      </c>
      <c r="W79" s="5">
        <v>45972</v>
      </c>
      <c r="X79" s="14">
        <v>45972</v>
      </c>
      <c r="Y79" s="5">
        <v>45972</v>
      </c>
      <c r="AA79" s="2">
        <v>5656015</v>
      </c>
      <c r="AB79" s="5">
        <v>45973</v>
      </c>
      <c r="AC79" s="14">
        <v>45975</v>
      </c>
      <c r="AD79" s="2">
        <v>11617</v>
      </c>
      <c r="AE79" s="2">
        <v>4353</v>
      </c>
      <c r="AF79" s="14">
        <v>45974</v>
      </c>
      <c r="AG79" s="5">
        <v>45975</v>
      </c>
      <c r="AH79" s="5">
        <v>45976</v>
      </c>
      <c r="AI79" s="14">
        <v>45980</v>
      </c>
      <c r="AJ79" s="2" t="s">
        <v>2733</v>
      </c>
      <c r="AK79" s="1" t="s">
        <v>273</v>
      </c>
    </row>
    <row r="80" spans="1:45" s="1" customFormat="1" x14ac:dyDescent="0.3">
      <c r="A80" s="2">
        <v>79</v>
      </c>
      <c r="B80" s="2">
        <v>52108</v>
      </c>
      <c r="C80" s="1" t="s">
        <v>2711</v>
      </c>
      <c r="D80" s="3">
        <v>45959</v>
      </c>
      <c r="E80" s="2">
        <v>20031</v>
      </c>
      <c r="F80" s="2" t="s">
        <v>685</v>
      </c>
      <c r="G80" s="2" t="s">
        <v>142</v>
      </c>
      <c r="H80" s="2" t="s">
        <v>683</v>
      </c>
      <c r="I80" s="1" t="s">
        <v>2737</v>
      </c>
      <c r="J80" s="1">
        <f t="shared" si="1"/>
        <v>2</v>
      </c>
      <c r="K80" s="1" t="s">
        <v>2712</v>
      </c>
      <c r="O80" s="2" t="s">
        <v>382</v>
      </c>
      <c r="P80" s="2" t="s">
        <v>199</v>
      </c>
      <c r="Q80" s="1">
        <v>61848587814</v>
      </c>
      <c r="T80" s="1" t="s">
        <v>685</v>
      </c>
      <c r="U80" s="1">
        <v>1</v>
      </c>
      <c r="V80" s="1">
        <v>311</v>
      </c>
      <c r="W80" s="5">
        <v>45975</v>
      </c>
      <c r="X80" s="14">
        <v>45975</v>
      </c>
      <c r="Y80" s="5">
        <v>45975</v>
      </c>
      <c r="AA80" s="2">
        <v>5738940</v>
      </c>
      <c r="AB80" s="5">
        <v>45978</v>
      </c>
      <c r="AC80" s="14">
        <v>45978</v>
      </c>
      <c r="AD80" s="2">
        <v>1792775</v>
      </c>
      <c r="AE80" s="2">
        <v>788104</v>
      </c>
      <c r="AF80" s="5">
        <v>45978</v>
      </c>
      <c r="AG80" s="5">
        <v>45978</v>
      </c>
      <c r="AH80" s="5">
        <v>45980</v>
      </c>
      <c r="AI80" s="14">
        <v>45980</v>
      </c>
      <c r="AJ80" s="2" t="s">
        <v>2739</v>
      </c>
      <c r="AK80" s="1" t="s">
        <v>273</v>
      </c>
    </row>
    <row r="81" spans="1:45" s="1" customFormat="1" x14ac:dyDescent="0.3">
      <c r="A81" s="2">
        <v>80</v>
      </c>
      <c r="B81" s="2">
        <v>52109</v>
      </c>
      <c r="C81" s="1" t="s">
        <v>2713</v>
      </c>
      <c r="D81" s="3">
        <v>45959</v>
      </c>
      <c r="E81" s="2">
        <v>607</v>
      </c>
      <c r="F81" s="2" t="s">
        <v>685</v>
      </c>
      <c r="G81" s="2" t="s">
        <v>142</v>
      </c>
      <c r="H81" s="2" t="s">
        <v>683</v>
      </c>
      <c r="I81" s="1" t="s">
        <v>2735</v>
      </c>
      <c r="J81" s="1">
        <f t="shared" si="1"/>
        <v>1</v>
      </c>
      <c r="K81" s="1" t="s">
        <v>2714</v>
      </c>
      <c r="O81" s="2" t="s">
        <v>163</v>
      </c>
      <c r="P81" s="2" t="s">
        <v>2592</v>
      </c>
      <c r="Q81" s="1">
        <v>61848587884</v>
      </c>
      <c r="T81" s="1" t="s">
        <v>685</v>
      </c>
      <c r="U81" s="1">
        <v>1</v>
      </c>
      <c r="V81" s="1">
        <v>10</v>
      </c>
      <c r="W81" s="5">
        <v>45975</v>
      </c>
      <c r="X81" s="14">
        <v>45975</v>
      </c>
      <c r="Y81" s="5">
        <v>45975</v>
      </c>
      <c r="AA81" s="2">
        <v>5739046</v>
      </c>
      <c r="AB81" s="5">
        <v>45978</v>
      </c>
      <c r="AC81" s="14">
        <v>45978</v>
      </c>
      <c r="AD81" s="2">
        <v>54327</v>
      </c>
      <c r="AE81" s="2">
        <v>23882</v>
      </c>
      <c r="AF81" s="5">
        <v>45978</v>
      </c>
      <c r="AG81" s="5">
        <v>45978</v>
      </c>
      <c r="AH81" s="5">
        <v>45979</v>
      </c>
      <c r="AI81" s="14">
        <v>45980</v>
      </c>
      <c r="AJ81" s="2" t="s">
        <v>2733</v>
      </c>
      <c r="AK81" s="1" t="s">
        <v>273</v>
      </c>
    </row>
    <row r="82" spans="1:45" s="1" customFormat="1" x14ac:dyDescent="0.3">
      <c r="A82" s="2">
        <v>81</v>
      </c>
      <c r="B82" s="2">
        <v>52112</v>
      </c>
      <c r="C82" s="1" t="s">
        <v>2715</v>
      </c>
      <c r="D82" s="3">
        <v>45975</v>
      </c>
      <c r="E82" s="2">
        <v>72840</v>
      </c>
      <c r="F82" s="2" t="s">
        <v>1140</v>
      </c>
      <c r="G82" s="2" t="s">
        <v>142</v>
      </c>
      <c r="H82" s="2" t="s">
        <v>683</v>
      </c>
      <c r="I82" s="1" t="s">
        <v>2738</v>
      </c>
      <c r="J82" s="1">
        <f t="shared" si="1"/>
        <v>1</v>
      </c>
      <c r="K82" s="1" t="s">
        <v>2716</v>
      </c>
      <c r="O82" s="2" t="s">
        <v>382</v>
      </c>
      <c r="P82" s="2" t="s">
        <v>199</v>
      </c>
      <c r="Q82" s="1">
        <v>21707323035</v>
      </c>
      <c r="T82" s="1" t="s">
        <v>483</v>
      </c>
      <c r="U82" s="1">
        <v>4</v>
      </c>
      <c r="V82" s="1">
        <v>1132</v>
      </c>
      <c r="W82" s="5">
        <v>45975</v>
      </c>
      <c r="X82" s="14">
        <v>45975</v>
      </c>
      <c r="Y82" s="5">
        <v>45975</v>
      </c>
      <c r="AA82" s="2">
        <v>5751633</v>
      </c>
      <c r="AB82" s="5">
        <v>45978</v>
      </c>
      <c r="AC82" s="14">
        <v>45979</v>
      </c>
      <c r="AD82" s="2">
        <v>6519180</v>
      </c>
      <c r="AE82" s="2">
        <v>2865832</v>
      </c>
      <c r="AF82" s="5">
        <v>45978</v>
      </c>
      <c r="AG82" s="5">
        <v>45979</v>
      </c>
      <c r="AH82" s="5">
        <v>45980</v>
      </c>
      <c r="AI82" s="14">
        <v>45980</v>
      </c>
      <c r="AJ82" s="2" t="s">
        <v>2739</v>
      </c>
      <c r="AK82" s="1" t="s">
        <v>273</v>
      </c>
    </row>
    <row r="83" spans="1:45" s="1" customFormat="1" x14ac:dyDescent="0.3">
      <c r="A83" s="2">
        <v>82</v>
      </c>
      <c r="B83" s="2">
        <v>52130</v>
      </c>
      <c r="C83" s="1" t="s">
        <v>2727</v>
      </c>
      <c r="D83" s="3">
        <v>45975</v>
      </c>
      <c r="E83" s="2">
        <v>83766</v>
      </c>
      <c r="F83" s="2" t="s">
        <v>1140</v>
      </c>
      <c r="G83" s="2" t="s">
        <v>142</v>
      </c>
      <c r="H83" s="2" t="s">
        <v>683</v>
      </c>
      <c r="I83" s="1" t="s">
        <v>2736</v>
      </c>
      <c r="J83" s="1">
        <f t="shared" si="1"/>
        <v>1</v>
      </c>
      <c r="K83" s="1" t="s">
        <v>2661</v>
      </c>
      <c r="M83" s="1">
        <v>1354</v>
      </c>
      <c r="O83" s="2" t="s">
        <v>163</v>
      </c>
      <c r="P83" s="2" t="s">
        <v>2592</v>
      </c>
      <c r="Q83" s="1">
        <v>21707323094</v>
      </c>
      <c r="T83" s="1" t="s">
        <v>483</v>
      </c>
      <c r="U83" s="1">
        <v>4</v>
      </c>
      <c r="V83" s="1">
        <v>1301</v>
      </c>
      <c r="W83" s="5">
        <v>45978</v>
      </c>
      <c r="X83" s="14">
        <v>45978</v>
      </c>
      <c r="Y83" s="5">
        <v>45979</v>
      </c>
      <c r="AA83" s="2">
        <v>5766899</v>
      </c>
      <c r="AB83" s="5">
        <v>45979</v>
      </c>
      <c r="AC83" s="14">
        <v>45979</v>
      </c>
      <c r="AD83" s="2">
        <v>7497057</v>
      </c>
      <c r="AE83" s="2">
        <v>3295706</v>
      </c>
      <c r="AF83" s="5">
        <v>45979</v>
      </c>
      <c r="AG83" s="3">
        <v>45980</v>
      </c>
      <c r="AH83" s="5">
        <v>45980</v>
      </c>
      <c r="AI83" s="14">
        <v>45980</v>
      </c>
      <c r="AJ83" s="2" t="s">
        <v>2733</v>
      </c>
      <c r="AK83" s="1" t="s">
        <v>273</v>
      </c>
    </row>
    <row r="84" spans="1:45" x14ac:dyDescent="0.3">
      <c r="A84" s="2">
        <v>83</v>
      </c>
      <c r="B84" s="2">
        <v>52227</v>
      </c>
      <c r="C84" s="1">
        <v>251111782</v>
      </c>
      <c r="D84" s="3">
        <v>45986</v>
      </c>
      <c r="E84" s="2">
        <v>1298</v>
      </c>
      <c r="F84" s="2" t="s">
        <v>817</v>
      </c>
      <c r="G84" s="2" t="s">
        <v>142</v>
      </c>
      <c r="H84" s="2" t="s">
        <v>677</v>
      </c>
      <c r="I84" s="1" t="s">
        <v>2810</v>
      </c>
      <c r="J84" s="1">
        <f t="shared" si="1"/>
        <v>2</v>
      </c>
      <c r="K84" s="1" t="s">
        <v>2764</v>
      </c>
      <c r="M84" s="1"/>
      <c r="N84" s="1"/>
      <c r="O84" s="2" t="s">
        <v>818</v>
      </c>
      <c r="P84" s="2" t="s">
        <v>204</v>
      </c>
      <c r="Q84" s="139" t="s">
        <v>2765</v>
      </c>
      <c r="R84" s="1" t="s">
        <v>2766</v>
      </c>
      <c r="S84" s="1"/>
      <c r="T84" s="1" t="s">
        <v>179</v>
      </c>
      <c r="U84" s="1">
        <v>1</v>
      </c>
      <c r="V84" s="1">
        <v>2</v>
      </c>
      <c r="W84" s="5">
        <v>45987</v>
      </c>
      <c r="X84" s="14">
        <v>45987</v>
      </c>
      <c r="Y84" s="5">
        <v>45988</v>
      </c>
      <c r="Z84" s="1"/>
      <c r="AA84" s="2">
        <v>5954539</v>
      </c>
      <c r="AB84" s="3">
        <v>45988</v>
      </c>
      <c r="AC84" s="14">
        <v>45991</v>
      </c>
      <c r="AD84" s="2">
        <v>116171</v>
      </c>
      <c r="AE84" s="2">
        <v>43530</v>
      </c>
      <c r="AF84" s="5">
        <v>45988</v>
      </c>
      <c r="AG84" s="5">
        <v>45989</v>
      </c>
      <c r="AH84" s="5">
        <v>45993</v>
      </c>
      <c r="AI84" s="5">
        <v>45993</v>
      </c>
      <c r="AJ84" s="2" t="s">
        <v>2819</v>
      </c>
      <c r="AK84" s="1" t="s">
        <v>273</v>
      </c>
      <c r="AL84" s="1"/>
      <c r="AM84" s="1"/>
      <c r="AN84" s="1"/>
      <c r="AO84" s="1"/>
      <c r="AP84" s="1"/>
      <c r="AQ84" s="1"/>
      <c r="AR84" s="1"/>
      <c r="AS84" s="1" t="s">
        <v>2803</v>
      </c>
    </row>
    <row r="85" spans="1:45" s="1" customFormat="1" ht="28.8" x14ac:dyDescent="0.3">
      <c r="A85" s="2">
        <v>84</v>
      </c>
      <c r="B85" s="2">
        <v>52272</v>
      </c>
      <c r="C85" s="7" t="s">
        <v>2794</v>
      </c>
      <c r="D85" s="7" t="s">
        <v>2795</v>
      </c>
      <c r="E85" s="7" t="s">
        <v>2796</v>
      </c>
      <c r="F85" s="2" t="s">
        <v>989</v>
      </c>
      <c r="G85" s="2" t="s">
        <v>142</v>
      </c>
      <c r="H85" s="2" t="s">
        <v>683</v>
      </c>
      <c r="I85" s="2" t="s">
        <v>2827</v>
      </c>
      <c r="J85" s="1">
        <f t="shared" si="1"/>
        <v>1</v>
      </c>
      <c r="K85" s="7" t="s">
        <v>2797</v>
      </c>
      <c r="L85" s="2"/>
      <c r="M85" s="2"/>
      <c r="N85" s="2"/>
      <c r="O85" s="2" t="s">
        <v>382</v>
      </c>
      <c r="P85" s="2" t="s">
        <v>199</v>
      </c>
      <c r="Q85" s="2" t="s">
        <v>2798</v>
      </c>
      <c r="R85" s="2"/>
      <c r="S85" s="2"/>
      <c r="T85" s="2" t="s">
        <v>483</v>
      </c>
      <c r="U85" s="2">
        <v>4</v>
      </c>
      <c r="V85" s="2">
        <v>1168</v>
      </c>
      <c r="W85" s="14">
        <v>45989</v>
      </c>
      <c r="X85" s="14">
        <v>45990</v>
      </c>
      <c r="Y85" s="14">
        <v>45992</v>
      </c>
      <c r="Z85" s="2"/>
      <c r="AA85" s="2">
        <v>6018874</v>
      </c>
      <c r="AB85" s="4">
        <v>45992</v>
      </c>
      <c r="AC85" s="14">
        <v>45992</v>
      </c>
      <c r="AD85" s="2">
        <v>6736486</v>
      </c>
      <c r="AE85" s="2">
        <v>2961359</v>
      </c>
      <c r="AF85" s="14">
        <v>45992</v>
      </c>
      <c r="AG85" s="14">
        <v>45992</v>
      </c>
      <c r="AH85" s="14">
        <v>45993</v>
      </c>
      <c r="AI85" s="14">
        <v>45994</v>
      </c>
      <c r="AJ85" s="128" t="s">
        <v>2820</v>
      </c>
      <c r="AK85" s="2" t="s">
        <v>273</v>
      </c>
      <c r="AL85" s="2"/>
      <c r="AM85" s="2"/>
      <c r="AN85" s="2"/>
      <c r="AO85" s="2"/>
      <c r="AP85" s="2"/>
      <c r="AQ85" s="2"/>
      <c r="AR85" s="2"/>
      <c r="AS85" s="2"/>
    </row>
    <row r="86" spans="1:45" s="1" customFormat="1" x14ac:dyDescent="0.3">
      <c r="A86" s="2">
        <v>85</v>
      </c>
      <c r="B86" s="1">
        <v>52356</v>
      </c>
      <c r="C86" s="1">
        <v>251203755</v>
      </c>
      <c r="D86" s="3">
        <v>45996</v>
      </c>
      <c r="E86" s="1">
        <v>19027</v>
      </c>
      <c r="F86" s="1" t="s">
        <v>817</v>
      </c>
      <c r="G86" s="1" t="s">
        <v>142</v>
      </c>
      <c r="H86" s="1" t="s">
        <v>677</v>
      </c>
      <c r="I86" s="1" t="s">
        <v>2923</v>
      </c>
      <c r="J86" s="1">
        <f t="shared" si="1"/>
        <v>1</v>
      </c>
      <c r="K86" s="1" t="s">
        <v>2517</v>
      </c>
      <c r="O86" s="1" t="s">
        <v>818</v>
      </c>
      <c r="P86" s="1" t="s">
        <v>204</v>
      </c>
      <c r="Q86" s="1" t="s">
        <v>2826</v>
      </c>
      <c r="R86" s="1" t="s">
        <v>2825</v>
      </c>
      <c r="T86" s="1" t="s">
        <v>179</v>
      </c>
      <c r="U86" s="1">
        <v>1</v>
      </c>
      <c r="V86" s="1">
        <v>137.5</v>
      </c>
      <c r="W86" s="5">
        <v>45997</v>
      </c>
      <c r="X86" s="5">
        <v>45997</v>
      </c>
      <c r="Y86" s="5">
        <v>45997</v>
      </c>
      <c r="AA86" s="1">
        <v>6179188</v>
      </c>
      <c r="AB86" s="5">
        <v>46000</v>
      </c>
      <c r="AC86" s="5">
        <v>46005</v>
      </c>
      <c r="AD86" s="1">
        <v>1737165</v>
      </c>
      <c r="AE86" s="1">
        <v>763658</v>
      </c>
      <c r="AF86" s="5">
        <v>46000</v>
      </c>
      <c r="AG86" s="5">
        <v>46002</v>
      </c>
      <c r="AH86" s="5">
        <v>46006</v>
      </c>
      <c r="AI86" s="5">
        <v>46006</v>
      </c>
      <c r="AJ86" s="1" t="s">
        <v>1527</v>
      </c>
      <c r="AK86" s="1" t="s">
        <v>273</v>
      </c>
    </row>
    <row r="87" spans="1:45" s="1" customFormat="1" x14ac:dyDescent="0.3">
      <c r="A87" s="2">
        <v>86</v>
      </c>
      <c r="B87" s="2">
        <v>52413</v>
      </c>
      <c r="C87" s="1" t="s">
        <v>2856</v>
      </c>
      <c r="D87" s="3">
        <v>45999</v>
      </c>
      <c r="E87" s="2">
        <v>25494</v>
      </c>
      <c r="F87" s="2" t="s">
        <v>989</v>
      </c>
      <c r="G87" s="2" t="s">
        <v>142</v>
      </c>
      <c r="H87" s="2" t="s">
        <v>683</v>
      </c>
      <c r="I87" s="2" t="s">
        <v>2936</v>
      </c>
      <c r="J87" s="1">
        <f t="shared" si="1"/>
        <v>1</v>
      </c>
      <c r="K87" s="1" t="s">
        <v>2857</v>
      </c>
      <c r="M87" s="1">
        <v>421</v>
      </c>
      <c r="O87" s="2" t="s">
        <v>382</v>
      </c>
      <c r="P87" s="2" t="s">
        <v>199</v>
      </c>
      <c r="Q87" s="1" t="s">
        <v>2858</v>
      </c>
      <c r="T87" s="1" t="s">
        <v>483</v>
      </c>
      <c r="U87" s="1">
        <v>2</v>
      </c>
      <c r="V87" s="1">
        <v>404</v>
      </c>
      <c r="W87" s="5">
        <v>46002</v>
      </c>
      <c r="X87" s="14">
        <v>46002</v>
      </c>
      <c r="Y87" s="5">
        <v>46003</v>
      </c>
      <c r="AA87" s="2">
        <v>6297680</v>
      </c>
      <c r="AB87" s="5">
        <v>46006</v>
      </c>
      <c r="AC87" s="14">
        <v>46006</v>
      </c>
      <c r="AD87" s="2">
        <v>2327602</v>
      </c>
      <c r="AE87" s="2">
        <v>1023213</v>
      </c>
      <c r="AF87" s="5">
        <v>46006</v>
      </c>
      <c r="AG87" s="5">
        <v>46007</v>
      </c>
      <c r="AH87" s="5">
        <v>46007</v>
      </c>
      <c r="AI87" s="14">
        <v>46008</v>
      </c>
      <c r="AJ87" s="2" t="s">
        <v>2933</v>
      </c>
      <c r="AK87" s="1" t="s">
        <v>282</v>
      </c>
    </row>
    <row r="88" spans="1:45" s="1" customFormat="1" x14ac:dyDescent="0.3">
      <c r="A88" s="2">
        <v>87</v>
      </c>
      <c r="B88" s="2">
        <v>52414</v>
      </c>
      <c r="C88" s="1" t="s">
        <v>2859</v>
      </c>
      <c r="D88" s="3">
        <v>45989</v>
      </c>
      <c r="E88" s="2">
        <v>222162</v>
      </c>
      <c r="F88" s="2" t="s">
        <v>989</v>
      </c>
      <c r="G88" s="2" t="s">
        <v>142</v>
      </c>
      <c r="H88" s="2" t="s">
        <v>683</v>
      </c>
      <c r="I88" s="2" t="s">
        <v>2935</v>
      </c>
      <c r="J88" s="1">
        <f t="shared" si="1"/>
        <v>1</v>
      </c>
      <c r="K88" s="1" t="s">
        <v>2860</v>
      </c>
      <c r="M88" s="1">
        <v>3664</v>
      </c>
      <c r="O88" s="2" t="s">
        <v>382</v>
      </c>
      <c r="P88" s="2" t="s">
        <v>199</v>
      </c>
      <c r="Q88" s="1" t="s">
        <v>2866</v>
      </c>
      <c r="T88" s="1" t="s">
        <v>483</v>
      </c>
      <c r="U88" s="1">
        <v>11</v>
      </c>
      <c r="V88" s="1">
        <v>3533</v>
      </c>
      <c r="W88" s="5">
        <v>46002</v>
      </c>
      <c r="X88" s="14">
        <v>46002</v>
      </c>
      <c r="Y88" s="5">
        <v>46003</v>
      </c>
      <c r="AA88" s="2">
        <v>6297676</v>
      </c>
      <c r="AB88" s="5">
        <v>46006</v>
      </c>
      <c r="AC88" s="14">
        <v>46006</v>
      </c>
      <c r="AD88" s="2">
        <v>20283391</v>
      </c>
      <c r="AE88" s="2">
        <v>8916579</v>
      </c>
      <c r="AF88" s="5">
        <v>46006</v>
      </c>
      <c r="AG88" s="5">
        <v>46007</v>
      </c>
      <c r="AH88" s="5">
        <v>46007</v>
      </c>
      <c r="AI88" s="14">
        <v>46008</v>
      </c>
      <c r="AJ88" s="2" t="s">
        <v>2934</v>
      </c>
      <c r="AK88" s="1" t="s">
        <v>282</v>
      </c>
    </row>
    <row r="89" spans="1:45" s="1" customFormat="1" x14ac:dyDescent="0.3">
      <c r="A89" s="2">
        <v>88</v>
      </c>
      <c r="B89" s="2">
        <v>52452</v>
      </c>
      <c r="C89" s="1" t="s">
        <v>2913</v>
      </c>
      <c r="D89" s="4">
        <v>45999</v>
      </c>
      <c r="E89" s="2">
        <v>4856</v>
      </c>
      <c r="F89" s="2" t="s">
        <v>989</v>
      </c>
      <c r="G89" s="2" t="s">
        <v>142</v>
      </c>
      <c r="H89" s="2" t="s">
        <v>683</v>
      </c>
      <c r="I89" s="2" t="s">
        <v>2937</v>
      </c>
      <c r="J89" s="1">
        <f t="shared" si="1"/>
        <v>1</v>
      </c>
      <c r="K89" s="1" t="s">
        <v>2914</v>
      </c>
      <c r="O89" s="2" t="s">
        <v>163</v>
      </c>
      <c r="P89" s="2" t="s">
        <v>2592</v>
      </c>
      <c r="Q89" s="1">
        <v>21707324063</v>
      </c>
      <c r="T89" s="1" t="s">
        <v>483</v>
      </c>
      <c r="U89" s="1">
        <v>8</v>
      </c>
      <c r="V89" s="1">
        <v>72</v>
      </c>
      <c r="W89" s="5">
        <v>46006</v>
      </c>
      <c r="X89" s="14">
        <v>46006</v>
      </c>
      <c r="Y89" s="14">
        <v>46006</v>
      </c>
      <c r="AA89" s="2">
        <v>6323498</v>
      </c>
      <c r="AB89" s="5">
        <v>46007</v>
      </c>
      <c r="AC89" s="14">
        <v>46007</v>
      </c>
      <c r="AD89" s="2">
        <v>443353</v>
      </c>
      <c r="AE89" s="2">
        <v>194898</v>
      </c>
      <c r="AF89" s="5">
        <v>46007</v>
      </c>
      <c r="AG89" s="5">
        <v>46007</v>
      </c>
      <c r="AH89" s="5">
        <v>46008</v>
      </c>
      <c r="AI89" s="14">
        <v>46009</v>
      </c>
      <c r="AJ89" s="2" t="s">
        <v>2938</v>
      </c>
      <c r="AK89" s="1" t="s">
        <v>282</v>
      </c>
    </row>
    <row r="90" spans="1:45" s="1" customFormat="1" x14ac:dyDescent="0.3">
      <c r="A90" s="2">
        <v>89</v>
      </c>
      <c r="B90" s="2">
        <v>52407</v>
      </c>
      <c r="C90" s="1" t="s">
        <v>2853</v>
      </c>
      <c r="D90" s="3">
        <v>45988</v>
      </c>
      <c r="E90" s="2">
        <v>106832</v>
      </c>
      <c r="F90" s="2" t="s">
        <v>989</v>
      </c>
      <c r="G90" s="2" t="s">
        <v>142</v>
      </c>
      <c r="H90" s="2" t="s">
        <v>683</v>
      </c>
      <c r="I90" s="2" t="s">
        <v>2956</v>
      </c>
      <c r="J90" s="1">
        <f t="shared" si="1"/>
        <v>1</v>
      </c>
      <c r="K90" s="1" t="s">
        <v>2854</v>
      </c>
      <c r="M90" s="143">
        <v>1762</v>
      </c>
      <c r="O90" s="2" t="s">
        <v>163</v>
      </c>
      <c r="P90" s="2" t="s">
        <v>2592</v>
      </c>
      <c r="Q90" s="1" t="s">
        <v>2855</v>
      </c>
      <c r="T90" s="1" t="s">
        <v>483</v>
      </c>
      <c r="U90" s="1">
        <v>5</v>
      </c>
      <c r="V90" s="1">
        <v>1652</v>
      </c>
      <c r="W90" s="5">
        <v>46002</v>
      </c>
      <c r="X90" s="14">
        <v>46002</v>
      </c>
      <c r="Y90" s="5">
        <v>46002</v>
      </c>
      <c r="AA90" s="2">
        <v>6343574</v>
      </c>
      <c r="AB90" s="5">
        <v>46008</v>
      </c>
      <c r="AC90" s="14">
        <v>46008</v>
      </c>
      <c r="AD90" s="2">
        <v>9753762</v>
      </c>
      <c r="AE90" s="2">
        <v>4287753</v>
      </c>
      <c r="AF90" s="5">
        <v>46008</v>
      </c>
      <c r="AG90" s="5">
        <v>46009</v>
      </c>
      <c r="AH90" s="5">
        <v>46009</v>
      </c>
      <c r="AI90" s="14">
        <v>46010</v>
      </c>
      <c r="AJ90" s="2" t="s">
        <v>2954</v>
      </c>
      <c r="AK90" s="1" t="s">
        <v>282</v>
      </c>
    </row>
    <row r="91" spans="1:45" s="1" customFormat="1" x14ac:dyDescent="0.3">
      <c r="A91" s="2">
        <v>90</v>
      </c>
      <c r="B91" s="2">
        <v>52420</v>
      </c>
      <c r="C91" s="1">
        <v>251205101</v>
      </c>
      <c r="D91" s="3">
        <v>46000</v>
      </c>
      <c r="E91" s="2">
        <v>259.60000000000002</v>
      </c>
      <c r="F91" s="2" t="s">
        <v>817</v>
      </c>
      <c r="G91" s="2" t="s">
        <v>142</v>
      </c>
      <c r="H91" s="2" t="s">
        <v>677</v>
      </c>
      <c r="I91" s="2" t="s">
        <v>2955</v>
      </c>
      <c r="J91" s="1">
        <f t="shared" si="1"/>
        <v>0</v>
      </c>
      <c r="K91" s="1" t="s">
        <v>2862</v>
      </c>
      <c r="O91" s="2" t="s">
        <v>163</v>
      </c>
      <c r="P91" s="2" t="s">
        <v>2592</v>
      </c>
      <c r="Q91" s="1" t="s">
        <v>2863</v>
      </c>
      <c r="R91" s="1" t="s">
        <v>2864</v>
      </c>
      <c r="T91" s="2" t="s">
        <v>179</v>
      </c>
      <c r="U91" s="1">
        <v>1</v>
      </c>
      <c r="V91" s="1">
        <v>2</v>
      </c>
      <c r="W91" s="5">
        <v>46003</v>
      </c>
      <c r="X91" s="14">
        <v>46003</v>
      </c>
      <c r="Y91" s="5">
        <v>46003</v>
      </c>
      <c r="AA91" s="2">
        <v>6263842</v>
      </c>
      <c r="AB91" s="5">
        <v>46003</v>
      </c>
      <c r="AC91" s="14">
        <v>46009</v>
      </c>
      <c r="AD91" s="2">
        <v>23701</v>
      </c>
      <c r="AE91" s="2">
        <v>8881</v>
      </c>
      <c r="AF91" s="5">
        <v>46004</v>
      </c>
      <c r="AG91" s="14">
        <v>46006</v>
      </c>
      <c r="AH91" s="5">
        <v>46009</v>
      </c>
      <c r="AI91" s="14">
        <v>46010</v>
      </c>
      <c r="AJ91" s="2" t="s">
        <v>2954</v>
      </c>
      <c r="AK91" s="1" t="s">
        <v>282</v>
      </c>
    </row>
    <row r="92" spans="1:45" s="1" customFormat="1" x14ac:dyDescent="0.3">
      <c r="A92" s="2">
        <v>91</v>
      </c>
      <c r="B92" s="2">
        <v>52421</v>
      </c>
      <c r="C92" s="1">
        <v>251205563</v>
      </c>
      <c r="D92" s="3">
        <v>46000</v>
      </c>
      <c r="E92" s="2">
        <v>2283.2399999999998</v>
      </c>
      <c r="F92" s="2" t="s">
        <v>817</v>
      </c>
      <c r="G92" s="2" t="s">
        <v>142</v>
      </c>
      <c r="H92" s="2" t="s">
        <v>677</v>
      </c>
      <c r="I92" s="2" t="s">
        <v>2953</v>
      </c>
      <c r="J92" s="1">
        <f t="shared" si="1"/>
        <v>0</v>
      </c>
      <c r="K92" s="1" t="s">
        <v>2517</v>
      </c>
      <c r="O92" s="2" t="s">
        <v>818</v>
      </c>
      <c r="P92" s="2" t="s">
        <v>204</v>
      </c>
      <c r="Q92" s="1" t="s">
        <v>2863</v>
      </c>
      <c r="R92" s="1" t="s">
        <v>2865</v>
      </c>
      <c r="T92" s="2" t="s">
        <v>179</v>
      </c>
      <c r="U92" s="1">
        <v>1</v>
      </c>
      <c r="V92" s="1">
        <v>8</v>
      </c>
      <c r="W92" s="5">
        <v>46003</v>
      </c>
      <c r="X92" s="14">
        <v>46003</v>
      </c>
      <c r="Y92" s="5">
        <v>46003</v>
      </c>
      <c r="AA92" s="2">
        <v>6263844</v>
      </c>
      <c r="AB92" s="5">
        <v>46003</v>
      </c>
      <c r="AC92" s="14">
        <v>46009</v>
      </c>
      <c r="AD92" s="2">
        <v>208460</v>
      </c>
      <c r="AE92" s="2">
        <v>91639</v>
      </c>
      <c r="AF92" s="5">
        <v>46004</v>
      </c>
      <c r="AG92" s="14">
        <v>46006</v>
      </c>
      <c r="AH92" s="5">
        <v>46009</v>
      </c>
      <c r="AI92" s="14">
        <v>46010</v>
      </c>
      <c r="AJ92" s="2" t="s">
        <v>2819</v>
      </c>
      <c r="AK92" s="1" t="s">
        <v>282</v>
      </c>
    </row>
    <row r="93" spans="1:45" s="2" customFormat="1" x14ac:dyDescent="0.3">
      <c r="A93" s="2">
        <v>92</v>
      </c>
      <c r="B93" s="2">
        <v>52378</v>
      </c>
      <c r="C93" s="2">
        <v>251206013</v>
      </c>
      <c r="D93" s="4">
        <v>45999</v>
      </c>
      <c r="E93" s="2">
        <v>17261.36</v>
      </c>
      <c r="F93" s="2" t="s">
        <v>817</v>
      </c>
      <c r="G93" s="2" t="s">
        <v>142</v>
      </c>
      <c r="H93" s="2" t="s">
        <v>677</v>
      </c>
      <c r="I93" s="2" t="s">
        <v>2958</v>
      </c>
      <c r="J93" s="1">
        <f t="shared" si="1"/>
        <v>1</v>
      </c>
      <c r="K93" s="2" t="s">
        <v>2835</v>
      </c>
      <c r="O93" s="2" t="s">
        <v>818</v>
      </c>
      <c r="P93" s="2" t="s">
        <v>204</v>
      </c>
      <c r="Q93" s="2" t="s">
        <v>2836</v>
      </c>
      <c r="R93" s="2" t="s">
        <v>2837</v>
      </c>
      <c r="T93" s="2" t="s">
        <v>179</v>
      </c>
      <c r="U93" s="2">
        <v>1</v>
      </c>
      <c r="V93" s="2">
        <v>30</v>
      </c>
      <c r="W93" s="14">
        <v>46000</v>
      </c>
      <c r="X93" s="14">
        <v>46000</v>
      </c>
      <c r="Y93" s="14">
        <v>46000</v>
      </c>
      <c r="AA93" s="2">
        <v>6255876</v>
      </c>
      <c r="AB93" s="14">
        <v>46003</v>
      </c>
      <c r="AC93" s="14">
        <v>46010</v>
      </c>
      <c r="AD93" s="2">
        <v>1575962</v>
      </c>
      <c r="AE93" s="2">
        <v>692792</v>
      </c>
      <c r="AF93" s="14">
        <v>46003</v>
      </c>
      <c r="AG93" s="14">
        <v>46006</v>
      </c>
      <c r="AH93" s="14">
        <v>46011</v>
      </c>
      <c r="AI93" s="14">
        <v>46013</v>
      </c>
      <c r="AJ93" s="2" t="s">
        <v>2957</v>
      </c>
      <c r="AK93" s="2" t="s">
        <v>273</v>
      </c>
    </row>
    <row r="94" spans="1:45" s="2" customFormat="1" x14ac:dyDescent="0.3">
      <c r="A94" s="2">
        <v>93</v>
      </c>
      <c r="B94" s="2">
        <v>52379</v>
      </c>
      <c r="C94" s="2">
        <v>251113888</v>
      </c>
      <c r="D94" s="4">
        <v>45999</v>
      </c>
      <c r="E94" s="2">
        <v>9883.68</v>
      </c>
      <c r="F94" s="2" t="s">
        <v>817</v>
      </c>
      <c r="G94" s="2" t="s">
        <v>142</v>
      </c>
      <c r="H94" s="2" t="s">
        <v>677</v>
      </c>
      <c r="I94" s="2" t="s">
        <v>2959</v>
      </c>
      <c r="J94" s="1">
        <f t="shared" si="1"/>
        <v>1</v>
      </c>
      <c r="K94" s="2" t="s">
        <v>2835</v>
      </c>
      <c r="O94" s="2" t="s">
        <v>818</v>
      </c>
      <c r="P94" s="2" t="s">
        <v>204</v>
      </c>
      <c r="Q94" s="2" t="s">
        <v>2836</v>
      </c>
      <c r="R94" s="2" t="s">
        <v>2838</v>
      </c>
      <c r="T94" s="2" t="s">
        <v>179</v>
      </c>
      <c r="U94" s="2">
        <v>1</v>
      </c>
      <c r="V94" s="2">
        <v>10</v>
      </c>
      <c r="W94" s="14">
        <v>46000</v>
      </c>
      <c r="X94" s="14">
        <v>46000</v>
      </c>
      <c r="Y94" s="14">
        <v>46000</v>
      </c>
      <c r="AA94" s="2">
        <v>6255881</v>
      </c>
      <c r="AB94" s="14">
        <v>46003</v>
      </c>
      <c r="AC94" s="14">
        <v>46010</v>
      </c>
      <c r="AD94" s="2">
        <v>902380</v>
      </c>
      <c r="AE94" s="2">
        <v>396687</v>
      </c>
      <c r="AF94" s="14">
        <v>46003</v>
      </c>
      <c r="AG94" s="14">
        <v>46006</v>
      </c>
      <c r="AH94" s="14">
        <v>46011</v>
      </c>
      <c r="AI94" s="14">
        <v>46013</v>
      </c>
      <c r="AJ94" s="2" t="s">
        <v>2957</v>
      </c>
      <c r="AK94" s="2" t="s">
        <v>273</v>
      </c>
    </row>
    <row r="95" spans="1:45" s="2" customFormat="1" ht="43.2" x14ac:dyDescent="0.3">
      <c r="A95" s="2">
        <v>94</v>
      </c>
      <c r="B95" s="2">
        <v>52494</v>
      </c>
      <c r="C95" s="7" t="s">
        <v>2939</v>
      </c>
      <c r="D95" s="7" t="s">
        <v>2940</v>
      </c>
      <c r="E95" s="7" t="s">
        <v>2941</v>
      </c>
      <c r="F95" s="2" t="s">
        <v>989</v>
      </c>
      <c r="G95" s="2" t="s">
        <v>142</v>
      </c>
      <c r="H95" s="2" t="s">
        <v>683</v>
      </c>
      <c r="I95" s="2" t="s">
        <v>3030</v>
      </c>
      <c r="J95" s="1">
        <f t="shared" si="1"/>
        <v>0</v>
      </c>
      <c r="K95" s="7" t="s">
        <v>2942</v>
      </c>
      <c r="O95" s="2" t="s">
        <v>382</v>
      </c>
      <c r="P95" s="2" t="s">
        <v>199</v>
      </c>
      <c r="Q95" s="2" t="s">
        <v>2943</v>
      </c>
      <c r="T95" s="2" t="s">
        <v>2944</v>
      </c>
      <c r="U95" s="2">
        <v>14</v>
      </c>
      <c r="V95" s="2">
        <v>4546</v>
      </c>
      <c r="W95" s="14">
        <v>46010</v>
      </c>
      <c r="X95" s="14">
        <v>46010</v>
      </c>
      <c r="Y95" s="14">
        <v>46010</v>
      </c>
      <c r="AA95" s="2">
        <v>6427088</v>
      </c>
      <c r="AB95" s="4">
        <v>46011</v>
      </c>
      <c r="AC95" s="14">
        <v>46013</v>
      </c>
      <c r="AD95" s="2">
        <v>26918932.5</v>
      </c>
      <c r="AE95" s="2">
        <v>11833563</v>
      </c>
      <c r="AF95" s="14">
        <v>46011</v>
      </c>
      <c r="AG95" s="14">
        <v>46013</v>
      </c>
      <c r="AH95" s="14">
        <v>46013</v>
      </c>
      <c r="AI95" s="14">
        <v>46014</v>
      </c>
      <c r="AJ95" s="2" t="s">
        <v>3029</v>
      </c>
      <c r="AK95" s="2" t="s">
        <v>273</v>
      </c>
    </row>
    <row r="96" spans="1:45" s="1" customFormat="1" x14ac:dyDescent="0.3">
      <c r="A96" s="2">
        <v>95</v>
      </c>
      <c r="B96" s="2">
        <v>52497</v>
      </c>
      <c r="C96" s="1" t="s">
        <v>2945</v>
      </c>
      <c r="D96" s="3">
        <v>45999</v>
      </c>
      <c r="E96" s="2">
        <v>8498</v>
      </c>
      <c r="F96" s="2" t="s">
        <v>989</v>
      </c>
      <c r="G96" s="2" t="s">
        <v>142</v>
      </c>
      <c r="H96" s="2" t="s">
        <v>683</v>
      </c>
      <c r="I96" s="2" t="s">
        <v>3028</v>
      </c>
      <c r="J96" s="1">
        <f t="shared" si="1"/>
        <v>0</v>
      </c>
      <c r="K96" s="1" t="s">
        <v>2857</v>
      </c>
      <c r="O96" s="2" t="s">
        <v>382</v>
      </c>
      <c r="P96" s="2" t="s">
        <v>199</v>
      </c>
      <c r="Q96" s="2" t="s">
        <v>2946</v>
      </c>
      <c r="T96" s="1" t="s">
        <v>2947</v>
      </c>
      <c r="U96" s="1">
        <v>1</v>
      </c>
      <c r="V96" s="1">
        <v>139</v>
      </c>
      <c r="W96" s="14">
        <v>46010</v>
      </c>
      <c r="X96" s="14">
        <v>46010</v>
      </c>
      <c r="Y96" s="14">
        <v>46010</v>
      </c>
      <c r="AA96" s="2">
        <v>6450101</v>
      </c>
      <c r="AB96" s="5">
        <v>46013</v>
      </c>
      <c r="AC96" s="14">
        <v>46013</v>
      </c>
      <c r="AD96" s="2">
        <v>775443</v>
      </c>
      <c r="AE96" s="2">
        <v>340885</v>
      </c>
      <c r="AF96" s="5">
        <v>46013</v>
      </c>
      <c r="AG96" s="14">
        <v>46013</v>
      </c>
      <c r="AH96" s="14">
        <v>46013</v>
      </c>
      <c r="AI96" s="14">
        <v>46014</v>
      </c>
      <c r="AJ96" s="2" t="s">
        <v>3027</v>
      </c>
      <c r="AK96" s="2" t="s">
        <v>273</v>
      </c>
    </row>
    <row r="97" spans="1:45" s="1" customFormat="1" ht="28.8" x14ac:dyDescent="0.3">
      <c r="A97" s="2">
        <v>96</v>
      </c>
      <c r="B97" s="2">
        <v>52460</v>
      </c>
      <c r="C97" s="8" t="s">
        <v>2927</v>
      </c>
      <c r="D97" s="8" t="s">
        <v>2928</v>
      </c>
      <c r="E97" s="7" t="s">
        <v>2929</v>
      </c>
      <c r="F97" s="2" t="s">
        <v>989</v>
      </c>
      <c r="G97" s="2" t="s">
        <v>142</v>
      </c>
      <c r="H97" s="2" t="s">
        <v>683</v>
      </c>
      <c r="I97" s="2" t="s">
        <v>3073</v>
      </c>
      <c r="J97" s="1">
        <f t="shared" si="1"/>
        <v>1</v>
      </c>
      <c r="K97" s="8" t="s">
        <v>2930</v>
      </c>
      <c r="O97" s="2" t="s">
        <v>382</v>
      </c>
      <c r="P97" s="2" t="s">
        <v>199</v>
      </c>
      <c r="Q97" s="2" t="s">
        <v>2931</v>
      </c>
      <c r="T97" s="2" t="s">
        <v>2932</v>
      </c>
      <c r="U97" s="2">
        <v>5</v>
      </c>
      <c r="V97" s="2">
        <v>1474</v>
      </c>
      <c r="W97" s="14">
        <v>46007</v>
      </c>
      <c r="X97" s="14">
        <v>46007</v>
      </c>
      <c r="Y97" s="14">
        <v>46007</v>
      </c>
      <c r="AA97" s="2">
        <v>6328081</v>
      </c>
      <c r="AB97" s="14">
        <v>46007</v>
      </c>
      <c r="AC97" s="14">
        <v>46013</v>
      </c>
      <c r="AD97" s="2">
        <v>8423703</v>
      </c>
      <c r="AE97" s="2">
        <v>3703060</v>
      </c>
      <c r="AF97" s="14">
        <v>46007</v>
      </c>
      <c r="AG97" s="14">
        <v>46008</v>
      </c>
      <c r="AH97" s="14">
        <v>46014</v>
      </c>
      <c r="AI97" s="14">
        <v>46015</v>
      </c>
      <c r="AJ97" s="2" t="s">
        <v>3074</v>
      </c>
      <c r="AK97" s="1" t="s">
        <v>273</v>
      </c>
    </row>
    <row r="98" spans="1:45" s="2" customFormat="1" ht="28.8" x14ac:dyDescent="0.3">
      <c r="A98" s="2">
        <v>97</v>
      </c>
      <c r="B98" s="2">
        <v>52498</v>
      </c>
      <c r="C98" s="7" t="s">
        <v>2948</v>
      </c>
      <c r="D98" s="7" t="s">
        <v>2949</v>
      </c>
      <c r="E98" s="7" t="s">
        <v>2950</v>
      </c>
      <c r="F98" s="2" t="s">
        <v>989</v>
      </c>
      <c r="G98" s="2" t="s">
        <v>142</v>
      </c>
      <c r="H98" s="2" t="s">
        <v>683</v>
      </c>
      <c r="I98" s="2" t="s">
        <v>3075</v>
      </c>
      <c r="J98" s="1">
        <f t="shared" si="1"/>
        <v>1</v>
      </c>
      <c r="K98" s="2" t="s">
        <v>2951</v>
      </c>
      <c r="O98" s="2" t="s">
        <v>163</v>
      </c>
      <c r="P98" s="2" t="s">
        <v>2592</v>
      </c>
      <c r="Q98" s="2" t="s">
        <v>2952</v>
      </c>
      <c r="T98" s="2" t="s">
        <v>2944</v>
      </c>
      <c r="U98" s="2">
        <v>3</v>
      </c>
      <c r="V98" s="2">
        <v>996</v>
      </c>
      <c r="W98" s="14">
        <v>46010</v>
      </c>
      <c r="X98" s="14">
        <v>46010</v>
      </c>
      <c r="Y98" s="14">
        <v>46010</v>
      </c>
      <c r="AA98" s="2">
        <v>6427081</v>
      </c>
      <c r="AB98" s="4">
        <v>46011</v>
      </c>
      <c r="AC98" s="14">
        <v>46013</v>
      </c>
      <c r="AD98" s="2">
        <v>5871207.5</v>
      </c>
      <c r="AE98" s="2">
        <v>2580983</v>
      </c>
      <c r="AF98" s="14">
        <v>46013</v>
      </c>
      <c r="AG98" s="14">
        <v>46013</v>
      </c>
      <c r="AH98" s="14">
        <v>46014</v>
      </c>
      <c r="AI98" s="14">
        <v>46015</v>
      </c>
      <c r="AJ98" s="2" t="s">
        <v>3076</v>
      </c>
      <c r="AK98" s="1" t="s">
        <v>273</v>
      </c>
    </row>
    <row r="99" spans="1:45" s="1" customFormat="1" ht="43.2" x14ac:dyDescent="0.3">
      <c r="A99" s="2">
        <v>98</v>
      </c>
      <c r="B99" s="2">
        <v>52745</v>
      </c>
      <c r="C99" s="8" t="s">
        <v>3221</v>
      </c>
      <c r="D99" s="8" t="s">
        <v>3222</v>
      </c>
      <c r="E99" s="7" t="s">
        <v>3223</v>
      </c>
      <c r="F99" s="2" t="s">
        <v>3224</v>
      </c>
      <c r="G99" s="2" t="s">
        <v>142</v>
      </c>
      <c r="H99" s="2" t="s">
        <v>683</v>
      </c>
      <c r="I99" s="2" t="s">
        <v>3281</v>
      </c>
      <c r="J99" s="1">
        <f t="shared" si="1"/>
        <v>1</v>
      </c>
      <c r="K99" s="8" t="s">
        <v>2942</v>
      </c>
      <c r="M99" s="1">
        <v>2210</v>
      </c>
      <c r="O99" s="2" t="s">
        <v>382</v>
      </c>
      <c r="P99" s="2" t="s">
        <v>199</v>
      </c>
      <c r="Q99" s="2" t="s">
        <v>3225</v>
      </c>
      <c r="T99" s="2" t="s">
        <v>483</v>
      </c>
      <c r="U99" s="2">
        <v>7</v>
      </c>
      <c r="W99" s="14">
        <v>46028</v>
      </c>
      <c r="X99" s="14">
        <v>46028</v>
      </c>
      <c r="Y99" s="14">
        <v>46029</v>
      </c>
      <c r="AA99" s="2">
        <v>6745395</v>
      </c>
      <c r="AB99" s="14">
        <v>46029</v>
      </c>
      <c r="AC99" s="14">
        <v>46029</v>
      </c>
      <c r="AD99" s="2">
        <v>12235663</v>
      </c>
      <c r="AE99" s="2">
        <v>5378798</v>
      </c>
      <c r="AF99" s="14">
        <v>46029</v>
      </c>
      <c r="AG99" s="5">
        <v>46030</v>
      </c>
      <c r="AH99" s="5">
        <v>46030</v>
      </c>
      <c r="AI99" s="14">
        <v>46031</v>
      </c>
      <c r="AJ99" s="2" t="s">
        <v>3282</v>
      </c>
      <c r="AK99" s="1" t="s">
        <v>282</v>
      </c>
    </row>
    <row r="100" spans="1:45" s="1" customFormat="1" ht="28.8" x14ac:dyDescent="0.3">
      <c r="A100" s="2">
        <v>99</v>
      </c>
      <c r="B100" s="2">
        <v>52965</v>
      </c>
      <c r="C100" s="1">
        <v>251204869</v>
      </c>
      <c r="D100" s="3">
        <v>46041</v>
      </c>
      <c r="E100" s="2">
        <v>3551</v>
      </c>
      <c r="F100" s="2" t="s">
        <v>3489</v>
      </c>
      <c r="G100" s="2" t="s">
        <v>142</v>
      </c>
      <c r="H100" s="2" t="s">
        <v>677</v>
      </c>
      <c r="I100" s="1" t="s">
        <v>3695</v>
      </c>
      <c r="J100" s="1">
        <f t="shared" si="1"/>
        <v>0</v>
      </c>
      <c r="K100" s="8" t="s">
        <v>3490</v>
      </c>
      <c r="O100" s="2" t="s">
        <v>818</v>
      </c>
      <c r="P100" s="2" t="s">
        <v>204</v>
      </c>
      <c r="Q100" s="1" t="s">
        <v>3492</v>
      </c>
      <c r="R100" s="2" t="s">
        <v>3491</v>
      </c>
      <c r="T100" s="1" t="s">
        <v>179</v>
      </c>
      <c r="U100" s="1">
        <v>1</v>
      </c>
      <c r="V100" s="1">
        <v>4</v>
      </c>
      <c r="W100" s="5">
        <v>46043</v>
      </c>
      <c r="X100" s="5">
        <v>46043</v>
      </c>
      <c r="Y100" s="5">
        <v>46044</v>
      </c>
      <c r="AA100" s="2">
        <v>7048185</v>
      </c>
      <c r="AB100" s="14">
        <v>46044</v>
      </c>
      <c r="AC100" s="14">
        <v>46051</v>
      </c>
      <c r="AD100" s="2">
        <v>323851</v>
      </c>
      <c r="AE100" s="2">
        <v>142365</v>
      </c>
      <c r="AF100" s="5">
        <v>46044</v>
      </c>
      <c r="AG100" s="5">
        <v>46045</v>
      </c>
      <c r="AH100" s="5">
        <v>46051</v>
      </c>
      <c r="AI100" s="14">
        <v>46052</v>
      </c>
      <c r="AJ100" s="2" t="s">
        <v>2819</v>
      </c>
      <c r="AK100" s="1" t="s">
        <v>273</v>
      </c>
    </row>
    <row r="101" spans="1:45" s="1" customFormat="1" ht="28.8" x14ac:dyDescent="0.3">
      <c r="A101" s="2">
        <v>100</v>
      </c>
      <c r="B101" s="2">
        <v>52966</v>
      </c>
      <c r="C101" s="1">
        <v>260108107</v>
      </c>
      <c r="D101" s="3">
        <v>46041</v>
      </c>
      <c r="E101" s="2">
        <v>31291.200000000001</v>
      </c>
      <c r="F101" s="2" t="s">
        <v>3489</v>
      </c>
      <c r="G101" s="2" t="s">
        <v>142</v>
      </c>
      <c r="H101" s="2" t="s">
        <v>677</v>
      </c>
      <c r="I101" s="1" t="s">
        <v>3695</v>
      </c>
      <c r="J101" s="1">
        <f t="shared" si="1"/>
        <v>0</v>
      </c>
      <c r="K101" s="8" t="s">
        <v>3490</v>
      </c>
      <c r="O101" s="2" t="s">
        <v>818</v>
      </c>
      <c r="P101" s="2" t="s">
        <v>204</v>
      </c>
      <c r="Q101" s="1" t="s">
        <v>3492</v>
      </c>
      <c r="R101" s="2" t="s">
        <v>3493</v>
      </c>
      <c r="T101" s="1" t="s">
        <v>179</v>
      </c>
      <c r="U101" s="1">
        <v>2</v>
      </c>
      <c r="V101" s="1">
        <v>35</v>
      </c>
      <c r="W101" s="5">
        <v>46043</v>
      </c>
      <c r="X101" s="5">
        <v>46043</v>
      </c>
      <c r="Y101" s="5">
        <v>46044</v>
      </c>
      <c r="AA101" s="2">
        <v>7046360</v>
      </c>
      <c r="AB101" s="14">
        <v>46044</v>
      </c>
      <c r="AC101" s="14">
        <v>46051</v>
      </c>
      <c r="AD101" s="2">
        <v>2853757</v>
      </c>
      <c r="AE101" s="2">
        <v>1254512</v>
      </c>
      <c r="AF101" s="5">
        <v>46044</v>
      </c>
      <c r="AG101" s="5">
        <v>46045</v>
      </c>
      <c r="AH101" s="5">
        <v>46051</v>
      </c>
      <c r="AI101" s="14">
        <v>46052</v>
      </c>
      <c r="AJ101" s="2" t="s">
        <v>2819</v>
      </c>
      <c r="AK101" s="1" t="s">
        <v>273</v>
      </c>
    </row>
    <row r="102" spans="1:45" s="1" customFormat="1" ht="28.8" x14ac:dyDescent="0.3">
      <c r="A102" s="2">
        <v>101</v>
      </c>
      <c r="B102" s="2">
        <v>52967</v>
      </c>
      <c r="C102" s="1">
        <v>260108966</v>
      </c>
      <c r="D102" s="3">
        <v>46041</v>
      </c>
      <c r="E102" s="2">
        <v>20860.8</v>
      </c>
      <c r="F102" s="2" t="s">
        <v>3489</v>
      </c>
      <c r="G102" s="2" t="s">
        <v>142</v>
      </c>
      <c r="H102" s="2" t="s">
        <v>677</v>
      </c>
      <c r="I102" s="1" t="s">
        <v>3695</v>
      </c>
      <c r="J102" s="1">
        <f t="shared" si="1"/>
        <v>0</v>
      </c>
      <c r="K102" s="8" t="s">
        <v>3494</v>
      </c>
      <c r="O102" s="2" t="s">
        <v>818</v>
      </c>
      <c r="P102" s="2" t="s">
        <v>204</v>
      </c>
      <c r="Q102" s="1" t="s">
        <v>3492</v>
      </c>
      <c r="R102" s="2" t="s">
        <v>3495</v>
      </c>
      <c r="T102" s="1" t="s">
        <v>179</v>
      </c>
      <c r="U102" s="1">
        <v>1</v>
      </c>
      <c r="V102" s="1">
        <v>15.5</v>
      </c>
      <c r="W102" s="5">
        <v>46043</v>
      </c>
      <c r="X102" s="5">
        <v>46043</v>
      </c>
      <c r="Y102" s="5">
        <v>46044</v>
      </c>
      <c r="AA102" s="2">
        <v>7046356</v>
      </c>
      <c r="AB102" s="14">
        <v>46044</v>
      </c>
      <c r="AC102" s="14">
        <v>46051</v>
      </c>
      <c r="AD102" s="2">
        <v>1902505</v>
      </c>
      <c r="AE102" s="2">
        <v>836341</v>
      </c>
      <c r="AF102" s="5">
        <v>46044</v>
      </c>
      <c r="AG102" s="5">
        <v>46045</v>
      </c>
      <c r="AH102" s="5">
        <v>46051</v>
      </c>
      <c r="AI102" s="14">
        <v>46052</v>
      </c>
      <c r="AJ102" s="2" t="s">
        <v>2819</v>
      </c>
      <c r="AK102" s="1" t="s">
        <v>273</v>
      </c>
    </row>
    <row r="103" spans="1:45" s="1" customFormat="1" ht="28.8" x14ac:dyDescent="0.3">
      <c r="A103" s="2">
        <v>102</v>
      </c>
      <c r="B103" s="2">
        <v>52968</v>
      </c>
      <c r="C103" s="1">
        <v>260105974</v>
      </c>
      <c r="D103" s="3">
        <v>46041</v>
      </c>
      <c r="E103" s="2">
        <v>6250</v>
      </c>
      <c r="F103" s="2" t="s">
        <v>3489</v>
      </c>
      <c r="G103" s="2" t="s">
        <v>142</v>
      </c>
      <c r="H103" s="2" t="s">
        <v>677</v>
      </c>
      <c r="I103" s="1" t="s">
        <v>3696</v>
      </c>
      <c r="J103" s="1">
        <f t="shared" si="1"/>
        <v>0</v>
      </c>
      <c r="K103" s="8" t="s">
        <v>3496</v>
      </c>
      <c r="O103" s="2" t="s">
        <v>818</v>
      </c>
      <c r="P103" s="2" t="s">
        <v>204</v>
      </c>
      <c r="Q103" s="1" t="s">
        <v>3492</v>
      </c>
      <c r="R103" s="2" t="s">
        <v>3497</v>
      </c>
      <c r="T103" s="1" t="s">
        <v>179</v>
      </c>
      <c r="U103" s="1">
        <v>1</v>
      </c>
      <c r="V103" s="1">
        <v>2</v>
      </c>
      <c r="W103" s="5">
        <v>46043</v>
      </c>
      <c r="X103" s="5">
        <v>46043</v>
      </c>
      <c r="Y103" s="5">
        <v>46044</v>
      </c>
      <c r="AA103" s="2">
        <v>7046643</v>
      </c>
      <c r="AB103" s="14">
        <v>46044</v>
      </c>
      <c r="AC103" s="14">
        <v>46051</v>
      </c>
      <c r="AD103" s="2">
        <v>570000</v>
      </c>
      <c r="AE103" s="2">
        <v>250572</v>
      </c>
      <c r="AF103" s="5">
        <v>46044</v>
      </c>
      <c r="AG103" s="5">
        <v>46045</v>
      </c>
      <c r="AH103" s="5">
        <v>46051</v>
      </c>
      <c r="AI103" s="14">
        <v>46052</v>
      </c>
      <c r="AJ103" s="2" t="s">
        <v>2819</v>
      </c>
      <c r="AK103" s="1" t="s">
        <v>273</v>
      </c>
    </row>
    <row r="104" spans="1:45" s="1" customFormat="1" ht="28.8" x14ac:dyDescent="0.3">
      <c r="A104" s="2">
        <v>103</v>
      </c>
      <c r="B104" s="2">
        <v>52969</v>
      </c>
      <c r="C104" s="1">
        <v>260105972</v>
      </c>
      <c r="D104" s="3">
        <v>46041</v>
      </c>
      <c r="E104" s="2">
        <v>5000</v>
      </c>
      <c r="F104" s="2" t="s">
        <v>3489</v>
      </c>
      <c r="G104" s="2" t="s">
        <v>142</v>
      </c>
      <c r="H104" s="2" t="s">
        <v>677</v>
      </c>
      <c r="I104" s="1" t="s">
        <v>3696</v>
      </c>
      <c r="J104" s="1">
        <f t="shared" si="1"/>
        <v>0</v>
      </c>
      <c r="K104" s="8" t="s">
        <v>3498</v>
      </c>
      <c r="O104" s="2" t="s">
        <v>818</v>
      </c>
      <c r="P104" s="2" t="s">
        <v>204</v>
      </c>
      <c r="Q104" s="1" t="s">
        <v>3492</v>
      </c>
      <c r="R104" s="2" t="s">
        <v>3499</v>
      </c>
      <c r="T104" s="1" t="s">
        <v>179</v>
      </c>
      <c r="U104" s="1">
        <v>1</v>
      </c>
      <c r="V104" s="1">
        <v>2</v>
      </c>
      <c r="W104" s="5">
        <v>46043</v>
      </c>
      <c r="X104" s="5">
        <v>46043</v>
      </c>
      <c r="Y104" s="5">
        <v>46044</v>
      </c>
      <c r="AA104" s="2">
        <v>7047269</v>
      </c>
      <c r="AB104" s="14">
        <v>46044</v>
      </c>
      <c r="AC104" s="14">
        <v>46051</v>
      </c>
      <c r="AD104" s="2">
        <v>456000</v>
      </c>
      <c r="AE104" s="2">
        <v>200458</v>
      </c>
      <c r="AF104" s="5">
        <v>46044</v>
      </c>
      <c r="AG104" s="5">
        <v>46045</v>
      </c>
      <c r="AH104" s="5">
        <v>46051</v>
      </c>
      <c r="AI104" s="14">
        <v>46052</v>
      </c>
      <c r="AJ104" s="2" t="s">
        <v>2819</v>
      </c>
      <c r="AK104" s="1" t="s">
        <v>273</v>
      </c>
    </row>
    <row r="105" spans="1:45" s="1" customFormat="1" ht="28.8" x14ac:dyDescent="0.3">
      <c r="A105" s="2">
        <v>104</v>
      </c>
      <c r="B105" s="2">
        <v>52981</v>
      </c>
      <c r="C105" s="1">
        <v>251205011</v>
      </c>
      <c r="D105" s="3">
        <v>46041</v>
      </c>
      <c r="E105" s="2">
        <v>2840.8</v>
      </c>
      <c r="F105" s="2" t="s">
        <v>3489</v>
      </c>
      <c r="G105" s="2" t="s">
        <v>142</v>
      </c>
      <c r="H105" s="2" t="s">
        <v>677</v>
      </c>
      <c r="I105" s="1" t="s">
        <v>3695</v>
      </c>
      <c r="J105" s="1">
        <f t="shared" si="1"/>
        <v>0</v>
      </c>
      <c r="K105" s="8" t="s">
        <v>3494</v>
      </c>
      <c r="O105" s="2" t="s">
        <v>818</v>
      </c>
      <c r="P105" s="2" t="s">
        <v>204</v>
      </c>
      <c r="Q105" s="2" t="s">
        <v>3492</v>
      </c>
      <c r="R105" s="2" t="s">
        <v>3503</v>
      </c>
      <c r="T105" s="1" t="s">
        <v>179</v>
      </c>
      <c r="U105" s="1">
        <v>1</v>
      </c>
      <c r="V105" s="1">
        <v>4</v>
      </c>
      <c r="W105" s="5">
        <v>46044</v>
      </c>
      <c r="X105" s="5">
        <v>46044</v>
      </c>
      <c r="Y105" s="5">
        <v>46044</v>
      </c>
      <c r="AA105" s="2">
        <v>7052698</v>
      </c>
      <c r="AB105" s="14">
        <v>46044</v>
      </c>
      <c r="AC105" s="14">
        <v>46051</v>
      </c>
      <c r="AD105" s="2">
        <v>259081</v>
      </c>
      <c r="AE105" s="2">
        <v>113892</v>
      </c>
      <c r="AF105" s="14">
        <v>46044</v>
      </c>
      <c r="AG105" s="5">
        <v>46045</v>
      </c>
      <c r="AH105" s="5">
        <v>46051</v>
      </c>
      <c r="AI105" s="14">
        <v>46052</v>
      </c>
      <c r="AJ105" s="2" t="s">
        <v>2819</v>
      </c>
      <c r="AK105" s="1" t="s">
        <v>273</v>
      </c>
    </row>
    <row r="106" spans="1:45" s="1" customFormat="1" ht="28.8" x14ac:dyDescent="0.3">
      <c r="A106" s="2">
        <v>105</v>
      </c>
      <c r="B106" s="2">
        <v>53114</v>
      </c>
      <c r="C106" s="8" t="s">
        <v>3719</v>
      </c>
      <c r="D106" s="8" t="s">
        <v>3720</v>
      </c>
      <c r="E106" s="7" t="s">
        <v>3721</v>
      </c>
      <c r="F106" s="2" t="s">
        <v>989</v>
      </c>
      <c r="G106" s="2" t="s">
        <v>142</v>
      </c>
      <c r="H106" s="88" t="s">
        <v>683</v>
      </c>
      <c r="I106" s="1" t="s">
        <v>3762</v>
      </c>
      <c r="J106" s="1">
        <f t="shared" si="1"/>
        <v>1</v>
      </c>
      <c r="K106" s="8" t="s">
        <v>3722</v>
      </c>
      <c r="O106" s="2" t="s">
        <v>163</v>
      </c>
      <c r="P106" s="2" t="s">
        <v>2592</v>
      </c>
      <c r="Q106" s="1">
        <v>21708128632</v>
      </c>
      <c r="T106" s="1" t="s">
        <v>483</v>
      </c>
      <c r="U106" s="1">
        <v>8</v>
      </c>
      <c r="W106" s="5">
        <v>46055</v>
      </c>
      <c r="X106" s="14">
        <v>46055</v>
      </c>
      <c r="Y106" s="14">
        <v>46055</v>
      </c>
      <c r="AA106" s="2">
        <v>7296279</v>
      </c>
      <c r="AB106" s="5">
        <v>46057</v>
      </c>
      <c r="AC106" s="14">
        <v>46057</v>
      </c>
      <c r="AD106" s="2">
        <v>14282467</v>
      </c>
      <c r="AE106" s="2">
        <v>6278572</v>
      </c>
      <c r="AF106" s="5">
        <v>46057</v>
      </c>
      <c r="AG106" s="5">
        <v>46057</v>
      </c>
      <c r="AH106" s="5">
        <v>46058</v>
      </c>
      <c r="AI106" s="14">
        <v>46059</v>
      </c>
      <c r="AJ106" s="2" t="s">
        <v>3763</v>
      </c>
      <c r="AK106" s="1" t="s">
        <v>273</v>
      </c>
    </row>
    <row r="107" spans="1:45" s="1" customFormat="1" ht="28.8" x14ac:dyDescent="0.3">
      <c r="A107" s="2">
        <v>106</v>
      </c>
      <c r="B107" s="1">
        <v>53230</v>
      </c>
      <c r="C107" s="8" t="s">
        <v>3775</v>
      </c>
      <c r="D107" s="8" t="s">
        <v>3776</v>
      </c>
      <c r="E107" s="8" t="s">
        <v>3777</v>
      </c>
      <c r="F107" s="1" t="s">
        <v>3224</v>
      </c>
      <c r="G107" s="1" t="s">
        <v>142</v>
      </c>
      <c r="H107" s="1" t="s">
        <v>683</v>
      </c>
      <c r="I107" s="1" t="s">
        <v>3845</v>
      </c>
      <c r="J107" s="1">
        <f t="shared" si="1"/>
        <v>1</v>
      </c>
      <c r="K107" s="8" t="s">
        <v>3778</v>
      </c>
      <c r="M107" s="1">
        <v>701</v>
      </c>
      <c r="O107" s="1" t="s">
        <v>382</v>
      </c>
      <c r="P107" s="1" t="s">
        <v>199</v>
      </c>
      <c r="Q107" s="1" t="s">
        <v>3779</v>
      </c>
      <c r="T107" s="1" t="s">
        <v>483</v>
      </c>
      <c r="U107" s="1">
        <v>2</v>
      </c>
      <c r="V107" s="1">
        <v>660</v>
      </c>
      <c r="W107" s="5">
        <v>46062</v>
      </c>
      <c r="X107" s="5">
        <v>46062</v>
      </c>
      <c r="Y107" s="5">
        <v>46063</v>
      </c>
      <c r="AA107" s="1">
        <v>7426218</v>
      </c>
      <c r="AB107" s="5">
        <v>46063</v>
      </c>
      <c r="AC107" s="5">
        <v>46063</v>
      </c>
      <c r="AD107" s="1">
        <v>3881462</v>
      </c>
      <c r="AE107" s="1">
        <v>1706290</v>
      </c>
      <c r="AF107" s="5">
        <v>46063</v>
      </c>
      <c r="AG107" s="5">
        <v>46064</v>
      </c>
      <c r="AH107" s="5">
        <v>46064</v>
      </c>
      <c r="AI107" s="5">
        <v>46065</v>
      </c>
      <c r="AJ107" t="s">
        <v>3846</v>
      </c>
      <c r="AK107" s="1" t="s">
        <v>273</v>
      </c>
    </row>
    <row r="108" spans="1:45" s="1" customFormat="1" ht="28.8" x14ac:dyDescent="0.3">
      <c r="A108" s="2">
        <v>107</v>
      </c>
      <c r="B108" s="1">
        <v>53226</v>
      </c>
      <c r="C108" s="1">
        <v>250907922</v>
      </c>
      <c r="D108" s="3">
        <v>46059</v>
      </c>
      <c r="E108" s="1">
        <v>210</v>
      </c>
      <c r="F108" s="1" t="s">
        <v>3769</v>
      </c>
      <c r="G108" s="1" t="s">
        <v>142</v>
      </c>
      <c r="H108" s="1" t="s">
        <v>677</v>
      </c>
      <c r="I108" s="1" t="s">
        <v>3858</v>
      </c>
      <c r="J108" s="1">
        <f t="shared" si="1"/>
        <v>0</v>
      </c>
      <c r="K108" s="8" t="s">
        <v>3770</v>
      </c>
      <c r="O108" s="1" t="s">
        <v>818</v>
      </c>
      <c r="P108" s="1" t="s">
        <v>204</v>
      </c>
      <c r="Q108" s="1" t="s">
        <v>3771</v>
      </c>
      <c r="R108" s="1" t="s">
        <v>3772</v>
      </c>
      <c r="T108" s="1" t="s">
        <v>179</v>
      </c>
      <c r="U108" s="1">
        <v>2</v>
      </c>
      <c r="V108" s="1">
        <v>19.5</v>
      </c>
      <c r="W108" s="5">
        <v>46060</v>
      </c>
      <c r="X108" s="5">
        <v>46062</v>
      </c>
      <c r="Y108" s="5">
        <v>46062</v>
      </c>
      <c r="AA108" s="1">
        <v>7411305</v>
      </c>
      <c r="AB108" s="5">
        <v>46062</v>
      </c>
      <c r="AC108" s="5">
        <v>46065</v>
      </c>
      <c r="AD108" s="1">
        <v>19184</v>
      </c>
      <c r="AE108" s="1">
        <v>7189</v>
      </c>
      <c r="AF108" s="5">
        <v>46062</v>
      </c>
      <c r="AG108" s="5">
        <v>46064</v>
      </c>
      <c r="AH108" s="5">
        <v>46065</v>
      </c>
      <c r="AI108" s="5">
        <v>46066</v>
      </c>
      <c r="AJ108" s="1" t="s">
        <v>3859</v>
      </c>
      <c r="AK108" s="1" t="s">
        <v>273</v>
      </c>
    </row>
    <row r="109" spans="1:45" s="1" customFormat="1" ht="28.8" x14ac:dyDescent="0.3">
      <c r="A109" s="2">
        <v>108</v>
      </c>
      <c r="B109" s="1">
        <v>53228</v>
      </c>
      <c r="C109" s="1">
        <v>260204442</v>
      </c>
      <c r="D109" s="3">
        <v>46059</v>
      </c>
      <c r="E109" s="1">
        <v>2500</v>
      </c>
      <c r="F109" s="1" t="s">
        <v>3769</v>
      </c>
      <c r="G109" s="1" t="s">
        <v>142</v>
      </c>
      <c r="H109" s="1" t="s">
        <v>677</v>
      </c>
      <c r="I109" s="1" t="s">
        <v>3858</v>
      </c>
      <c r="J109" s="1">
        <f t="shared" si="1"/>
        <v>0</v>
      </c>
      <c r="K109" s="8" t="s">
        <v>3773</v>
      </c>
      <c r="O109" s="1" t="s">
        <v>818</v>
      </c>
      <c r="P109" s="1" t="s">
        <v>204</v>
      </c>
      <c r="Q109" s="1" t="s">
        <v>3771</v>
      </c>
      <c r="R109" s="1" t="s">
        <v>3774</v>
      </c>
      <c r="T109" s="1" t="s">
        <v>179</v>
      </c>
      <c r="U109" s="1">
        <v>1</v>
      </c>
      <c r="V109" s="1">
        <v>1.5</v>
      </c>
      <c r="W109" s="5">
        <v>46060</v>
      </c>
      <c r="X109" s="5">
        <v>46062</v>
      </c>
      <c r="Y109" s="5">
        <v>46062</v>
      </c>
      <c r="AA109" s="1">
        <v>7412637</v>
      </c>
      <c r="AB109" s="5">
        <v>46062</v>
      </c>
      <c r="AC109" s="5">
        <v>46065</v>
      </c>
      <c r="AD109" s="1">
        <v>228375</v>
      </c>
      <c r="AE109" s="1">
        <v>100394</v>
      </c>
      <c r="AF109" s="5">
        <v>46062</v>
      </c>
      <c r="AG109" s="5">
        <v>46064</v>
      </c>
      <c r="AH109" s="5">
        <v>46065</v>
      </c>
      <c r="AI109" s="5">
        <v>46066</v>
      </c>
      <c r="AJ109" s="1" t="s">
        <v>3859</v>
      </c>
      <c r="AK109" s="1" t="s">
        <v>273</v>
      </c>
    </row>
    <row r="110" spans="1:45" s="1" customFormat="1" ht="115.2" x14ac:dyDescent="0.3">
      <c r="A110" s="2">
        <v>109</v>
      </c>
      <c r="B110" s="2">
        <v>53251</v>
      </c>
      <c r="C110" s="1">
        <v>251103679</v>
      </c>
      <c r="D110" s="3">
        <v>46063</v>
      </c>
      <c r="E110" s="2">
        <v>15982.68</v>
      </c>
      <c r="F110" s="2" t="s">
        <v>3489</v>
      </c>
      <c r="G110" s="1" t="s">
        <v>142</v>
      </c>
      <c r="H110" s="1" t="s">
        <v>677</v>
      </c>
      <c r="I110" s="1" t="s">
        <v>3934</v>
      </c>
      <c r="J110" s="1">
        <f t="shared" si="1"/>
        <v>2</v>
      </c>
      <c r="K110" s="1" t="s">
        <v>3815</v>
      </c>
      <c r="L110" s="1">
        <v>3491</v>
      </c>
      <c r="M110" s="1">
        <v>528</v>
      </c>
      <c r="O110" s="1" t="s">
        <v>3816</v>
      </c>
      <c r="P110" s="1" t="s">
        <v>204</v>
      </c>
      <c r="Q110" s="1" t="s">
        <v>3817</v>
      </c>
      <c r="R110" s="1" t="s">
        <v>3818</v>
      </c>
      <c r="T110" s="1" t="s">
        <v>179</v>
      </c>
      <c r="U110" s="1">
        <v>1</v>
      </c>
      <c r="V110" s="1">
        <v>12.5</v>
      </c>
      <c r="W110" s="5">
        <v>46064</v>
      </c>
      <c r="X110" s="5">
        <v>46064</v>
      </c>
      <c r="Y110" s="5">
        <v>46064</v>
      </c>
      <c r="AA110" s="2">
        <v>7471951</v>
      </c>
      <c r="AB110" s="5">
        <v>46065</v>
      </c>
      <c r="AC110" s="14">
        <v>46068</v>
      </c>
      <c r="AD110" s="2">
        <v>1460018</v>
      </c>
      <c r="AE110" s="2">
        <v>641824</v>
      </c>
      <c r="AF110" s="5">
        <v>46065</v>
      </c>
      <c r="AG110" s="5">
        <v>46070</v>
      </c>
      <c r="AH110" s="5">
        <v>46070</v>
      </c>
      <c r="AI110" s="14">
        <v>46071</v>
      </c>
      <c r="AJ110" s="2" t="s">
        <v>3933</v>
      </c>
      <c r="AK110" s="1" t="s">
        <v>273</v>
      </c>
      <c r="AS110" s="8" t="s">
        <v>4337</v>
      </c>
    </row>
    <row r="111" spans="1:45" s="1" customFormat="1" ht="86.4" x14ac:dyDescent="0.3">
      <c r="A111" s="2">
        <v>110</v>
      </c>
      <c r="B111" s="2">
        <v>53252</v>
      </c>
      <c r="C111" s="1">
        <v>260110658</v>
      </c>
      <c r="D111" s="3">
        <v>46063</v>
      </c>
      <c r="E111" s="2">
        <v>4994.8500000000004</v>
      </c>
      <c r="F111" s="2" t="s">
        <v>3489</v>
      </c>
      <c r="G111" s="1" t="s">
        <v>142</v>
      </c>
      <c r="H111" s="1" t="s">
        <v>677</v>
      </c>
      <c r="I111" s="1" t="s">
        <v>4026</v>
      </c>
      <c r="J111" s="1">
        <f t="shared" si="1"/>
        <v>2</v>
      </c>
      <c r="K111" s="1" t="s">
        <v>3815</v>
      </c>
      <c r="L111" s="1">
        <v>3491</v>
      </c>
      <c r="M111" s="1">
        <v>82</v>
      </c>
      <c r="N111" s="1">
        <v>5000</v>
      </c>
      <c r="O111" s="1" t="s">
        <v>3816</v>
      </c>
      <c r="P111" s="1" t="s">
        <v>204</v>
      </c>
      <c r="Q111" s="1" t="s">
        <v>3817</v>
      </c>
      <c r="R111" s="1" t="s">
        <v>3819</v>
      </c>
      <c r="T111" s="1" t="s">
        <v>179</v>
      </c>
      <c r="U111" s="1">
        <v>1</v>
      </c>
      <c r="V111" s="1">
        <v>1.5</v>
      </c>
      <c r="W111" s="5">
        <v>46064</v>
      </c>
      <c r="X111" s="5">
        <v>46064</v>
      </c>
      <c r="Y111" s="5">
        <v>46069</v>
      </c>
      <c r="AA111" s="2">
        <v>7546214</v>
      </c>
      <c r="AB111" s="5">
        <v>46069</v>
      </c>
      <c r="AC111" s="14">
        <v>46068</v>
      </c>
      <c r="AD111" s="2">
        <v>456280</v>
      </c>
      <c r="AE111" s="2">
        <v>200581</v>
      </c>
      <c r="AF111" s="5">
        <v>46069</v>
      </c>
      <c r="AG111" s="5">
        <v>46070</v>
      </c>
      <c r="AH111" s="5">
        <v>46070</v>
      </c>
      <c r="AI111" s="14">
        <v>46071</v>
      </c>
      <c r="AJ111" s="2" t="s">
        <v>3933</v>
      </c>
      <c r="AK111" s="1" t="s">
        <v>273</v>
      </c>
      <c r="AS111" s="8" t="s">
        <v>4336</v>
      </c>
    </row>
    <row r="112" spans="1:45" s="1" customFormat="1" x14ac:dyDescent="0.3">
      <c r="A112" s="2">
        <v>111</v>
      </c>
      <c r="B112" s="2">
        <v>53285</v>
      </c>
      <c r="C112" s="1" t="s">
        <v>3847</v>
      </c>
      <c r="D112" s="3">
        <v>46059</v>
      </c>
      <c r="E112" s="2">
        <v>110474</v>
      </c>
      <c r="F112" s="2" t="s">
        <v>3224</v>
      </c>
      <c r="G112" s="1" t="s">
        <v>142</v>
      </c>
      <c r="H112" s="2" t="s">
        <v>683</v>
      </c>
      <c r="I112" s="1" t="s">
        <v>3942</v>
      </c>
      <c r="J112" s="1">
        <f t="shared" si="1"/>
        <v>2</v>
      </c>
      <c r="K112" s="1" t="s">
        <v>3848</v>
      </c>
      <c r="O112" s="2" t="s">
        <v>163</v>
      </c>
      <c r="P112" s="2" t="s">
        <v>2592</v>
      </c>
      <c r="Q112" s="1" t="s">
        <v>3849</v>
      </c>
      <c r="T112" s="1" t="s">
        <v>483</v>
      </c>
      <c r="U112" s="1">
        <v>6</v>
      </c>
      <c r="V112" s="1">
        <v>1726</v>
      </c>
      <c r="W112" s="5">
        <v>46066</v>
      </c>
      <c r="X112" s="5">
        <v>46066</v>
      </c>
      <c r="Y112" s="5">
        <v>46066</v>
      </c>
      <c r="AA112" s="2">
        <v>7548586</v>
      </c>
      <c r="AB112" s="5">
        <v>46069</v>
      </c>
      <c r="AC112" s="14">
        <v>46069</v>
      </c>
      <c r="AD112" s="2">
        <v>10091800</v>
      </c>
      <c r="AE112" s="2">
        <v>4436355</v>
      </c>
      <c r="AF112" s="5">
        <v>46069</v>
      </c>
      <c r="AG112" s="5">
        <v>46069</v>
      </c>
      <c r="AH112" s="5">
        <v>46071</v>
      </c>
      <c r="AI112" s="14">
        <v>46072</v>
      </c>
      <c r="AJ112" s="2" t="s">
        <v>3940</v>
      </c>
      <c r="AK112" s="1" t="s">
        <v>3941</v>
      </c>
    </row>
    <row r="113" spans="1:45" s="1" customFormat="1" x14ac:dyDescent="0.3">
      <c r="A113" s="2">
        <v>112</v>
      </c>
      <c r="B113" s="2">
        <v>53328</v>
      </c>
      <c r="C113" s="1" t="s">
        <v>3904</v>
      </c>
      <c r="D113" s="3">
        <v>46069</v>
      </c>
      <c r="E113" s="2">
        <v>7284</v>
      </c>
      <c r="F113" s="2" t="s">
        <v>3224</v>
      </c>
      <c r="G113" s="1" t="s">
        <v>142</v>
      </c>
      <c r="H113" s="2" t="s">
        <v>683</v>
      </c>
      <c r="I113" s="1" t="s">
        <v>3943</v>
      </c>
      <c r="J113" s="1">
        <f t="shared" si="1"/>
        <v>1</v>
      </c>
      <c r="K113" s="1" t="s">
        <v>3848</v>
      </c>
      <c r="M113" s="1">
        <v>120</v>
      </c>
      <c r="O113" s="2" t="s">
        <v>163</v>
      </c>
      <c r="P113" s="2" t="s">
        <v>2592</v>
      </c>
      <c r="Q113" s="1" t="s">
        <v>3905</v>
      </c>
      <c r="T113" s="1" t="s">
        <v>483</v>
      </c>
      <c r="U113" s="1">
        <v>1</v>
      </c>
      <c r="V113" s="1">
        <v>126</v>
      </c>
      <c r="W113" s="5">
        <v>46070</v>
      </c>
      <c r="X113" s="5">
        <v>46070</v>
      </c>
      <c r="Y113" s="5">
        <v>46070</v>
      </c>
      <c r="AA113" s="2">
        <v>7599621</v>
      </c>
      <c r="AB113" s="5">
        <v>46071</v>
      </c>
      <c r="AC113" s="14">
        <v>46071</v>
      </c>
      <c r="AD113" s="2">
        <v>665393</v>
      </c>
      <c r="AE113" s="2">
        <v>292507</v>
      </c>
      <c r="AF113" s="5">
        <v>46071</v>
      </c>
      <c r="AG113" s="5">
        <v>46072</v>
      </c>
      <c r="AH113" s="5">
        <v>46072</v>
      </c>
      <c r="AI113" s="14">
        <v>46072</v>
      </c>
      <c r="AJ113" s="2" t="s">
        <v>3940</v>
      </c>
      <c r="AK113" s="1" t="s">
        <v>3941</v>
      </c>
    </row>
    <row r="114" spans="1:45" s="1" customFormat="1" ht="28.8" x14ac:dyDescent="0.3">
      <c r="A114" s="2">
        <v>113</v>
      </c>
      <c r="B114" s="2">
        <v>53351</v>
      </c>
      <c r="C114" s="8" t="s">
        <v>3917</v>
      </c>
      <c r="D114" s="8" t="s">
        <v>3918</v>
      </c>
      <c r="E114" s="7" t="s">
        <v>3919</v>
      </c>
      <c r="F114" s="2" t="s">
        <v>3224</v>
      </c>
      <c r="G114" s="1" t="s">
        <v>142</v>
      </c>
      <c r="H114" s="2" t="s">
        <v>683</v>
      </c>
      <c r="I114" s="1" t="s">
        <v>3964</v>
      </c>
      <c r="J114" s="1">
        <f t="shared" si="1"/>
        <v>1</v>
      </c>
      <c r="K114" s="8" t="s">
        <v>3920</v>
      </c>
      <c r="O114" s="2" t="s">
        <v>163</v>
      </c>
      <c r="P114" s="2" t="s">
        <v>2592</v>
      </c>
      <c r="Q114" s="1" t="s">
        <v>3921</v>
      </c>
      <c r="T114" s="1" t="s">
        <v>483</v>
      </c>
      <c r="U114" s="1">
        <v>6</v>
      </c>
      <c r="V114" s="1">
        <v>1952</v>
      </c>
      <c r="W114" s="5">
        <v>46071</v>
      </c>
      <c r="X114" s="5">
        <v>46071</v>
      </c>
      <c r="Y114" s="5">
        <v>46071</v>
      </c>
      <c r="AA114" s="2">
        <v>7625512</v>
      </c>
      <c r="AB114" s="14">
        <v>46072</v>
      </c>
      <c r="AC114" s="14">
        <v>46072</v>
      </c>
      <c r="AD114" s="2">
        <v>11533486</v>
      </c>
      <c r="AE114" s="2">
        <v>5070120</v>
      </c>
      <c r="AF114" s="5">
        <v>46072</v>
      </c>
      <c r="AG114" s="5">
        <v>46073</v>
      </c>
      <c r="AH114" s="5">
        <v>46073</v>
      </c>
      <c r="AI114" s="14">
        <v>46074</v>
      </c>
      <c r="AJ114" s="2" t="s">
        <v>3963</v>
      </c>
      <c r="AK114" s="1" t="s">
        <v>273</v>
      </c>
    </row>
    <row r="115" spans="1:45" s="2" customFormat="1" ht="43.2" x14ac:dyDescent="0.3">
      <c r="A115" s="2">
        <v>114</v>
      </c>
      <c r="B115" s="2">
        <v>53426</v>
      </c>
      <c r="C115" s="7" t="s">
        <v>3970</v>
      </c>
      <c r="D115" s="4">
        <v>46076</v>
      </c>
      <c r="E115" s="7" t="s">
        <v>3971</v>
      </c>
      <c r="F115" s="2" t="s">
        <v>3224</v>
      </c>
      <c r="G115" s="2" t="s">
        <v>142</v>
      </c>
      <c r="H115" s="2" t="s">
        <v>683</v>
      </c>
      <c r="I115" s="8" t="s">
        <v>3988</v>
      </c>
      <c r="J115" s="1">
        <f t="shared" si="1"/>
        <v>1</v>
      </c>
      <c r="K115" s="7" t="s">
        <v>3972</v>
      </c>
      <c r="M115" s="2">
        <v>2217</v>
      </c>
      <c r="O115" s="2" t="s">
        <v>163</v>
      </c>
      <c r="P115" s="2" t="s">
        <v>2592</v>
      </c>
      <c r="Q115" s="2">
        <v>21708129052</v>
      </c>
      <c r="T115" s="2" t="s">
        <v>483</v>
      </c>
      <c r="U115" s="2">
        <v>7</v>
      </c>
      <c r="V115" s="2">
        <v>2070</v>
      </c>
      <c r="W115" s="14">
        <v>46077</v>
      </c>
      <c r="X115" s="14">
        <v>46077</v>
      </c>
      <c r="Y115" s="14">
        <v>46077</v>
      </c>
      <c r="AA115" s="2">
        <v>7713452</v>
      </c>
      <c r="AB115" s="14">
        <v>46077</v>
      </c>
      <c r="AC115" s="14">
        <v>46078</v>
      </c>
      <c r="AD115" s="2">
        <v>12272326</v>
      </c>
      <c r="AE115" s="2">
        <v>5394915</v>
      </c>
      <c r="AF115" s="14">
        <v>46077</v>
      </c>
      <c r="AG115" s="14">
        <v>46079</v>
      </c>
      <c r="AH115" s="14">
        <v>46079</v>
      </c>
      <c r="AI115" s="14">
        <v>46080</v>
      </c>
      <c r="AJ115" s="2" t="s">
        <v>3987</v>
      </c>
      <c r="AK115" s="2" t="s">
        <v>273</v>
      </c>
    </row>
    <row r="116" spans="1:45" s="1" customFormat="1" ht="115.2" x14ac:dyDescent="0.3">
      <c r="A116" s="2">
        <v>115</v>
      </c>
      <c r="B116" s="2">
        <v>53393</v>
      </c>
      <c r="C116" s="1">
        <v>260209375</v>
      </c>
      <c r="D116" s="3">
        <v>46072</v>
      </c>
      <c r="E116" s="2">
        <v>1420.4</v>
      </c>
      <c r="F116" s="2" t="s">
        <v>3489</v>
      </c>
      <c r="G116" s="1" t="s">
        <v>142</v>
      </c>
      <c r="H116" s="2" t="s">
        <v>677</v>
      </c>
      <c r="I116" s="1" t="s">
        <v>4020</v>
      </c>
      <c r="J116" s="1">
        <f t="shared" si="1"/>
        <v>3</v>
      </c>
      <c r="K116" s="8" t="s">
        <v>3947</v>
      </c>
      <c r="L116" s="1">
        <v>3422</v>
      </c>
      <c r="O116" s="1" t="s">
        <v>818</v>
      </c>
      <c r="P116" s="1" t="s">
        <v>204</v>
      </c>
      <c r="Q116" s="1" t="s">
        <v>3944</v>
      </c>
      <c r="R116" s="1" t="s">
        <v>3945</v>
      </c>
      <c r="T116" s="1" t="s">
        <v>179</v>
      </c>
      <c r="U116" s="1">
        <v>1</v>
      </c>
      <c r="V116" s="1">
        <v>4</v>
      </c>
      <c r="W116" s="5">
        <v>46073</v>
      </c>
      <c r="X116" s="5">
        <v>46073</v>
      </c>
      <c r="Y116" s="5">
        <v>46074</v>
      </c>
      <c r="AA116" s="2">
        <v>7668903</v>
      </c>
      <c r="AB116" s="5">
        <v>46074</v>
      </c>
      <c r="AC116" s="14">
        <v>46080</v>
      </c>
      <c r="AD116" s="2">
        <v>130535</v>
      </c>
      <c r="AE116" s="2">
        <v>57383</v>
      </c>
      <c r="AF116" s="5">
        <v>46074</v>
      </c>
      <c r="AG116" s="5">
        <v>46076</v>
      </c>
      <c r="AH116" s="5">
        <v>46083</v>
      </c>
      <c r="AI116" s="14">
        <v>46085</v>
      </c>
      <c r="AJ116" s="2" t="s">
        <v>1527</v>
      </c>
      <c r="AK116" s="1" t="s">
        <v>273</v>
      </c>
      <c r="AS116" s="8" t="s">
        <v>4334</v>
      </c>
    </row>
    <row r="117" spans="1:45" s="1" customFormat="1" ht="115.2" x14ac:dyDescent="0.3">
      <c r="A117" s="2">
        <v>116</v>
      </c>
      <c r="B117" s="2">
        <v>53394</v>
      </c>
      <c r="C117" s="1">
        <v>260206895</v>
      </c>
      <c r="D117" s="3">
        <v>46072</v>
      </c>
      <c r="E117" s="2">
        <v>424</v>
      </c>
      <c r="F117" s="2" t="s">
        <v>3489</v>
      </c>
      <c r="G117" s="1" t="s">
        <v>142</v>
      </c>
      <c r="H117" s="2" t="s">
        <v>677</v>
      </c>
      <c r="I117" s="1" t="s">
        <v>4030</v>
      </c>
      <c r="J117" s="1">
        <f t="shared" si="1"/>
        <v>1</v>
      </c>
      <c r="K117" s="8" t="s">
        <v>3946</v>
      </c>
      <c r="L117" s="1">
        <v>900</v>
      </c>
      <c r="O117" s="1" t="s">
        <v>818</v>
      </c>
      <c r="P117" s="1" t="s">
        <v>204</v>
      </c>
      <c r="Q117" s="1" t="s">
        <v>3944</v>
      </c>
      <c r="R117" s="1" t="s">
        <v>3948</v>
      </c>
      <c r="T117" s="1" t="s">
        <v>179</v>
      </c>
      <c r="U117" s="1">
        <v>1</v>
      </c>
      <c r="V117" s="1">
        <v>4</v>
      </c>
      <c r="W117" s="5">
        <v>46073</v>
      </c>
      <c r="X117" s="5">
        <v>46073</v>
      </c>
      <c r="Y117" s="5">
        <v>46076</v>
      </c>
      <c r="AA117" s="2">
        <v>7689838</v>
      </c>
      <c r="AB117" s="5">
        <v>46076</v>
      </c>
      <c r="AC117" s="14">
        <v>46080</v>
      </c>
      <c r="AD117" s="2">
        <v>38966</v>
      </c>
      <c r="AE117" s="2">
        <v>12072</v>
      </c>
      <c r="AF117" s="5">
        <v>46076</v>
      </c>
      <c r="AG117" s="5">
        <v>46076</v>
      </c>
      <c r="AH117" s="5">
        <v>46081</v>
      </c>
      <c r="AI117" s="2" t="s">
        <v>4018</v>
      </c>
      <c r="AJ117" s="2" t="s">
        <v>4029</v>
      </c>
      <c r="AK117" s="1" t="s">
        <v>273</v>
      </c>
      <c r="AS117" s="8" t="s">
        <v>4335</v>
      </c>
    </row>
    <row r="118" spans="1:45" s="2" customFormat="1" ht="115.2" x14ac:dyDescent="0.3">
      <c r="A118" s="2">
        <v>117</v>
      </c>
      <c r="B118" s="2">
        <v>53397</v>
      </c>
      <c r="C118" s="2">
        <v>260206105</v>
      </c>
      <c r="D118" s="4">
        <v>46072</v>
      </c>
      <c r="E118" s="2">
        <v>424</v>
      </c>
      <c r="F118" s="2" t="s">
        <v>3489</v>
      </c>
      <c r="G118" s="2" t="s">
        <v>142</v>
      </c>
      <c r="H118" s="2" t="s">
        <v>677</v>
      </c>
      <c r="I118" s="2" t="s">
        <v>4031</v>
      </c>
      <c r="J118" s="2">
        <f t="shared" si="1"/>
        <v>1</v>
      </c>
      <c r="K118" s="7" t="s">
        <v>3949</v>
      </c>
      <c r="L118" s="2">
        <v>900</v>
      </c>
      <c r="O118" s="2" t="s">
        <v>818</v>
      </c>
      <c r="P118" s="2" t="s">
        <v>204</v>
      </c>
      <c r="Q118" s="2" t="s">
        <v>3944</v>
      </c>
      <c r="R118" s="2" t="s">
        <v>3952</v>
      </c>
      <c r="T118" s="2" t="s">
        <v>179</v>
      </c>
      <c r="U118" s="2">
        <v>1</v>
      </c>
      <c r="V118" s="2">
        <v>1.5</v>
      </c>
      <c r="W118" s="14">
        <v>46073</v>
      </c>
      <c r="X118" s="14">
        <v>46073</v>
      </c>
      <c r="Y118" s="14">
        <v>46076</v>
      </c>
      <c r="AA118" s="2">
        <v>7689840</v>
      </c>
      <c r="AB118" s="14">
        <v>46076</v>
      </c>
      <c r="AC118" s="14">
        <v>46080</v>
      </c>
      <c r="AD118" s="2">
        <v>38966</v>
      </c>
      <c r="AE118" s="2">
        <v>12072</v>
      </c>
      <c r="AF118" s="14">
        <v>46076</v>
      </c>
      <c r="AG118" s="14">
        <v>46076</v>
      </c>
      <c r="AH118" s="14">
        <v>46081</v>
      </c>
      <c r="AI118" s="2" t="s">
        <v>4018</v>
      </c>
      <c r="AJ118" s="2" t="s">
        <v>4029</v>
      </c>
      <c r="AK118" s="2" t="s">
        <v>273</v>
      </c>
      <c r="AS118" s="7" t="s">
        <v>4335</v>
      </c>
    </row>
    <row r="119" spans="1:45" s="2" customFormat="1" ht="115.2" x14ac:dyDescent="0.3">
      <c r="A119" s="2">
        <v>118</v>
      </c>
      <c r="B119" s="2">
        <v>53398</v>
      </c>
      <c r="C119" s="2">
        <v>260210469</v>
      </c>
      <c r="D119" s="4">
        <v>46072</v>
      </c>
      <c r="E119" s="2">
        <v>2353.2600000000002</v>
      </c>
      <c r="F119" s="2" t="s">
        <v>3489</v>
      </c>
      <c r="G119" s="2" t="s">
        <v>142</v>
      </c>
      <c r="H119" s="2" t="s">
        <v>677</v>
      </c>
      <c r="I119" s="2" t="s">
        <v>4031</v>
      </c>
      <c r="J119" s="2">
        <f t="shared" si="1"/>
        <v>1</v>
      </c>
      <c r="K119" s="7" t="s">
        <v>3950</v>
      </c>
      <c r="L119" s="2">
        <v>3491</v>
      </c>
      <c r="O119" s="2" t="s">
        <v>818</v>
      </c>
      <c r="P119" s="2" t="s">
        <v>204</v>
      </c>
      <c r="Q119" s="2" t="s">
        <v>3944</v>
      </c>
      <c r="R119" s="2" t="s">
        <v>3951</v>
      </c>
      <c r="T119" s="2" t="s">
        <v>179</v>
      </c>
      <c r="U119" s="2">
        <v>1</v>
      </c>
      <c r="V119" s="2">
        <v>4</v>
      </c>
      <c r="W119" s="14">
        <v>46073</v>
      </c>
      <c r="X119" s="14">
        <v>46073</v>
      </c>
      <c r="Y119" s="14">
        <v>46074</v>
      </c>
      <c r="AA119" s="2">
        <v>7668905</v>
      </c>
      <c r="AB119" s="14">
        <v>46074</v>
      </c>
      <c r="AC119" s="14">
        <v>46080</v>
      </c>
      <c r="AD119" s="2">
        <v>216265</v>
      </c>
      <c r="AE119" s="2">
        <v>95070</v>
      </c>
      <c r="AF119" s="14">
        <v>46074</v>
      </c>
      <c r="AG119" s="14">
        <v>46076</v>
      </c>
      <c r="AH119" s="14">
        <v>46081</v>
      </c>
      <c r="AI119" s="2" t="s">
        <v>4018</v>
      </c>
      <c r="AJ119" s="2" t="s">
        <v>4029</v>
      </c>
      <c r="AK119" s="2" t="s">
        <v>273</v>
      </c>
      <c r="AS119" s="7" t="s">
        <v>4335</v>
      </c>
    </row>
    <row r="120" spans="1:45" s="1" customFormat="1" x14ac:dyDescent="0.3">
      <c r="A120" s="2">
        <v>119</v>
      </c>
      <c r="B120" s="2">
        <v>53399</v>
      </c>
      <c r="C120" s="1">
        <v>260206889</v>
      </c>
      <c r="D120" s="3">
        <v>46072</v>
      </c>
      <c r="E120" s="2">
        <v>129.80000000000001</v>
      </c>
      <c r="F120" s="2" t="s">
        <v>3489</v>
      </c>
      <c r="G120" s="1" t="s">
        <v>142</v>
      </c>
      <c r="H120" s="2" t="s">
        <v>677</v>
      </c>
      <c r="I120" s="1" t="s">
        <v>4025</v>
      </c>
      <c r="J120" s="1">
        <f t="shared" si="1"/>
        <v>1</v>
      </c>
      <c r="K120" s="1" t="s">
        <v>2665</v>
      </c>
      <c r="O120" s="2" t="s">
        <v>163</v>
      </c>
      <c r="P120" s="2" t="s">
        <v>2592</v>
      </c>
      <c r="Q120" s="1" t="s">
        <v>3944</v>
      </c>
      <c r="R120" s="1" t="s">
        <v>3953</v>
      </c>
      <c r="T120" s="1" t="s">
        <v>179</v>
      </c>
      <c r="U120" s="1">
        <v>1</v>
      </c>
      <c r="V120" s="1">
        <v>1.5</v>
      </c>
      <c r="W120" s="5">
        <v>46073</v>
      </c>
      <c r="X120" s="5">
        <v>46073</v>
      </c>
      <c r="Y120" s="5">
        <v>46074</v>
      </c>
      <c r="AA120" s="2">
        <v>7669138</v>
      </c>
      <c r="AB120" s="5">
        <v>46074</v>
      </c>
      <c r="AC120" s="14">
        <v>46080</v>
      </c>
      <c r="AD120" s="2">
        <v>11929</v>
      </c>
      <c r="AE120" s="2">
        <v>4469</v>
      </c>
      <c r="AF120" s="5">
        <v>46074</v>
      </c>
      <c r="AG120" s="5">
        <v>46076</v>
      </c>
      <c r="AH120" s="5">
        <v>46081</v>
      </c>
      <c r="AI120" s="2" t="s">
        <v>4018</v>
      </c>
      <c r="AJ120" s="2" t="s">
        <v>4023</v>
      </c>
      <c r="AK120" s="1" t="s">
        <v>273</v>
      </c>
    </row>
    <row r="121" spans="1:45" s="1" customFormat="1" ht="129.6" x14ac:dyDescent="0.3">
      <c r="A121" s="2">
        <v>120</v>
      </c>
      <c r="B121" s="2">
        <v>53400</v>
      </c>
      <c r="C121" s="1">
        <v>260207178</v>
      </c>
      <c r="D121" s="3">
        <v>46072</v>
      </c>
      <c r="E121" s="2">
        <v>3044.32</v>
      </c>
      <c r="F121" s="2" t="s">
        <v>3489</v>
      </c>
      <c r="G121" s="1" t="s">
        <v>142</v>
      </c>
      <c r="H121" s="2" t="s">
        <v>677</v>
      </c>
      <c r="I121" s="1" t="s">
        <v>4024</v>
      </c>
      <c r="J121" s="1">
        <f t="shared" si="1"/>
        <v>1</v>
      </c>
      <c r="K121" s="1" t="s">
        <v>3954</v>
      </c>
      <c r="L121" s="1">
        <v>3491</v>
      </c>
      <c r="O121" s="2" t="s">
        <v>163</v>
      </c>
      <c r="P121" s="2" t="s">
        <v>2592</v>
      </c>
      <c r="Q121" s="1" t="s">
        <v>3944</v>
      </c>
      <c r="R121" s="1" t="s">
        <v>3955</v>
      </c>
      <c r="T121" s="1" t="s">
        <v>179</v>
      </c>
      <c r="U121" s="1">
        <v>1</v>
      </c>
      <c r="V121" s="1">
        <v>2</v>
      </c>
      <c r="W121" s="5">
        <v>46073</v>
      </c>
      <c r="X121" s="5">
        <v>46073</v>
      </c>
      <c r="Y121" s="5">
        <v>46074</v>
      </c>
      <c r="AA121" s="2">
        <v>7668901</v>
      </c>
      <c r="AB121" s="5">
        <v>46074</v>
      </c>
      <c r="AC121" s="14">
        <v>46080</v>
      </c>
      <c r="AD121" s="2">
        <v>279773</v>
      </c>
      <c r="AE121" s="2">
        <v>122989</v>
      </c>
      <c r="AF121" s="5">
        <v>46074</v>
      </c>
      <c r="AG121" s="5">
        <v>46076</v>
      </c>
      <c r="AH121" s="5">
        <v>46081</v>
      </c>
      <c r="AI121" s="2" t="s">
        <v>4018</v>
      </c>
      <c r="AJ121" s="2" t="s">
        <v>4023</v>
      </c>
      <c r="AK121" s="1" t="s">
        <v>273</v>
      </c>
      <c r="AS121" s="8" t="s">
        <v>4332</v>
      </c>
    </row>
    <row r="122" spans="1:45" s="1" customFormat="1" ht="115.2" x14ac:dyDescent="0.3">
      <c r="A122" s="2">
        <v>121</v>
      </c>
      <c r="B122" s="2">
        <v>53401</v>
      </c>
      <c r="C122" s="1">
        <v>260208442</v>
      </c>
      <c r="D122" s="3">
        <v>46072</v>
      </c>
      <c r="E122" s="2">
        <v>58579.839999999997</v>
      </c>
      <c r="F122" s="2" t="s">
        <v>3489</v>
      </c>
      <c r="G122" s="1" t="s">
        <v>142</v>
      </c>
      <c r="H122" s="2" t="s">
        <v>677</v>
      </c>
      <c r="I122" s="1" t="s">
        <v>4022</v>
      </c>
      <c r="J122" s="1">
        <f t="shared" si="1"/>
        <v>1</v>
      </c>
      <c r="K122" s="1" t="s">
        <v>3956</v>
      </c>
      <c r="L122" s="1">
        <v>3491</v>
      </c>
      <c r="O122" s="2" t="s">
        <v>163</v>
      </c>
      <c r="P122" s="2" t="s">
        <v>2592</v>
      </c>
      <c r="Q122" s="1" t="s">
        <v>3944</v>
      </c>
      <c r="R122" s="1" t="s">
        <v>3957</v>
      </c>
      <c r="T122" s="1" t="s">
        <v>179</v>
      </c>
      <c r="U122" s="1">
        <v>1</v>
      </c>
      <c r="V122" s="1">
        <v>106</v>
      </c>
      <c r="W122" s="5">
        <v>46073</v>
      </c>
      <c r="X122" s="5">
        <v>46073</v>
      </c>
      <c r="Y122" s="5">
        <v>46074</v>
      </c>
      <c r="AA122" s="2">
        <v>7669249</v>
      </c>
      <c r="AB122" s="5">
        <v>46074</v>
      </c>
      <c r="AC122" s="14">
        <v>46080</v>
      </c>
      <c r="AD122" s="2">
        <v>5383487</v>
      </c>
      <c r="AE122" s="2">
        <v>2366582</v>
      </c>
      <c r="AF122" s="5">
        <v>46074</v>
      </c>
      <c r="AG122" s="5">
        <v>46076</v>
      </c>
      <c r="AH122" s="5">
        <v>46081</v>
      </c>
      <c r="AI122" s="2" t="s">
        <v>4018</v>
      </c>
      <c r="AJ122" s="2" t="s">
        <v>4023</v>
      </c>
      <c r="AK122" s="1" t="s">
        <v>273</v>
      </c>
      <c r="AS122" s="8" t="s">
        <v>4333</v>
      </c>
    </row>
    <row r="123" spans="1:45" s="2" customFormat="1" ht="86.4" x14ac:dyDescent="0.3">
      <c r="A123" s="2">
        <v>122</v>
      </c>
      <c r="B123" s="2">
        <v>53455</v>
      </c>
      <c r="C123" s="2">
        <v>260208916</v>
      </c>
      <c r="D123" s="4">
        <v>46078</v>
      </c>
      <c r="E123" s="2">
        <v>1009.12</v>
      </c>
      <c r="F123" s="2" t="s">
        <v>3489</v>
      </c>
      <c r="G123" s="2" t="s">
        <v>142</v>
      </c>
      <c r="H123" s="2" t="s">
        <v>677</v>
      </c>
      <c r="I123" s="2" t="s">
        <v>4021</v>
      </c>
      <c r="J123" s="1">
        <f t="shared" si="1"/>
        <v>1</v>
      </c>
      <c r="K123" s="7" t="s">
        <v>3983</v>
      </c>
      <c r="L123" s="2">
        <v>3491</v>
      </c>
      <c r="O123" s="2" t="s">
        <v>818</v>
      </c>
      <c r="P123" s="2" t="s">
        <v>204</v>
      </c>
      <c r="Q123" s="2" t="s">
        <v>3984</v>
      </c>
      <c r="R123" s="2" t="s">
        <v>3985</v>
      </c>
      <c r="T123" s="2" t="s">
        <v>179</v>
      </c>
      <c r="U123" s="2">
        <v>1</v>
      </c>
      <c r="V123" s="2">
        <v>1.5</v>
      </c>
      <c r="W123" s="14">
        <v>46079</v>
      </c>
      <c r="X123" s="14">
        <v>46079</v>
      </c>
      <c r="Y123" s="14">
        <v>46079</v>
      </c>
      <c r="AA123" s="2">
        <v>7781574</v>
      </c>
      <c r="AB123" s="14">
        <v>46080</v>
      </c>
      <c r="AC123" s="14">
        <v>46082</v>
      </c>
      <c r="AD123" s="2">
        <v>92738</v>
      </c>
      <c r="AE123" s="2">
        <v>40768</v>
      </c>
      <c r="AF123" s="14">
        <v>46081</v>
      </c>
      <c r="AG123" s="14">
        <v>46083</v>
      </c>
      <c r="AH123" s="14">
        <v>46083</v>
      </c>
      <c r="AI123" s="14">
        <v>46085</v>
      </c>
      <c r="AJ123" s="2" t="s">
        <v>1527</v>
      </c>
      <c r="AK123" s="1" t="s">
        <v>273</v>
      </c>
      <c r="AL123" s="1"/>
      <c r="AS123" s="7" t="s">
        <v>4336</v>
      </c>
    </row>
    <row r="124" spans="1:45" s="1" customFormat="1" x14ac:dyDescent="0.3">
      <c r="A124" s="2">
        <v>123</v>
      </c>
      <c r="B124" s="2">
        <v>53506</v>
      </c>
      <c r="C124" s="1" t="s">
        <v>3998</v>
      </c>
      <c r="D124" s="3">
        <v>46081</v>
      </c>
      <c r="E124" s="2">
        <v>1821</v>
      </c>
      <c r="F124" s="2" t="s">
        <v>3224</v>
      </c>
      <c r="G124" s="2" t="s">
        <v>142</v>
      </c>
      <c r="H124" s="2" t="s">
        <v>683</v>
      </c>
      <c r="I124" s="2" t="s">
        <v>4027</v>
      </c>
      <c r="J124" s="1">
        <f t="shared" si="1"/>
        <v>1</v>
      </c>
      <c r="K124" s="7" t="s">
        <v>3999</v>
      </c>
      <c r="O124" s="2" t="s">
        <v>163</v>
      </c>
      <c r="P124" s="2" t="s">
        <v>2592</v>
      </c>
      <c r="Q124" s="1" t="s">
        <v>4000</v>
      </c>
      <c r="T124" s="1" t="s">
        <v>483</v>
      </c>
      <c r="U124" s="1">
        <v>3</v>
      </c>
      <c r="V124" s="1">
        <v>27</v>
      </c>
      <c r="W124" s="5">
        <v>46083</v>
      </c>
      <c r="X124" s="14">
        <v>46083</v>
      </c>
      <c r="Y124" s="5">
        <v>46084</v>
      </c>
      <c r="AA124" s="132">
        <v>7838454</v>
      </c>
      <c r="AB124" s="5">
        <v>46083</v>
      </c>
      <c r="AC124" s="14">
        <v>46084</v>
      </c>
      <c r="AD124" s="2">
        <v>167350</v>
      </c>
      <c r="AE124" s="2">
        <v>73567</v>
      </c>
      <c r="AF124" s="5">
        <v>46083</v>
      </c>
      <c r="AG124" s="5">
        <v>46084</v>
      </c>
      <c r="AH124" s="5">
        <v>46085</v>
      </c>
      <c r="AI124" s="14">
        <v>46086</v>
      </c>
      <c r="AJ124" s="2" t="s">
        <v>4028</v>
      </c>
      <c r="AK124" s="1" t="s">
        <v>273</v>
      </c>
    </row>
    <row r="125" spans="1:45" s="1" customFormat="1" ht="28.8" x14ac:dyDescent="0.3">
      <c r="A125" s="2">
        <v>124</v>
      </c>
      <c r="B125" s="2">
        <v>53528</v>
      </c>
      <c r="C125" s="8" t="s">
        <v>4014</v>
      </c>
      <c r="D125" s="3">
        <v>46081</v>
      </c>
      <c r="E125" s="7" t="s">
        <v>4015</v>
      </c>
      <c r="F125" s="2" t="s">
        <v>3224</v>
      </c>
      <c r="G125" s="2" t="s">
        <v>142</v>
      </c>
      <c r="H125" s="2" t="s">
        <v>683</v>
      </c>
      <c r="I125" s="2" t="s">
        <v>4055</v>
      </c>
      <c r="J125" s="1">
        <f t="shared" si="1"/>
        <v>1</v>
      </c>
      <c r="K125" s="1" t="s">
        <v>4016</v>
      </c>
      <c r="M125" s="1">
        <v>3628</v>
      </c>
      <c r="O125" s="2" t="s">
        <v>382</v>
      </c>
      <c r="P125" s="2" t="s">
        <v>199</v>
      </c>
      <c r="Q125" s="2" t="s">
        <v>4017</v>
      </c>
      <c r="T125" s="1" t="s">
        <v>483</v>
      </c>
      <c r="U125" s="1">
        <v>10</v>
      </c>
      <c r="V125" s="1">
        <v>3362</v>
      </c>
      <c r="W125" s="3">
        <v>46085</v>
      </c>
      <c r="X125" s="4">
        <v>46085</v>
      </c>
      <c r="Y125" s="4">
        <v>46086</v>
      </c>
      <c r="AA125" s="2">
        <v>7879312</v>
      </c>
      <c r="AB125" s="14">
        <v>46086</v>
      </c>
      <c r="AC125" s="4">
        <v>46086</v>
      </c>
      <c r="AD125" s="2">
        <v>20081988</v>
      </c>
      <c r="AE125" s="2">
        <v>8828043</v>
      </c>
      <c r="AF125" s="5">
        <v>46086</v>
      </c>
      <c r="AG125" s="5">
        <v>46087</v>
      </c>
      <c r="AH125" s="5">
        <v>46087</v>
      </c>
      <c r="AI125" s="14">
        <v>46088</v>
      </c>
      <c r="AJ125" s="2" t="s">
        <v>4054</v>
      </c>
      <c r="AK125" s="1" t="s">
        <v>273</v>
      </c>
    </row>
    <row r="126" spans="1:45" s="1" customFormat="1" x14ac:dyDescent="0.3">
      <c r="A126" s="2">
        <v>125</v>
      </c>
      <c r="B126" s="2">
        <v>53594</v>
      </c>
      <c r="C126" s="1" t="s">
        <v>4062</v>
      </c>
      <c r="D126" s="3">
        <v>46087</v>
      </c>
      <c r="E126" s="2">
        <v>7284</v>
      </c>
      <c r="F126" s="2" t="s">
        <v>3224</v>
      </c>
      <c r="G126" s="2" t="s">
        <v>142</v>
      </c>
      <c r="H126" s="2" t="s">
        <v>683</v>
      </c>
      <c r="I126" s="1" t="s">
        <v>4083</v>
      </c>
      <c r="J126" s="1">
        <f t="shared" si="1"/>
        <v>1</v>
      </c>
      <c r="K126" s="1" t="s">
        <v>4063</v>
      </c>
      <c r="O126" s="2" t="s">
        <v>382</v>
      </c>
      <c r="P126" s="2" t="s">
        <v>199</v>
      </c>
      <c r="Q126" s="1">
        <v>21708129590</v>
      </c>
      <c r="T126" s="1" t="s">
        <v>483</v>
      </c>
      <c r="U126" s="1">
        <v>1</v>
      </c>
      <c r="V126" s="1">
        <v>120</v>
      </c>
      <c r="W126" s="5">
        <v>46090</v>
      </c>
      <c r="X126" s="14">
        <v>46090</v>
      </c>
      <c r="Y126" s="5">
        <v>46091</v>
      </c>
      <c r="AA126" s="2">
        <v>7981176</v>
      </c>
      <c r="AB126" s="5">
        <v>46091</v>
      </c>
      <c r="AC126" s="14">
        <v>46091</v>
      </c>
      <c r="AD126" s="2">
        <v>673770</v>
      </c>
      <c r="AE126" s="2">
        <v>296190</v>
      </c>
      <c r="AF126" s="5">
        <v>46091</v>
      </c>
      <c r="AG126" s="5">
        <v>46091</v>
      </c>
      <c r="AH126" s="5">
        <v>46092</v>
      </c>
      <c r="AI126" s="14">
        <v>46092</v>
      </c>
      <c r="AJ126" s="2" t="s">
        <v>4084</v>
      </c>
      <c r="AK126" s="1" t="s">
        <v>273</v>
      </c>
    </row>
    <row r="127" spans="1:45" s="2" customFormat="1" ht="43.2" x14ac:dyDescent="0.3">
      <c r="A127" s="2">
        <v>126</v>
      </c>
      <c r="B127" s="2">
        <v>53661</v>
      </c>
      <c r="C127" s="7" t="s">
        <v>4127</v>
      </c>
      <c r="D127" s="7" t="s">
        <v>4128</v>
      </c>
      <c r="E127" s="7" t="s">
        <v>4129</v>
      </c>
      <c r="F127" s="2" t="s">
        <v>3224</v>
      </c>
      <c r="G127" s="2" t="s">
        <v>142</v>
      </c>
      <c r="H127" s="2" t="s">
        <v>683</v>
      </c>
      <c r="I127" s="2" t="s">
        <v>4211</v>
      </c>
      <c r="J127" s="1">
        <f t="shared" si="1"/>
        <v>1</v>
      </c>
      <c r="K127" s="7" t="s">
        <v>4130</v>
      </c>
      <c r="O127" s="2" t="s">
        <v>382</v>
      </c>
      <c r="P127" s="2" t="s">
        <v>199</v>
      </c>
      <c r="Q127" s="50" t="s">
        <v>4136</v>
      </c>
      <c r="T127" s="2" t="s">
        <v>4131</v>
      </c>
      <c r="U127" s="2">
        <v>7</v>
      </c>
      <c r="V127" s="2">
        <v>2275</v>
      </c>
      <c r="W127" s="14">
        <v>46094</v>
      </c>
      <c r="X127" s="14">
        <v>46094</v>
      </c>
      <c r="Y127" s="14">
        <v>46094</v>
      </c>
      <c r="AA127" s="2">
        <v>8098601</v>
      </c>
      <c r="AB127" s="14">
        <v>46097</v>
      </c>
      <c r="AC127" s="14">
        <v>46097</v>
      </c>
      <c r="AD127" s="2">
        <v>13812285</v>
      </c>
      <c r="AE127" s="2">
        <v>6071881</v>
      </c>
      <c r="AF127" s="14">
        <v>46097</v>
      </c>
      <c r="AG127" s="14">
        <v>46097</v>
      </c>
      <c r="AH127" s="14">
        <v>46098</v>
      </c>
      <c r="AI127" s="14">
        <v>46099</v>
      </c>
      <c r="AJ127" s="2" t="s">
        <v>4210</v>
      </c>
      <c r="AK127" s="2" t="s">
        <v>282</v>
      </c>
    </row>
    <row r="128" spans="1:45" s="2" customFormat="1" x14ac:dyDescent="0.3">
      <c r="A128" s="2">
        <v>127</v>
      </c>
      <c r="B128" s="2">
        <v>53663</v>
      </c>
      <c r="C128" s="7" t="s">
        <v>4138</v>
      </c>
      <c r="D128" s="11">
        <v>46087</v>
      </c>
      <c r="E128" s="7">
        <v>121400</v>
      </c>
      <c r="F128" s="2" t="s">
        <v>3224</v>
      </c>
      <c r="G128" s="2" t="s">
        <v>142</v>
      </c>
      <c r="H128" s="2" t="s">
        <v>683</v>
      </c>
      <c r="I128" s="2" t="s">
        <v>4217</v>
      </c>
      <c r="J128" s="1">
        <f t="shared" si="1"/>
        <v>1</v>
      </c>
      <c r="K128" s="7" t="s">
        <v>4139</v>
      </c>
      <c r="M128" s="2">
        <v>2029</v>
      </c>
      <c r="O128" s="2" t="s">
        <v>163</v>
      </c>
      <c r="P128" s="2" t="s">
        <v>2592</v>
      </c>
      <c r="Q128" s="50" t="s">
        <v>4140</v>
      </c>
      <c r="T128" s="2" t="s">
        <v>4131</v>
      </c>
      <c r="U128" s="2">
        <v>6</v>
      </c>
      <c r="V128" s="2">
        <v>1883</v>
      </c>
      <c r="W128" s="14">
        <v>46094</v>
      </c>
      <c r="X128" s="14">
        <v>46094</v>
      </c>
      <c r="Y128" s="14">
        <v>46094</v>
      </c>
      <c r="AA128" s="2">
        <v>8098602</v>
      </c>
      <c r="AB128" s="14">
        <v>46097</v>
      </c>
      <c r="AC128" s="14">
        <v>46097</v>
      </c>
      <c r="AD128" s="2">
        <v>11229500</v>
      </c>
      <c r="AE128" s="2">
        <v>4936488</v>
      </c>
      <c r="AF128" s="14">
        <v>46097</v>
      </c>
      <c r="AG128" s="14">
        <v>46098</v>
      </c>
      <c r="AH128" s="14">
        <v>46098</v>
      </c>
      <c r="AI128" s="14">
        <v>46099</v>
      </c>
      <c r="AJ128" s="2" t="s">
        <v>4215</v>
      </c>
      <c r="AK128" s="2" t="s">
        <v>273</v>
      </c>
    </row>
    <row r="129" spans="1:37" s="2" customFormat="1" ht="28.8" x14ac:dyDescent="0.3">
      <c r="A129" s="2">
        <v>128</v>
      </c>
      <c r="B129" s="2">
        <v>53664</v>
      </c>
      <c r="C129" s="7" t="s">
        <v>4132</v>
      </c>
      <c r="D129" s="7" t="s">
        <v>4133</v>
      </c>
      <c r="E129" s="7" t="s">
        <v>4134</v>
      </c>
      <c r="F129" s="2" t="s">
        <v>3224</v>
      </c>
      <c r="G129" s="2" t="s">
        <v>142</v>
      </c>
      <c r="H129" s="2" t="s">
        <v>683</v>
      </c>
      <c r="I129" s="2" t="s">
        <v>4216</v>
      </c>
      <c r="J129" s="1">
        <f t="shared" si="1"/>
        <v>2</v>
      </c>
      <c r="K129" s="7" t="s">
        <v>4135</v>
      </c>
      <c r="O129" s="2" t="s">
        <v>163</v>
      </c>
      <c r="P129" s="2" t="s">
        <v>2592</v>
      </c>
      <c r="Q129" s="50" t="s">
        <v>4137</v>
      </c>
      <c r="T129" s="2" t="s">
        <v>4131</v>
      </c>
      <c r="U129" s="2">
        <v>2</v>
      </c>
      <c r="V129" s="2">
        <v>500</v>
      </c>
      <c r="W129" s="14">
        <v>46094</v>
      </c>
      <c r="X129" s="14">
        <v>46094</v>
      </c>
      <c r="Y129" s="14">
        <v>46094</v>
      </c>
      <c r="AA129" s="2">
        <v>8098600</v>
      </c>
      <c r="AB129" s="14">
        <v>46097</v>
      </c>
      <c r="AC129" s="14">
        <v>46097</v>
      </c>
      <c r="AD129" s="2">
        <v>2975818</v>
      </c>
      <c r="AE129" s="2">
        <v>1308171</v>
      </c>
      <c r="AF129" s="14">
        <v>46097</v>
      </c>
      <c r="AG129" s="14">
        <v>46097</v>
      </c>
      <c r="AH129" s="14">
        <v>46099</v>
      </c>
      <c r="AI129" s="14">
        <v>46099</v>
      </c>
      <c r="AJ129" s="2" t="s">
        <v>4215</v>
      </c>
      <c r="AK129" s="2" t="s">
        <v>273</v>
      </c>
    </row>
    <row r="130" spans="1:37" s="2" customFormat="1" ht="28.8" x14ac:dyDescent="0.3">
      <c r="A130" s="2">
        <v>129</v>
      </c>
      <c r="B130" s="2">
        <v>53667</v>
      </c>
      <c r="C130" s="2">
        <v>260303312</v>
      </c>
      <c r="D130" s="4">
        <v>46092</v>
      </c>
      <c r="E130" s="2">
        <v>20860.8</v>
      </c>
      <c r="F130" s="2" t="s">
        <v>3489</v>
      </c>
      <c r="G130" s="2" t="s">
        <v>142</v>
      </c>
      <c r="H130" s="2" t="s">
        <v>677</v>
      </c>
      <c r="I130" s="2" t="s">
        <v>4212</v>
      </c>
      <c r="J130" s="1">
        <f t="shared" si="1"/>
        <v>1</v>
      </c>
      <c r="K130" s="7" t="s">
        <v>3947</v>
      </c>
      <c r="O130" s="2" t="s">
        <v>818</v>
      </c>
      <c r="P130" s="2" t="s">
        <v>204</v>
      </c>
      <c r="Q130" s="2" t="s">
        <v>4142</v>
      </c>
      <c r="R130" s="2" t="s">
        <v>4141</v>
      </c>
      <c r="T130" s="2" t="s">
        <v>179</v>
      </c>
      <c r="U130" s="2">
        <v>1</v>
      </c>
      <c r="W130" s="14">
        <v>46094</v>
      </c>
      <c r="X130" s="14">
        <v>46094</v>
      </c>
      <c r="Y130" s="14">
        <v>46095</v>
      </c>
      <c r="AA130" s="2">
        <v>8076942</v>
      </c>
      <c r="AB130" s="14">
        <v>46095</v>
      </c>
      <c r="AC130" s="14">
        <v>46097</v>
      </c>
      <c r="AD130" s="2">
        <v>1929624</v>
      </c>
      <c r="AE130" s="2">
        <v>848263</v>
      </c>
      <c r="AF130" s="14">
        <v>46095</v>
      </c>
      <c r="AG130" s="14">
        <v>46097</v>
      </c>
      <c r="AH130" s="14">
        <v>46098</v>
      </c>
      <c r="AI130" s="14">
        <v>46099</v>
      </c>
      <c r="AJ130" s="2" t="s">
        <v>1527</v>
      </c>
      <c r="AK130" s="2" t="s">
        <v>273</v>
      </c>
    </row>
    <row r="131" spans="1:37" s="2" customFormat="1" ht="28.8" x14ac:dyDescent="0.3">
      <c r="A131" s="2">
        <v>130</v>
      </c>
      <c r="B131" s="2">
        <v>53669</v>
      </c>
      <c r="C131" s="2">
        <v>260303310</v>
      </c>
      <c r="D131" s="4">
        <v>46092</v>
      </c>
      <c r="E131" s="2">
        <v>4109.84</v>
      </c>
      <c r="F131" s="2" t="s">
        <v>3489</v>
      </c>
      <c r="G131" s="2" t="s">
        <v>142</v>
      </c>
      <c r="H131" s="2" t="s">
        <v>677</v>
      </c>
      <c r="I131" s="2" t="s">
        <v>4213</v>
      </c>
      <c r="J131" s="1">
        <f t="shared" ref="J131:J136" si="2">AH131-AC131</f>
        <v>1</v>
      </c>
      <c r="K131" s="7" t="s">
        <v>3950</v>
      </c>
      <c r="O131" s="2" t="s">
        <v>818</v>
      </c>
      <c r="P131" s="2" t="s">
        <v>204</v>
      </c>
      <c r="Q131" s="2" t="s">
        <v>4142</v>
      </c>
      <c r="R131" s="2" t="s">
        <v>4143</v>
      </c>
      <c r="T131" s="2" t="s">
        <v>179</v>
      </c>
      <c r="U131" s="2">
        <v>1</v>
      </c>
      <c r="W131" s="14">
        <v>46094</v>
      </c>
      <c r="X131" s="14">
        <v>46094</v>
      </c>
      <c r="Y131" s="14">
        <v>46095</v>
      </c>
      <c r="AA131" s="2">
        <v>8076287</v>
      </c>
      <c r="AB131" s="14">
        <v>46095</v>
      </c>
      <c r="AC131" s="14">
        <v>46097</v>
      </c>
      <c r="AD131" s="2">
        <v>380160</v>
      </c>
      <c r="AE131" s="2">
        <v>167118</v>
      </c>
      <c r="AF131" s="14">
        <v>46095</v>
      </c>
      <c r="AG131" s="14">
        <v>46097</v>
      </c>
      <c r="AH131" s="14">
        <v>46098</v>
      </c>
      <c r="AI131" s="14">
        <v>46099</v>
      </c>
      <c r="AJ131" s="2" t="s">
        <v>1527</v>
      </c>
      <c r="AK131" s="2" t="s">
        <v>273</v>
      </c>
    </row>
    <row r="132" spans="1:37" s="2" customFormat="1" ht="28.8" x14ac:dyDescent="0.3">
      <c r="A132" s="2">
        <v>131</v>
      </c>
      <c r="B132" s="2">
        <v>53671</v>
      </c>
      <c r="C132" s="2">
        <v>260303206</v>
      </c>
      <c r="D132" s="4">
        <v>46092</v>
      </c>
      <c r="E132" s="2">
        <v>6396</v>
      </c>
      <c r="F132" s="2" t="s">
        <v>3489</v>
      </c>
      <c r="G132" s="2" t="s">
        <v>142</v>
      </c>
      <c r="H132" s="2" t="s">
        <v>677</v>
      </c>
      <c r="I132" s="2" t="s">
        <v>4214</v>
      </c>
      <c r="J132" s="1">
        <f t="shared" si="2"/>
        <v>1</v>
      </c>
      <c r="K132" s="7" t="s">
        <v>4144</v>
      </c>
      <c r="O132" s="2" t="s">
        <v>818</v>
      </c>
      <c r="P132" s="2" t="s">
        <v>204</v>
      </c>
      <c r="Q132" s="2" t="s">
        <v>4142</v>
      </c>
      <c r="R132" s="2" t="s">
        <v>4145</v>
      </c>
      <c r="T132" s="2" t="s">
        <v>179</v>
      </c>
      <c r="U132" s="2">
        <v>1</v>
      </c>
      <c r="V132" s="2">
        <v>1.5</v>
      </c>
      <c r="W132" s="14">
        <v>46094</v>
      </c>
      <c r="X132" s="14">
        <v>46094</v>
      </c>
      <c r="Y132" s="14">
        <v>46095</v>
      </c>
      <c r="AA132" s="2">
        <v>8076290</v>
      </c>
      <c r="AB132" s="14">
        <v>46095</v>
      </c>
      <c r="AC132" s="14">
        <v>46097</v>
      </c>
      <c r="AD132" s="2">
        <v>591630</v>
      </c>
      <c r="AE132" s="2">
        <v>260081</v>
      </c>
      <c r="AF132" s="14">
        <v>46095</v>
      </c>
      <c r="AG132" s="14">
        <v>46097</v>
      </c>
      <c r="AH132" s="14">
        <v>46098</v>
      </c>
      <c r="AI132" s="14">
        <v>46099</v>
      </c>
      <c r="AJ132" s="2" t="s">
        <v>1527</v>
      </c>
      <c r="AK132" s="2" t="s">
        <v>273</v>
      </c>
    </row>
    <row r="133" spans="1:37" s="1" customFormat="1" x14ac:dyDescent="0.3">
      <c r="A133" s="2">
        <v>132</v>
      </c>
      <c r="B133" s="2">
        <v>53722</v>
      </c>
      <c r="C133" s="1" t="s">
        <v>4187</v>
      </c>
      <c r="D133" s="3">
        <v>46092</v>
      </c>
      <c r="E133" s="2">
        <v>59486</v>
      </c>
      <c r="F133" s="2" t="s">
        <v>3224</v>
      </c>
      <c r="G133" s="2" t="s">
        <v>142</v>
      </c>
      <c r="H133" s="2" t="s">
        <v>683</v>
      </c>
      <c r="I133" s="1" t="s">
        <v>4272</v>
      </c>
      <c r="J133" s="1">
        <f t="shared" si="2"/>
        <v>2</v>
      </c>
      <c r="K133" s="1" t="s">
        <v>4188</v>
      </c>
      <c r="M133" s="1">
        <v>994</v>
      </c>
      <c r="O133" s="2" t="s">
        <v>382</v>
      </c>
      <c r="P133" s="2" t="s">
        <v>199</v>
      </c>
      <c r="Q133" s="1">
        <v>21708129601</v>
      </c>
      <c r="T133" s="2" t="s">
        <v>179</v>
      </c>
      <c r="U133" s="1">
        <v>3</v>
      </c>
      <c r="V133" s="1">
        <v>916</v>
      </c>
      <c r="W133" s="5">
        <v>46098</v>
      </c>
      <c r="X133" s="5">
        <v>46098</v>
      </c>
      <c r="Y133" s="5">
        <v>46098</v>
      </c>
      <c r="AA133" s="2">
        <v>8140137</v>
      </c>
      <c r="AB133" s="5">
        <v>46099</v>
      </c>
      <c r="AC133" s="14">
        <v>46099</v>
      </c>
      <c r="AD133" s="2">
        <v>5502455</v>
      </c>
      <c r="AE133" s="2">
        <v>2418879</v>
      </c>
      <c r="AF133" s="5">
        <v>46099</v>
      </c>
      <c r="AG133" s="5">
        <v>46100</v>
      </c>
      <c r="AH133" s="5">
        <v>46101</v>
      </c>
      <c r="AI133" s="14">
        <v>46102</v>
      </c>
      <c r="AJ133" s="2" t="s">
        <v>4273</v>
      </c>
      <c r="AK133" s="1" t="s">
        <v>273</v>
      </c>
    </row>
    <row r="134" spans="1:37" s="1" customFormat="1" ht="28.8" x14ac:dyDescent="0.3">
      <c r="A134" s="2">
        <v>133</v>
      </c>
      <c r="B134" s="2">
        <v>53780</v>
      </c>
      <c r="C134" s="1">
        <v>260216655</v>
      </c>
      <c r="D134" s="1" t="s">
        <v>4227</v>
      </c>
      <c r="E134" s="2">
        <v>123255.28</v>
      </c>
      <c r="F134" s="2" t="s">
        <v>2208</v>
      </c>
      <c r="G134" s="2" t="s">
        <v>4229</v>
      </c>
      <c r="H134" s="2" t="s">
        <v>677</v>
      </c>
      <c r="I134" s="1" t="s">
        <v>4318</v>
      </c>
      <c r="J134" s="1">
        <f t="shared" si="2"/>
        <v>5</v>
      </c>
      <c r="K134" s="8" t="s">
        <v>4233</v>
      </c>
      <c r="M134" s="1">
        <v>8395</v>
      </c>
      <c r="N134" s="1">
        <v>5000</v>
      </c>
      <c r="O134" s="2" t="s">
        <v>818</v>
      </c>
      <c r="P134" s="2" t="s">
        <v>204</v>
      </c>
      <c r="Q134" s="139" t="s">
        <v>4231</v>
      </c>
      <c r="R134" s="1">
        <v>4840763370</v>
      </c>
      <c r="T134" s="2" t="s">
        <v>179</v>
      </c>
      <c r="U134" s="1">
        <v>1</v>
      </c>
      <c r="V134" s="1">
        <v>70</v>
      </c>
      <c r="W134" s="5">
        <v>46100</v>
      </c>
      <c r="X134" s="14">
        <v>46101</v>
      </c>
      <c r="Y134" s="14">
        <v>46101</v>
      </c>
      <c r="AA134" s="2">
        <v>8186548</v>
      </c>
      <c r="AB134" s="5">
        <v>46101</v>
      </c>
      <c r="AC134" s="14">
        <v>46100</v>
      </c>
      <c r="AD134" s="2">
        <v>11616810</v>
      </c>
      <c r="AE134" s="2">
        <v>5111750</v>
      </c>
      <c r="AF134" s="5">
        <v>46101</v>
      </c>
      <c r="AG134" s="5">
        <v>46105</v>
      </c>
      <c r="AH134" s="5">
        <v>46105</v>
      </c>
      <c r="AI134" s="14">
        <v>46105</v>
      </c>
      <c r="AJ134" s="2" t="s">
        <v>4319</v>
      </c>
      <c r="AK134" s="1" t="s">
        <v>273</v>
      </c>
    </row>
    <row r="135" spans="1:37" s="1" customFormat="1" x14ac:dyDescent="0.3">
      <c r="A135" s="2">
        <v>134</v>
      </c>
      <c r="B135" s="2">
        <v>53860</v>
      </c>
      <c r="C135" s="1" t="s">
        <v>4325</v>
      </c>
      <c r="D135" s="3">
        <v>46101</v>
      </c>
      <c r="E135" s="2">
        <v>32778</v>
      </c>
      <c r="F135" s="2" t="s">
        <v>3224</v>
      </c>
      <c r="G135" s="2" t="s">
        <v>4229</v>
      </c>
      <c r="H135" s="2" t="s">
        <v>683</v>
      </c>
      <c r="I135" s="1" t="s">
        <v>4401</v>
      </c>
      <c r="J135" s="1">
        <f t="shared" si="2"/>
        <v>1</v>
      </c>
      <c r="K135" s="1" t="s">
        <v>4326</v>
      </c>
      <c r="O135" s="2" t="s">
        <v>382</v>
      </c>
      <c r="P135" s="2" t="s">
        <v>199</v>
      </c>
      <c r="Q135" s="1">
        <v>15700881775</v>
      </c>
      <c r="T135" s="1" t="s">
        <v>4327</v>
      </c>
      <c r="U135" s="1">
        <v>2</v>
      </c>
      <c r="V135" s="1">
        <v>505</v>
      </c>
      <c r="W135" s="5">
        <v>46106</v>
      </c>
      <c r="X135" s="5">
        <v>46106</v>
      </c>
      <c r="Y135" s="5">
        <v>46107</v>
      </c>
      <c r="AA135" s="2">
        <v>8300173</v>
      </c>
      <c r="AB135" s="5">
        <v>46107</v>
      </c>
      <c r="AC135" s="14">
        <v>46108</v>
      </c>
      <c r="AD135" s="2">
        <v>3089327</v>
      </c>
      <c r="AE135" s="2">
        <v>1358068</v>
      </c>
      <c r="AF135" s="5">
        <v>46107</v>
      </c>
      <c r="AG135" s="5">
        <v>46108</v>
      </c>
      <c r="AH135" s="5">
        <v>46109</v>
      </c>
      <c r="AI135" s="14">
        <v>46110</v>
      </c>
      <c r="AJ135" s="2" t="s">
        <v>4402</v>
      </c>
      <c r="AK135" s="1" t="s">
        <v>282</v>
      </c>
    </row>
    <row r="136" spans="1:37" s="1" customFormat="1" ht="28.8" x14ac:dyDescent="0.3">
      <c r="A136" s="2">
        <v>135</v>
      </c>
      <c r="B136" s="2">
        <v>53777</v>
      </c>
      <c r="C136" s="1" t="s">
        <v>4226</v>
      </c>
      <c r="D136" s="1" t="s">
        <v>4227</v>
      </c>
      <c r="E136" s="2" t="s">
        <v>4228</v>
      </c>
      <c r="F136" s="2" t="s">
        <v>2208</v>
      </c>
      <c r="G136" s="2" t="s">
        <v>4229</v>
      </c>
      <c r="H136" s="2" t="s">
        <v>677</v>
      </c>
      <c r="I136" s="1" t="s">
        <v>4434</v>
      </c>
      <c r="J136" s="1">
        <f t="shared" si="2"/>
        <v>4</v>
      </c>
      <c r="K136" s="1" t="s">
        <v>4230</v>
      </c>
      <c r="M136" s="1">
        <v>3148</v>
      </c>
      <c r="N136" s="1">
        <v>5000</v>
      </c>
      <c r="O136" s="2" t="s">
        <v>163</v>
      </c>
      <c r="P136" s="2" t="s">
        <v>2592</v>
      </c>
      <c r="Q136" s="183" t="s">
        <v>4231</v>
      </c>
      <c r="R136" s="183" t="s">
        <v>4232</v>
      </c>
      <c r="T136" s="2" t="s">
        <v>179</v>
      </c>
      <c r="U136" s="1">
        <v>4</v>
      </c>
      <c r="V136" s="1">
        <v>14.5</v>
      </c>
      <c r="W136" s="5">
        <v>46100</v>
      </c>
      <c r="X136" s="14">
        <v>46101</v>
      </c>
      <c r="Y136" s="14">
        <v>46101</v>
      </c>
      <c r="AA136" s="2">
        <v>8186554</v>
      </c>
      <c r="AB136" s="5">
        <v>46101</v>
      </c>
      <c r="AC136" s="14">
        <v>46100</v>
      </c>
      <c r="AD136" s="2">
        <v>5808405</v>
      </c>
      <c r="AE136" s="2">
        <v>2558375</v>
      </c>
      <c r="AF136" s="5">
        <v>46101</v>
      </c>
      <c r="AG136" s="5">
        <v>46104</v>
      </c>
      <c r="AH136" s="5">
        <v>46104</v>
      </c>
      <c r="AI136" s="14">
        <v>46111</v>
      </c>
      <c r="AJ136" s="2" t="s">
        <v>4433</v>
      </c>
      <c r="AK136" s="1" t="s">
        <v>273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P16" sqref="P1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FTA Pending </vt:lpstr>
      <vt:lpstr>FTA Cleared </vt:lpstr>
      <vt:lpstr>Normal shipment</vt:lpstr>
      <vt:lpstr>Normal cleared </vt:lpstr>
      <vt:lpstr>Sheet5</vt:lpstr>
      <vt:lpstr>'FTA Pending '!_Hlk206080015</vt:lpstr>
      <vt:lpstr>'FTA Pending '!_Hlk218513507</vt:lpstr>
      <vt:lpstr>'FTA Pending '!_Hlk220152987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 Chowbey</dc:creator>
  <cp:lastModifiedBy>Atharva Patil</cp:lastModifiedBy>
  <cp:lastPrinted>2026-01-05T10:27:25Z</cp:lastPrinted>
  <dcterms:created xsi:type="dcterms:W3CDTF">2025-03-21T09:27:56Z</dcterms:created>
  <dcterms:modified xsi:type="dcterms:W3CDTF">2026-04-01T09:27:42Z</dcterms:modified>
</cp:coreProperties>
</file>